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D\DATOS TRABAJO\NUEVO CORE\ORACLE_SQL\EXCEL UTILITARIOS\"/>
    </mc:Choice>
  </mc:AlternateContent>
  <xr:revisionPtr revIDLastSave="0" documentId="13_ncr:1_{010BF96A-8715-4F89-9B5C-E79EE5ECEEE2}" xr6:coauthVersionLast="47" xr6:coauthVersionMax="47" xr10:uidLastSave="{00000000-0000-0000-0000-000000000000}"/>
  <bookViews>
    <workbookView xWindow="28680" yWindow="-120" windowWidth="20730" windowHeight="11040" tabRatio="751" activeTab="2" xr2:uid="{00000000-000D-0000-FFFF-FFFF00000000}"/>
  </bookViews>
  <sheets>
    <sheet name="FRECUENCIAS" sheetId="18" r:id="rId1"/>
    <sheet name="INFO" sheetId="23" r:id="rId2"/>
    <sheet name="CALCULO SALUD" sheetId="17" r:id="rId3"/>
    <sheet name="P. RIESGO PARA DISENADOR" sheetId="19" r:id="rId4"/>
    <sheet name="P. DESEADA COMERCIAL" sheetId="24" r:id="rId5"/>
    <sheet name="Hoja1" sheetId="14" state="hidden" r:id="rId6"/>
  </sheets>
  <definedNames>
    <definedName name="calculo"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calculo"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calculo"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calculo"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 i="17" l="1"/>
  <c r="J31" i="24"/>
  <c r="J30" i="24"/>
  <c r="I5" i="24" l="1"/>
  <c r="J5" i="24" s="1"/>
  <c r="I12" i="24"/>
  <c r="J12" i="24" s="1"/>
  <c r="L12" i="24" s="1"/>
  <c r="I13" i="24"/>
  <c r="J13" i="24" s="1"/>
  <c r="L13" i="24" s="1"/>
  <c r="I14" i="24"/>
  <c r="J14" i="24" s="1"/>
  <c r="L14" i="24" s="1"/>
  <c r="L27" i="24"/>
  <c r="J27" i="24"/>
  <c r="L26" i="24"/>
  <c r="J26" i="24"/>
  <c r="L25" i="24"/>
  <c r="J25" i="24"/>
  <c r="L24" i="24"/>
  <c r="J24" i="24"/>
  <c r="F21" i="24"/>
  <c r="F11" i="24"/>
  <c r="I11" i="24" s="1"/>
  <c r="F10" i="24"/>
  <c r="I10" i="24" s="1"/>
  <c r="F9" i="24"/>
  <c r="I9" i="24" s="1"/>
  <c r="F8" i="24"/>
  <c r="F7" i="24"/>
  <c r="F6" i="24"/>
  <c r="I6" i="24" s="1"/>
  <c r="O3" i="24"/>
  <c r="N3" i="24"/>
  <c r="I4" i="19"/>
  <c r="H4" i="19"/>
  <c r="I12" i="17"/>
  <c r="I13" i="17"/>
  <c r="I14" i="17"/>
  <c r="I7" i="17"/>
  <c r="I8" i="17"/>
  <c r="I9" i="17"/>
  <c r="I5" i="17"/>
  <c r="I4" i="17"/>
  <c r="F7" i="17"/>
  <c r="F8" i="17"/>
  <c r="F9" i="17"/>
  <c r="F10" i="17"/>
  <c r="I10" i="17" s="1"/>
  <c r="F11" i="17"/>
  <c r="I11" i="17" s="1"/>
  <c r="F6" i="17"/>
  <c r="I6" i="17" s="1"/>
  <c r="I8" i="24" l="1"/>
  <c r="J8" i="24" s="1"/>
  <c r="L8" i="24" s="1"/>
  <c r="M8" i="24" s="1"/>
  <c r="J9" i="24"/>
  <c r="L9" i="24" s="1"/>
  <c r="M9" i="24" s="1"/>
  <c r="I7" i="24"/>
  <c r="J10" i="24"/>
  <c r="L10" i="24" s="1"/>
  <c r="M10" i="24" s="1"/>
  <c r="J11" i="24"/>
  <c r="L11" i="24" s="1"/>
  <c r="M11" i="24" s="1"/>
  <c r="L21" i="24"/>
  <c r="J21" i="24"/>
  <c r="J22" i="24" s="1"/>
  <c r="M5" i="24"/>
  <c r="J6" i="24"/>
  <c r="M14" i="24"/>
  <c r="M12" i="24"/>
  <c r="M13" i="24"/>
  <c r="J7" i="24" l="1"/>
  <c r="L7" i="24" s="1"/>
  <c r="M7" i="24" s="1"/>
  <c r="L22" i="24"/>
  <c r="L15" i="24" s="1"/>
  <c r="J15" i="24"/>
  <c r="L20" i="24" s="1"/>
  <c r="L17" i="24"/>
  <c r="J17" i="24"/>
  <c r="L6" i="24"/>
  <c r="F4" i="24" l="1"/>
  <c r="F15" i="24" s="1"/>
  <c r="M6" i="24"/>
  <c r="N4" i="24"/>
  <c r="L4" i="24"/>
  <c r="M4" i="24" s="1"/>
  <c r="M18" i="24" s="1"/>
  <c r="J18" i="24"/>
  <c r="L18" i="24"/>
  <c r="J16" i="24"/>
  <c r="J19" i="24"/>
  <c r="L16" i="24"/>
  <c r="L19" i="24"/>
  <c r="J20" i="24"/>
  <c r="J4" i="24"/>
  <c r="Q4" i="24" l="1"/>
  <c r="R4" i="24"/>
  <c r="I4" i="24"/>
  <c r="I16" i="24"/>
  <c r="I20" i="24"/>
  <c r="I19" i="24"/>
  <c r="I18" i="24"/>
  <c r="I17" i="24"/>
  <c r="I15" i="24"/>
  <c r="I21" i="24" s="1"/>
  <c r="M16" i="24"/>
  <c r="M19" i="24"/>
  <c r="M17" i="24"/>
  <c r="M20" i="24"/>
  <c r="M15" i="24"/>
  <c r="M21" i="24" s="1"/>
  <c r="M28" i="24" s="1"/>
  <c r="I22" i="24" l="1"/>
  <c r="I28" i="24"/>
  <c r="M22" i="24"/>
  <c r="M25" i="24"/>
  <c r="M24" i="24"/>
  <c r="M27" i="24"/>
  <c r="M26" i="24"/>
  <c r="I6" i="19"/>
  <c r="I7" i="19"/>
  <c r="I8" i="19"/>
  <c r="I9" i="19"/>
  <c r="I10" i="19"/>
  <c r="I11" i="19"/>
  <c r="I12" i="19"/>
  <c r="I13" i="19"/>
  <c r="I14" i="19"/>
  <c r="H16" i="19"/>
  <c r="I24" i="19"/>
  <c r="I25" i="19"/>
  <c r="I26" i="19"/>
  <c r="I27" i="19"/>
  <c r="I24" i="24" l="1"/>
  <c r="I25" i="24"/>
  <c r="I27" i="24"/>
  <c r="I26" i="24"/>
  <c r="I21" i="19"/>
  <c r="I22" i="19" s="1"/>
  <c r="E21" i="19"/>
  <c r="E15" i="19"/>
  <c r="H14" i="19"/>
  <c r="H13" i="19"/>
  <c r="H12" i="19"/>
  <c r="H11" i="19"/>
  <c r="H10" i="19"/>
  <c r="H9" i="19"/>
  <c r="H8" i="19"/>
  <c r="H7" i="19"/>
  <c r="H6" i="19"/>
  <c r="H5" i="19"/>
  <c r="K3" i="17"/>
  <c r="L3" i="17"/>
  <c r="I20" i="17"/>
  <c r="F15" i="17"/>
  <c r="J13" i="17" l="1"/>
  <c r="J14" i="17"/>
  <c r="J4" i="17"/>
  <c r="J7" i="17"/>
  <c r="J10" i="17"/>
  <c r="J11" i="17"/>
  <c r="J12" i="17"/>
  <c r="J8" i="17"/>
  <c r="J6" i="17"/>
  <c r="J5" i="17"/>
  <c r="J9" i="17"/>
  <c r="I15" i="19"/>
  <c r="H20" i="19"/>
  <c r="H17" i="19"/>
  <c r="H18" i="19"/>
  <c r="H19" i="19"/>
  <c r="H15" i="19"/>
  <c r="H21" i="19" s="1"/>
  <c r="H28" i="19" s="1"/>
  <c r="I19" i="17"/>
  <c r="I18" i="17"/>
  <c r="I17" i="17"/>
  <c r="I16" i="17"/>
  <c r="F21" i="17"/>
  <c r="J17" i="17" l="1"/>
  <c r="J16" i="17"/>
  <c r="J20" i="17"/>
  <c r="J19" i="17"/>
  <c r="J18" i="17"/>
  <c r="I17" i="19"/>
  <c r="I20" i="19"/>
  <c r="I16" i="19"/>
  <c r="I19" i="19"/>
  <c r="I18" i="19"/>
  <c r="H22" i="19"/>
  <c r="I15" i="17"/>
  <c r="H27" i="19" l="1"/>
  <c r="H26" i="19"/>
  <c r="H24" i="19"/>
  <c r="H25" i="19"/>
  <c r="I21" i="17"/>
  <c r="I22" i="17" s="1"/>
  <c r="I28" i="17" l="1"/>
  <c r="I26" i="17" l="1"/>
  <c r="I27" i="17"/>
  <c r="I25" i="17"/>
  <c r="I24" i="17"/>
  <c r="J15" i="17" l="1"/>
  <c r="J21" i="17" s="1"/>
  <c r="J22" i="17" s="1"/>
  <c r="J28" i="17" l="1"/>
  <c r="J25" i="17" l="1"/>
  <c r="J26" i="17"/>
  <c r="J27" i="17"/>
  <c r="J24" i="17"/>
</calcChain>
</file>

<file path=xl/sharedStrings.xml><?xml version="1.0" encoding="utf-8"?>
<sst xmlns="http://schemas.openxmlformats.org/spreadsheetml/2006/main" count="185" uniqueCount="62">
  <si>
    <t>Coberturas</t>
  </si>
  <si>
    <t>PRIMA RIESGO</t>
  </si>
  <si>
    <t>Gastos Administrativos</t>
  </si>
  <si>
    <t>Impuestos IT</t>
  </si>
  <si>
    <t>Impuestos IVA</t>
  </si>
  <si>
    <t>APS</t>
  </si>
  <si>
    <t>SI</t>
  </si>
  <si>
    <t>NO</t>
  </si>
  <si>
    <t>Cob 1 Riesgo Asistencia Médica</t>
  </si>
  <si>
    <t>Cob 2 riesgo Maternidad</t>
  </si>
  <si>
    <t>Cob 3 no riesgo Emergencia médica</t>
  </si>
  <si>
    <t>Cob 4 (NR)Asistencia al viajero</t>
  </si>
  <si>
    <t>Cobertura odontologica</t>
  </si>
  <si>
    <t>Cob 5 (NR)Atención odontológica</t>
  </si>
  <si>
    <t>Cob 6 (NR) Call center</t>
  </si>
  <si>
    <t>Cob 7 (NR)Credencial</t>
  </si>
  <si>
    <t>PRIMA COBERTURA</t>
  </si>
  <si>
    <t>Utilidad</t>
  </si>
  <si>
    <t>Marketing</t>
  </si>
  <si>
    <t>Cobranza</t>
  </si>
  <si>
    <t>APLICA % ADMIN</t>
  </si>
  <si>
    <t>RECARGO/ DESC</t>
  </si>
  <si>
    <t xml:space="preserve">PRIMA NETA </t>
  </si>
  <si>
    <t>Costo de Intermediacion</t>
  </si>
  <si>
    <t xml:space="preserve"> % ADMIN</t>
  </si>
  <si>
    <t>%</t>
  </si>
  <si>
    <t>Recargo Adicional</t>
  </si>
  <si>
    <t>PRIMA TOTAL CONTADO</t>
  </si>
  <si>
    <t>POLIZA</t>
  </si>
  <si>
    <t>PRIMA ANUAL</t>
  </si>
  <si>
    <t>COD FREQ</t>
  </si>
  <si>
    <t>FRECUENCIA</t>
  </si>
  <si>
    <t>CUOTA</t>
  </si>
  <si>
    <t>FACTOR</t>
  </si>
  <si>
    <t>ANUAL</t>
  </si>
  <si>
    <t>SEMESTRAL</t>
  </si>
  <si>
    <t>TRIMESTRAL</t>
  </si>
  <si>
    <t>MENSUAL</t>
  </si>
  <si>
    <t>CUOTAS</t>
  </si>
  <si>
    <t>CALULO DESEADO</t>
  </si>
  <si>
    <t>INGRESAR PRIMA DESEADA</t>
  </si>
  <si>
    <t>COBERTURAS</t>
  </si>
  <si>
    <t>CANT. ASEGURADOS</t>
  </si>
  <si>
    <t>APLICA COB</t>
  </si>
  <si>
    <t>MONTOS FIJOS</t>
  </si>
  <si>
    <t>CALCULO SALUD</t>
  </si>
  <si>
    <t>DATOS GENERALES</t>
  </si>
  <si>
    <t>Campos que rara vez se editaran, ya que se actualizaran en caso de que la parametrización del producto cambie algun porcentaje o forma de optener la prima de riesgo de la cobertura</t>
  </si>
  <si>
    <t>Campos que se editan de forma constante, para optener los calculos de primas.</t>
  </si>
  <si>
    <t>PRIMA COBERTURA QUE SE TIENEN QUE CONFIGURAR PARA EL PRODUCTO</t>
  </si>
  <si>
    <t>FRECUENCIAS</t>
  </si>
  <si>
    <t>Hoja de calculo que sirve como base de datos, para guardar el factor dependiendo de la frecuencia de pago. Se debe editar en caso de que alguno de los factores cambie.</t>
  </si>
  <si>
    <t>Hoja de calculo de primas, que siempre te calculará la prima anual basado en las primas de las coberturas de una poliza emitida ( consulta general del sistestema--&gt; pestaña coberturas). Pero tambien te permite ver las primas para cada frecuencia de pago, segun se seleccione la frecuencia deseada.</t>
  </si>
  <si>
    <t>P DESEADA COBERTURA</t>
  </si>
  <si>
    <t>Hoja de calculo, que a partir de la prima deseada anual realiza el calculo hacia atrás, para lograr optener la prima de la cobertura que se debe configurar en el diseñador de productos.</t>
  </si>
  <si>
    <t>CALCULO BASE</t>
  </si>
  <si>
    <t>CALCULO DESEADO</t>
  </si>
  <si>
    <t>MONTO</t>
  </si>
  <si>
    <t>PORCENTAJE</t>
  </si>
  <si>
    <t>P.R. DESEADA - P.R. ORIGINAL</t>
  </si>
  <si>
    <t>% Quitar</t>
  </si>
  <si>
    <t>% Aumentar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</si>
</sst>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0" x14ac:knownFonts="1">
    <font>
      <sz val="11"/>
      <color theme="1"/>
      <name val="Calibri"/>
      <family val="2"/>
      <scheme val="minor"/>
    </font>
    <font>
      <sz val="11"/>
      <color theme="1"/>
      <name val="Calibri"/>
      <family val="2"/>
      <scheme val="minor"/>
    </font>
    <font>
      <sz val="10"/>
      <color theme="1"/>
      <name val="Calibri"/>
      <family val="2"/>
      <scheme val="minor"/>
    </font>
    <font>
      <b/>
      <sz val="10"/>
      <name val="Arial"/>
      <family val="2"/>
    </font>
    <font>
      <b/>
      <sz val="10"/>
      <color theme="1"/>
      <name val="Calibri"/>
      <family val="2"/>
      <scheme val="minor"/>
    </font>
    <font>
      <sz val="12"/>
      <color theme="1"/>
      <name val="Calibri"/>
      <family val="2"/>
      <scheme val="minor"/>
    </font>
    <font>
      <sz val="12"/>
      <name val="Calibri"/>
      <family val="2"/>
      <scheme val="minor"/>
    </font>
    <font>
      <b/>
      <sz val="12"/>
      <name val="Calibri"/>
      <family val="2"/>
      <scheme val="minor"/>
    </font>
    <font>
      <b/>
      <sz val="12"/>
      <color theme="1"/>
      <name val="Calibri"/>
      <family val="2"/>
      <scheme val="minor"/>
    </font>
    <font>
      <sz val="14"/>
      <color theme="1"/>
      <name val="Calibri"/>
      <family val="2"/>
      <scheme val="minor"/>
    </font>
    <font>
      <b/>
      <sz val="14"/>
      <color theme="1"/>
      <name val="Calibri"/>
      <family val="2"/>
      <scheme val="minor"/>
    </font>
    <font>
      <b/>
      <sz val="12"/>
      <color theme="1"/>
      <name val="Arial"/>
      <family val="2"/>
    </font>
    <font>
      <b/>
      <sz val="14"/>
      <name val="Calibri"/>
      <family val="2"/>
      <scheme val="minor"/>
    </font>
    <font>
      <b/>
      <sz val="11"/>
      <color rgb="FF000000"/>
      <name val="Calibri"/>
      <family val="2"/>
    </font>
    <font>
      <sz val="11"/>
      <color rgb="FF000000"/>
      <name val="Calibri"/>
      <family val="2"/>
    </font>
    <font>
      <b/>
      <sz val="16"/>
      <name val="Calibri"/>
      <family val="2"/>
      <scheme val="minor"/>
    </font>
    <font>
      <b/>
      <sz val="20"/>
      <color theme="0"/>
      <name val="Calibri"/>
      <family val="2"/>
      <scheme val="minor"/>
    </font>
    <font>
      <b/>
      <sz val="20"/>
      <name val="Calibri"/>
      <family val="2"/>
      <scheme val="minor"/>
    </font>
    <font>
      <b/>
      <sz val="11"/>
      <color theme="1"/>
      <name val="Calibri"/>
      <family val="2"/>
      <scheme val="minor"/>
    </font>
    <font>
      <sz val="8"/>
      <color rgb="FF252930"/>
      <name val="Open Sans"/>
      <family val="2"/>
    </font>
  </fonts>
  <fills count="14">
    <fill>
      <patternFill patternType="none"/>
    </fill>
    <fill>
      <patternFill patternType="gray125"/>
    </fill>
    <fill>
      <patternFill patternType="solid">
        <fgColor theme="0" tint="-0.249977111117893"/>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3" tint="0.39997558519241921"/>
        <bgColor indexed="64"/>
      </patternFill>
    </fill>
    <fill>
      <patternFill patternType="solid">
        <fgColor rgb="FF00B0F0"/>
        <bgColor indexed="64"/>
      </patternFill>
    </fill>
    <fill>
      <patternFill patternType="solid">
        <fgColor rgb="FFFFFF00"/>
        <bgColor indexed="64"/>
      </patternFill>
    </fill>
    <fill>
      <patternFill patternType="solid">
        <fgColor theme="0"/>
        <bgColor indexed="64"/>
      </patternFill>
    </fill>
    <fill>
      <patternFill patternType="solid">
        <fgColor theme="2" tint="-0.249977111117893"/>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top/>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right/>
      <top style="thin">
        <color indexed="64"/>
      </top>
      <bottom style="medium">
        <color indexed="64"/>
      </bottom>
      <diagonal/>
    </border>
    <border>
      <left style="medium">
        <color indexed="64"/>
      </left>
      <right/>
      <top style="thin">
        <color indexed="64"/>
      </top>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diagonal/>
    </border>
    <border>
      <left/>
      <right style="medium">
        <color rgb="FFEBEBEB"/>
      </right>
      <top style="medium">
        <color rgb="FFEBEBEB"/>
      </top>
      <bottom style="medium">
        <color rgb="FFEBEBEB"/>
      </bottom>
      <diagonal/>
    </border>
  </borders>
  <cellStyleXfs count="3">
    <xf numFmtId="0" fontId="0" fillId="0" borderId="0"/>
    <xf numFmtId="0" fontId="1" fillId="0" borderId="0"/>
    <xf numFmtId="9" fontId="1" fillId="0" borderId="0" applyFont="0" applyFill="0" applyBorder="0" applyAlignment="0" applyProtection="0"/>
  </cellStyleXfs>
  <cellXfs count="245">
    <xf numFmtId="0" fontId="0" fillId="0" borderId="0" xfId="0"/>
    <xf numFmtId="0" fontId="2" fillId="0" borderId="0" xfId="1" applyFont="1"/>
    <xf numFmtId="0" fontId="3" fillId="0" borderId="0" xfId="1" applyFont="1" applyFill="1" applyBorder="1"/>
    <xf numFmtId="0" fontId="2" fillId="0" borderId="0" xfId="1" applyFont="1" applyAlignment="1">
      <alignment wrapText="1"/>
    </xf>
    <xf numFmtId="164" fontId="5" fillId="6" borderId="31" xfId="1" applyNumberFormat="1" applyFont="1" applyFill="1" applyBorder="1" applyAlignment="1">
      <alignment horizontal="left"/>
    </xf>
    <xf numFmtId="0" fontId="5" fillId="6" borderId="31" xfId="1" applyFont="1" applyFill="1" applyBorder="1" applyAlignment="1">
      <alignment horizontal="left"/>
    </xf>
    <xf numFmtId="164" fontId="5" fillId="0" borderId="31" xfId="1" applyNumberFormat="1" applyFont="1" applyFill="1" applyBorder="1" applyAlignment="1">
      <alignment horizontal="left"/>
    </xf>
    <xf numFmtId="0" fontId="5" fillId="0" borderId="29" xfId="1" applyFont="1" applyFill="1" applyBorder="1" applyAlignment="1">
      <alignment horizontal="left"/>
    </xf>
    <xf numFmtId="0" fontId="5" fillId="0" borderId="39" xfId="1" applyFont="1" applyFill="1" applyBorder="1" applyAlignment="1"/>
    <xf numFmtId="0" fontId="5" fillId="0" borderId="21" xfId="1" applyFont="1" applyFill="1" applyBorder="1" applyAlignment="1"/>
    <xf numFmtId="164" fontId="2" fillId="0" borderId="0" xfId="1" applyNumberFormat="1" applyFont="1"/>
    <xf numFmtId="164" fontId="6" fillId="0" borderId="18" xfId="1" applyNumberFormat="1" applyFont="1" applyFill="1" applyBorder="1" applyAlignment="1">
      <alignment horizontal="right" vertical="center"/>
    </xf>
    <xf numFmtId="0" fontId="7" fillId="2" borderId="6" xfId="1" applyFont="1" applyFill="1" applyBorder="1" applyAlignment="1">
      <alignment vertical="center"/>
    </xf>
    <xf numFmtId="0" fontId="7" fillId="2" borderId="7" xfId="1" applyFont="1" applyFill="1" applyBorder="1" applyAlignment="1">
      <alignment vertical="center"/>
    </xf>
    <xf numFmtId="14" fontId="6" fillId="3" borderId="13" xfId="1" applyNumberFormat="1" applyFont="1" applyFill="1" applyBorder="1" applyAlignment="1">
      <alignment horizontal="center"/>
    </xf>
    <xf numFmtId="0" fontId="5" fillId="0" borderId="15" xfId="1" applyFont="1" applyFill="1" applyBorder="1" applyAlignment="1"/>
    <xf numFmtId="0" fontId="5" fillId="0" borderId="23" xfId="1" applyFont="1" applyFill="1" applyBorder="1" applyAlignment="1"/>
    <xf numFmtId="0" fontId="7" fillId="2" borderId="2" xfId="1" applyFont="1" applyFill="1" applyBorder="1" applyAlignment="1">
      <alignment vertical="center"/>
    </xf>
    <xf numFmtId="0" fontId="7" fillId="2" borderId="16" xfId="1" applyFont="1" applyFill="1" applyBorder="1" applyAlignment="1">
      <alignment horizontal="center" vertical="center" wrapText="1"/>
    </xf>
    <xf numFmtId="0" fontId="7" fillId="2" borderId="8" xfId="1" applyFont="1" applyFill="1" applyBorder="1" applyAlignment="1">
      <alignment horizontal="center" vertical="center" wrapText="1"/>
    </xf>
    <xf numFmtId="0" fontId="5" fillId="0" borderId="19" xfId="1" applyFont="1" applyFill="1" applyBorder="1" applyAlignment="1">
      <alignment horizontal="left"/>
    </xf>
    <xf numFmtId="0" fontId="5" fillId="0" borderId="32" xfId="1" applyFont="1" applyFill="1" applyBorder="1" applyAlignment="1">
      <alignment horizontal="left"/>
    </xf>
    <xf numFmtId="164" fontId="6" fillId="0" borderId="18" xfId="1" applyNumberFormat="1" applyFont="1" applyFill="1" applyBorder="1" applyAlignment="1">
      <alignment horizontal="right" vertical="center" indent="1"/>
    </xf>
    <xf numFmtId="164" fontId="7" fillId="2" borderId="16" xfId="2" applyNumberFormat="1" applyFont="1" applyFill="1" applyBorder="1" applyAlignment="1">
      <alignment horizontal="right" vertical="center" indent="1"/>
    </xf>
    <xf numFmtId="164" fontId="6" fillId="0" borderId="13" xfId="1" applyNumberFormat="1" applyFont="1" applyFill="1" applyBorder="1" applyAlignment="1">
      <alignment horizontal="right" vertical="center" indent="1"/>
    </xf>
    <xf numFmtId="0" fontId="5" fillId="0" borderId="22" xfId="1" applyFont="1" applyFill="1" applyBorder="1" applyAlignment="1">
      <alignment horizontal="left"/>
    </xf>
    <xf numFmtId="9" fontId="5" fillId="0" borderId="21" xfId="1" applyNumberFormat="1" applyFont="1" applyFill="1" applyBorder="1" applyAlignment="1">
      <alignment horizontal="center" vertical="center"/>
    </xf>
    <xf numFmtId="164" fontId="5" fillId="7" borderId="33" xfId="1" applyNumberFormat="1" applyFont="1" applyFill="1" applyBorder="1" applyAlignment="1">
      <alignment horizontal="left"/>
    </xf>
    <xf numFmtId="0" fontId="11" fillId="7" borderId="11" xfId="1" applyFont="1" applyFill="1" applyBorder="1" applyAlignment="1">
      <alignment horizontal="center" vertical="center"/>
    </xf>
    <xf numFmtId="0" fontId="11" fillId="7" borderId="13" xfId="1" applyFont="1" applyFill="1" applyBorder="1" applyAlignment="1">
      <alignment horizontal="center" vertical="center"/>
    </xf>
    <xf numFmtId="0" fontId="11" fillId="7" borderId="25" xfId="1" applyFont="1" applyFill="1" applyBorder="1" applyAlignment="1">
      <alignment horizontal="center" vertical="center"/>
    </xf>
    <xf numFmtId="0" fontId="7" fillId="2" borderId="7" xfId="1" applyFont="1" applyFill="1" applyBorder="1" applyAlignment="1">
      <alignment horizontal="center" vertical="center"/>
    </xf>
    <xf numFmtId="0" fontId="7" fillId="2" borderId="27" xfId="1" applyFont="1" applyFill="1" applyBorder="1" applyAlignment="1">
      <alignment horizontal="center" vertical="center"/>
    </xf>
    <xf numFmtId="0" fontId="4" fillId="0" borderId="0" xfId="1" applyFont="1" applyAlignment="1">
      <alignment horizontal="center"/>
    </xf>
    <xf numFmtId="0" fontId="8" fillId="0" borderId="23" xfId="1" applyFont="1" applyFill="1" applyBorder="1" applyAlignment="1">
      <alignment horizontal="center"/>
    </xf>
    <xf numFmtId="10" fontId="8" fillId="7" borderId="13" xfId="1" applyNumberFormat="1" applyFont="1" applyFill="1" applyBorder="1" applyAlignment="1">
      <alignment horizontal="center" vertical="center"/>
    </xf>
    <xf numFmtId="10" fontId="7" fillId="7" borderId="11" xfId="2" applyNumberFormat="1" applyFont="1" applyFill="1" applyBorder="1" applyAlignment="1">
      <alignment horizontal="center"/>
    </xf>
    <xf numFmtId="10" fontId="8" fillId="7" borderId="14" xfId="1" applyNumberFormat="1" applyFont="1" applyFill="1" applyBorder="1" applyAlignment="1">
      <alignment horizontal="center" vertical="center"/>
    </xf>
    <xf numFmtId="0" fontId="7" fillId="2" borderId="40" xfId="1" applyFont="1" applyFill="1" applyBorder="1" applyAlignment="1">
      <alignment vertical="center"/>
    </xf>
    <xf numFmtId="164" fontId="7" fillId="2" borderId="27" xfId="2" applyNumberFormat="1" applyFont="1" applyFill="1" applyBorder="1" applyAlignment="1">
      <alignment horizontal="right" vertical="center" indent="1"/>
    </xf>
    <xf numFmtId="0" fontId="5" fillId="0" borderId="21" xfId="1" applyFont="1" applyFill="1" applyBorder="1" applyAlignment="1">
      <alignment horizontal="left"/>
    </xf>
    <xf numFmtId="0" fontId="7" fillId="2" borderId="2" xfId="1" applyFont="1" applyFill="1" applyBorder="1" applyAlignment="1">
      <alignment horizontal="center" vertical="center"/>
    </xf>
    <xf numFmtId="10" fontId="8" fillId="7" borderId="9" xfId="1" applyNumberFormat="1" applyFont="1" applyFill="1" applyBorder="1" applyAlignment="1">
      <alignment horizontal="center" vertical="center"/>
    </xf>
    <xf numFmtId="10" fontId="8" fillId="7" borderId="15" xfId="1" applyNumberFormat="1" applyFont="1" applyFill="1" applyBorder="1" applyAlignment="1">
      <alignment horizontal="center" vertical="center"/>
    </xf>
    <xf numFmtId="164" fontId="6" fillId="0" borderId="11" xfId="1" applyNumberFormat="1" applyFont="1" applyFill="1" applyBorder="1" applyAlignment="1">
      <alignment horizontal="right" vertical="center" indent="1"/>
    </xf>
    <xf numFmtId="0" fontId="7" fillId="2" borderId="16" xfId="1" applyFont="1" applyFill="1" applyBorder="1"/>
    <xf numFmtId="0" fontId="9" fillId="0" borderId="30" xfId="1" applyFont="1" applyFill="1" applyBorder="1" applyAlignment="1"/>
    <xf numFmtId="0" fontId="9" fillId="0" borderId="30" xfId="1" applyFont="1" applyFill="1" applyBorder="1" applyAlignment="1">
      <alignment horizontal="left"/>
    </xf>
    <xf numFmtId="0" fontId="12" fillId="5" borderId="1" xfId="1" applyFont="1" applyFill="1" applyBorder="1" applyAlignment="1">
      <alignment vertical="center"/>
    </xf>
    <xf numFmtId="0" fontId="10" fillId="5" borderId="3" xfId="1" applyFont="1" applyFill="1" applyBorder="1" applyAlignment="1">
      <alignment vertical="center"/>
    </xf>
    <xf numFmtId="0" fontId="12" fillId="2" borderId="1" xfId="1" applyFont="1" applyFill="1" applyBorder="1" applyAlignment="1">
      <alignment vertical="center"/>
    </xf>
    <xf numFmtId="0" fontId="9" fillId="0" borderId="26" xfId="1" applyFont="1" applyFill="1" applyBorder="1" applyAlignment="1">
      <alignment horizontal="left"/>
    </xf>
    <xf numFmtId="0" fontId="9" fillId="0" borderId="17" xfId="1" applyFont="1" applyFill="1" applyBorder="1" applyAlignment="1">
      <alignment horizontal="left"/>
    </xf>
    <xf numFmtId="0" fontId="9" fillId="0" borderId="24" xfId="1" applyFont="1" applyFill="1" applyBorder="1" applyAlignment="1">
      <alignment horizontal="left"/>
    </xf>
    <xf numFmtId="0" fontId="9" fillId="0" borderId="12" xfId="1" applyFont="1" applyFill="1" applyBorder="1" applyAlignment="1"/>
    <xf numFmtId="0" fontId="11" fillId="7" borderId="20" xfId="1" applyFont="1" applyFill="1" applyBorder="1" applyAlignment="1">
      <alignment horizontal="center" vertical="center"/>
    </xf>
    <xf numFmtId="0" fontId="5" fillId="6" borderId="37" xfId="1" applyFont="1" applyFill="1" applyBorder="1" applyAlignment="1">
      <alignment horizontal="left"/>
    </xf>
    <xf numFmtId="0" fontId="5" fillId="6" borderId="29" xfId="1" applyFont="1" applyFill="1" applyBorder="1" applyAlignment="1">
      <alignment horizontal="left"/>
    </xf>
    <xf numFmtId="164" fontId="12" fillId="5" borderId="34" xfId="1" applyNumberFormat="1" applyFont="1" applyFill="1" applyBorder="1" applyAlignment="1">
      <alignment vertical="center"/>
    </xf>
    <xf numFmtId="0" fontId="12" fillId="5" borderId="34" xfId="1" applyFont="1" applyFill="1" applyBorder="1" applyAlignment="1">
      <alignment vertical="center"/>
    </xf>
    <xf numFmtId="164" fontId="12" fillId="5" borderId="27" xfId="1" applyNumberFormat="1" applyFont="1" applyFill="1" applyBorder="1" applyAlignment="1">
      <alignment horizontal="right" vertical="center" indent="1"/>
    </xf>
    <xf numFmtId="0" fontId="10" fillId="5" borderId="4" xfId="1" applyFont="1" applyFill="1" applyBorder="1" applyAlignment="1">
      <alignment horizontal="center" vertical="center"/>
    </xf>
    <xf numFmtId="9" fontId="10" fillId="5" borderId="36" xfId="1" applyNumberFormat="1" applyFont="1" applyFill="1" applyBorder="1" applyAlignment="1">
      <alignment vertical="center"/>
    </xf>
    <xf numFmtId="164" fontId="10" fillId="5" borderId="28" xfId="1" applyNumberFormat="1" applyFont="1" applyFill="1" applyBorder="1" applyAlignment="1">
      <alignment horizontal="right" vertical="center" indent="1"/>
    </xf>
    <xf numFmtId="0" fontId="12" fillId="5" borderId="27" xfId="1" applyFont="1" applyFill="1" applyBorder="1" applyAlignment="1">
      <alignment horizontal="center" vertical="center"/>
    </xf>
    <xf numFmtId="0" fontId="14" fillId="0" borderId="28" xfId="0" applyFont="1" applyBorder="1" applyAlignment="1">
      <alignment horizontal="center" vertical="center"/>
    </xf>
    <xf numFmtId="0" fontId="14" fillId="0" borderId="5" xfId="0" applyFont="1" applyBorder="1" applyAlignment="1">
      <alignment horizontal="center" vertical="center"/>
    </xf>
    <xf numFmtId="0" fontId="5" fillId="0" borderId="31" xfId="1" applyFont="1" applyFill="1" applyBorder="1" applyAlignment="1">
      <alignment horizontal="left"/>
    </xf>
    <xf numFmtId="0" fontId="5" fillId="0" borderId="37" xfId="1" applyFont="1" applyFill="1" applyBorder="1" applyAlignment="1">
      <alignment horizontal="left"/>
    </xf>
    <xf numFmtId="0" fontId="14" fillId="0" borderId="0" xfId="0" applyFont="1" applyBorder="1" applyAlignment="1">
      <alignment horizontal="center" vertical="center"/>
    </xf>
    <xf numFmtId="0" fontId="7" fillId="2" borderId="6" xfId="1" applyFont="1" applyFill="1" applyBorder="1" applyAlignment="1">
      <alignment horizontal="center" vertical="center"/>
    </xf>
    <xf numFmtId="0" fontId="14" fillId="0" borderId="5" xfId="0" applyFont="1" applyBorder="1" applyAlignment="1">
      <alignment horizontal="left" vertical="center"/>
    </xf>
    <xf numFmtId="0" fontId="13" fillId="0" borderId="5" xfId="0" applyFont="1" applyBorder="1" applyAlignment="1">
      <alignment horizontal="center" vertical="center"/>
    </xf>
    <xf numFmtId="0" fontId="13" fillId="0" borderId="28" xfId="0" applyFont="1" applyBorder="1" applyAlignment="1">
      <alignment horizontal="center" vertical="center" wrapText="1"/>
    </xf>
    <xf numFmtId="0" fontId="13" fillId="0" borderId="4" xfId="0" applyFont="1" applyBorder="1" applyAlignment="1">
      <alignment horizontal="center" vertical="center"/>
    </xf>
    <xf numFmtId="0" fontId="14" fillId="0" borderId="38" xfId="0" applyFont="1" applyBorder="1" applyAlignment="1">
      <alignment horizontal="left" vertical="center"/>
    </xf>
    <xf numFmtId="0" fontId="14" fillId="0" borderId="35" xfId="0" applyFont="1" applyBorder="1" applyAlignment="1">
      <alignment horizontal="center" vertical="center"/>
    </xf>
    <xf numFmtId="0" fontId="14" fillId="0" borderId="38" xfId="0" applyFont="1" applyBorder="1" applyAlignment="1">
      <alignment horizontal="center" vertical="center"/>
    </xf>
    <xf numFmtId="0" fontId="14" fillId="8" borderId="4" xfId="0" applyFont="1" applyFill="1" applyBorder="1" applyAlignment="1">
      <alignment horizontal="center" vertical="center"/>
    </xf>
    <xf numFmtId="0" fontId="14" fillId="8" borderId="0" xfId="0" applyFont="1" applyFill="1" applyBorder="1" applyAlignment="1">
      <alignment horizontal="center" vertical="center"/>
    </xf>
    <xf numFmtId="164" fontId="9" fillId="2" borderId="16" xfId="1" applyNumberFormat="1" applyFont="1" applyFill="1" applyBorder="1" applyAlignment="1">
      <alignment horizontal="center" vertical="center"/>
    </xf>
    <xf numFmtId="0" fontId="9" fillId="2" borderId="16" xfId="1" applyFont="1" applyFill="1" applyBorder="1" applyAlignment="1">
      <alignment horizontal="center" vertical="center"/>
    </xf>
    <xf numFmtId="164" fontId="12" fillId="8" borderId="28" xfId="1" applyNumberFormat="1" applyFont="1" applyFill="1" applyBorder="1" applyAlignment="1">
      <alignment horizontal="right" vertical="center" indent="1"/>
    </xf>
    <xf numFmtId="0" fontId="10" fillId="0" borderId="0" xfId="1" applyFont="1"/>
    <xf numFmtId="164" fontId="12" fillId="5" borderId="27" xfId="1" applyNumberFormat="1" applyFont="1" applyFill="1" applyBorder="1" applyAlignment="1">
      <alignment horizontal="right" vertical="center"/>
    </xf>
    <xf numFmtId="10" fontId="2" fillId="0" borderId="0" xfId="1" applyNumberFormat="1" applyFont="1"/>
    <xf numFmtId="164" fontId="15" fillId="9" borderId="18" xfId="1" applyNumberFormat="1" applyFont="1" applyFill="1" applyBorder="1" applyAlignment="1">
      <alignment horizontal="right" vertical="center"/>
    </xf>
    <xf numFmtId="0" fontId="9" fillId="0" borderId="19" xfId="1" applyFont="1" applyFill="1" applyBorder="1" applyAlignment="1"/>
    <xf numFmtId="0" fontId="11" fillId="8" borderId="9" xfId="1" applyFont="1" applyFill="1" applyBorder="1" applyAlignment="1">
      <alignment horizontal="center" vertical="center"/>
    </xf>
    <xf numFmtId="0" fontId="11" fillId="8" borderId="14" xfId="1" applyFont="1" applyFill="1" applyBorder="1" applyAlignment="1">
      <alignment horizontal="center" vertical="center"/>
    </xf>
    <xf numFmtId="0" fontId="11" fillId="8" borderId="42" xfId="1" applyFont="1" applyFill="1" applyBorder="1" applyAlignment="1">
      <alignment horizontal="center" vertical="center"/>
    </xf>
    <xf numFmtId="0" fontId="11" fillId="8" borderId="15" xfId="1" applyFont="1" applyFill="1" applyBorder="1" applyAlignment="1">
      <alignment horizontal="center" vertical="center"/>
    </xf>
    <xf numFmtId="0" fontId="11" fillId="0" borderId="12" xfId="1" applyFont="1" applyFill="1" applyBorder="1" applyAlignment="1">
      <alignment horizontal="right" vertical="center" indent="1"/>
    </xf>
    <xf numFmtId="9" fontId="5" fillId="0" borderId="32" xfId="1" applyNumberFormat="1" applyFont="1" applyFill="1" applyBorder="1" applyAlignment="1">
      <alignment horizontal="center" vertical="center"/>
    </xf>
    <xf numFmtId="164" fontId="6" fillId="0" borderId="11" xfId="1" applyNumberFormat="1" applyFont="1" applyFill="1" applyBorder="1" applyAlignment="1">
      <alignment horizontal="right" vertical="center"/>
    </xf>
    <xf numFmtId="0" fontId="5" fillId="0" borderId="25" xfId="1" applyFont="1" applyFill="1" applyBorder="1" applyAlignment="1">
      <alignment horizontal="left"/>
    </xf>
    <xf numFmtId="0" fontId="7" fillId="10" borderId="27" xfId="1" applyFont="1" applyFill="1" applyBorder="1" applyAlignment="1">
      <alignment horizontal="center" vertical="center"/>
    </xf>
    <xf numFmtId="14" fontId="6" fillId="0" borderId="13" xfId="1" applyNumberFormat="1" applyFont="1" applyFill="1" applyBorder="1" applyAlignment="1">
      <alignment horizontal="center"/>
    </xf>
    <xf numFmtId="164" fontId="5" fillId="8" borderId="11" xfId="1" applyNumberFormat="1" applyFont="1" applyFill="1" applyBorder="1" applyAlignment="1">
      <alignment horizontal="right" indent="1"/>
    </xf>
    <xf numFmtId="164" fontId="5" fillId="8" borderId="43" xfId="1" applyNumberFormat="1" applyFont="1" applyFill="1" applyBorder="1" applyAlignment="1">
      <alignment horizontal="right"/>
    </xf>
    <xf numFmtId="164" fontId="5" fillId="8" borderId="13" xfId="1" applyNumberFormat="1" applyFont="1" applyFill="1" applyBorder="1" applyAlignment="1">
      <alignment horizontal="right" indent="1"/>
    </xf>
    <xf numFmtId="164" fontId="5" fillId="0" borderId="31" xfId="1" applyNumberFormat="1" applyFont="1" applyFill="1" applyBorder="1" applyAlignment="1">
      <alignment horizontal="right"/>
    </xf>
    <xf numFmtId="164" fontId="5" fillId="0" borderId="13" xfId="1" applyNumberFormat="1" applyFont="1" applyFill="1" applyBorder="1" applyAlignment="1">
      <alignment horizontal="right" indent="1"/>
    </xf>
    <xf numFmtId="0" fontId="5" fillId="0" borderId="31" xfId="1" applyFont="1" applyFill="1" applyBorder="1" applyAlignment="1">
      <alignment horizontal="right"/>
    </xf>
    <xf numFmtId="0" fontId="5" fillId="0" borderId="13" xfId="1" applyFont="1" applyFill="1" applyBorder="1" applyAlignment="1">
      <alignment horizontal="right"/>
    </xf>
    <xf numFmtId="0" fontId="5" fillId="0" borderId="37" xfId="1" applyFont="1" applyFill="1" applyBorder="1" applyAlignment="1">
      <alignment horizontal="right"/>
    </xf>
    <xf numFmtId="0" fontId="9" fillId="0" borderId="9" xfId="1" applyFont="1" applyFill="1" applyBorder="1" applyAlignment="1">
      <alignment horizontal="left"/>
    </xf>
    <xf numFmtId="0" fontId="9" fillId="0" borderId="15" xfId="1" applyFont="1" applyFill="1" applyBorder="1" applyAlignment="1">
      <alignment horizontal="left"/>
    </xf>
    <xf numFmtId="0" fontId="11" fillId="0" borderId="10" xfId="1" applyFont="1" applyFill="1" applyBorder="1" applyAlignment="1">
      <alignment horizontal="right" vertical="center" indent="1"/>
    </xf>
    <xf numFmtId="0" fontId="4" fillId="0" borderId="0" xfId="1" applyFont="1" applyBorder="1" applyAlignment="1">
      <alignment horizontal="right" vertical="center"/>
    </xf>
    <xf numFmtId="0" fontId="11" fillId="0" borderId="41" xfId="1" applyFont="1" applyFill="1" applyBorder="1" applyAlignment="1">
      <alignment horizontal="left" vertical="center" indent="1"/>
    </xf>
    <xf numFmtId="10" fontId="8" fillId="7" borderId="11" xfId="1" applyNumberFormat="1" applyFont="1" applyFill="1" applyBorder="1" applyAlignment="1">
      <alignment horizontal="center" vertical="center"/>
    </xf>
    <xf numFmtId="10" fontId="8" fillId="7" borderId="25" xfId="1" applyNumberFormat="1" applyFont="1" applyFill="1" applyBorder="1" applyAlignment="1">
      <alignment horizontal="center" vertical="center"/>
    </xf>
    <xf numFmtId="0" fontId="5" fillId="0" borderId="6" xfId="1" applyFont="1" applyFill="1" applyBorder="1" applyAlignment="1"/>
    <xf numFmtId="0" fontId="4" fillId="0" borderId="7" xfId="1" applyFont="1" applyBorder="1" applyAlignment="1">
      <alignment horizontal="center"/>
    </xf>
    <xf numFmtId="0" fontId="10" fillId="8" borderId="44" xfId="1" applyFont="1" applyFill="1" applyBorder="1" applyAlignment="1">
      <alignment horizontal="center"/>
    </xf>
    <xf numFmtId="0" fontId="5" fillId="0" borderId="7" xfId="1" applyFont="1" applyFill="1" applyBorder="1" applyAlignment="1"/>
    <xf numFmtId="0" fontId="5" fillId="0" borderId="8" xfId="1" applyFont="1" applyFill="1" applyBorder="1" applyAlignment="1"/>
    <xf numFmtId="0" fontId="10" fillId="0" borderId="7" xfId="1" applyFont="1" applyFill="1" applyBorder="1" applyAlignment="1">
      <alignment horizontal="right" vertical="center"/>
    </xf>
    <xf numFmtId="164" fontId="6" fillId="0" borderId="14" xfId="1" applyNumberFormat="1" applyFont="1" applyFill="1" applyBorder="1" applyAlignment="1">
      <alignment horizontal="right" vertical="center" indent="1"/>
    </xf>
    <xf numFmtId="164" fontId="6" fillId="0" borderId="30" xfId="1" applyNumberFormat="1" applyFont="1" applyFill="1" applyBorder="1" applyAlignment="1">
      <alignment horizontal="right" vertical="center" indent="1"/>
    </xf>
    <xf numFmtId="164" fontId="7" fillId="2" borderId="1" xfId="2" applyNumberFormat="1" applyFont="1" applyFill="1" applyBorder="1" applyAlignment="1">
      <alignment horizontal="right" vertical="center" indent="1"/>
    </xf>
    <xf numFmtId="164" fontId="6" fillId="0" borderId="9" xfId="1" applyNumberFormat="1" applyFont="1" applyFill="1" applyBorder="1" applyAlignment="1">
      <alignment horizontal="right" vertical="center" indent="1"/>
    </xf>
    <xf numFmtId="164" fontId="6" fillId="0" borderId="13" xfId="1" applyNumberFormat="1" applyFont="1" applyFill="1" applyBorder="1" applyAlignment="1">
      <alignment horizontal="right" vertical="center"/>
    </xf>
    <xf numFmtId="164" fontId="12" fillId="5" borderId="16" xfId="1" applyNumberFormat="1" applyFont="1" applyFill="1" applyBorder="1" applyAlignment="1">
      <alignment horizontal="right" vertical="center" indent="1"/>
    </xf>
    <xf numFmtId="164" fontId="10" fillId="5" borderId="16" xfId="1" applyNumberFormat="1" applyFont="1" applyFill="1" applyBorder="1" applyAlignment="1">
      <alignment horizontal="right" vertical="center" indent="1"/>
    </xf>
    <xf numFmtId="164" fontId="6" fillId="0" borderId="25" xfId="1" applyNumberFormat="1" applyFont="1" applyFill="1" applyBorder="1" applyAlignment="1">
      <alignment horizontal="right" vertical="center"/>
    </xf>
    <xf numFmtId="164" fontId="6" fillId="0" borderId="20" xfId="1" applyNumberFormat="1" applyFont="1" applyFill="1" applyBorder="1" applyAlignment="1">
      <alignment horizontal="right" vertical="center" indent="1"/>
    </xf>
    <xf numFmtId="164" fontId="6" fillId="0" borderId="35" xfId="1" applyNumberFormat="1" applyFont="1" applyFill="1" applyBorder="1" applyAlignment="1">
      <alignment horizontal="right" vertical="center" indent="1"/>
    </xf>
    <xf numFmtId="0" fontId="9" fillId="0" borderId="23" xfId="1" applyFont="1" applyFill="1" applyBorder="1" applyAlignment="1"/>
    <xf numFmtId="0" fontId="8" fillId="0" borderId="20" xfId="1" applyFont="1" applyFill="1" applyBorder="1" applyAlignment="1">
      <alignment horizontal="center"/>
    </xf>
    <xf numFmtId="9" fontId="5" fillId="0" borderId="45" xfId="1" applyNumberFormat="1" applyFont="1" applyFill="1" applyBorder="1" applyAlignment="1">
      <alignment horizontal="center" vertical="center"/>
    </xf>
    <xf numFmtId="164" fontId="6" fillId="0" borderId="42" xfId="1" applyNumberFormat="1" applyFont="1" applyFill="1" applyBorder="1" applyAlignment="1">
      <alignment horizontal="right" vertical="center" indent="1"/>
    </xf>
    <xf numFmtId="0" fontId="10" fillId="5" borderId="6" xfId="1" applyFont="1" applyFill="1" applyBorder="1" applyAlignment="1">
      <alignment vertical="center"/>
    </xf>
    <xf numFmtId="0" fontId="10" fillId="5" borderId="16" xfId="1" applyFont="1" applyFill="1" applyBorder="1" applyAlignment="1">
      <alignment horizontal="center" vertical="center"/>
    </xf>
    <xf numFmtId="0" fontId="10" fillId="5" borderId="7" xfId="1" applyFont="1" applyFill="1" applyBorder="1" applyAlignment="1">
      <alignment horizontal="center" vertical="center"/>
    </xf>
    <xf numFmtId="9" fontId="10" fillId="5" borderId="44" xfId="1" applyNumberFormat="1" applyFont="1" applyFill="1" applyBorder="1" applyAlignment="1">
      <alignment vertical="center"/>
    </xf>
    <xf numFmtId="164" fontId="10" fillId="5" borderId="6" xfId="1" applyNumberFormat="1" applyFont="1" applyFill="1" applyBorder="1" applyAlignment="1">
      <alignment horizontal="right" vertical="center" indent="1"/>
    </xf>
    <xf numFmtId="10" fontId="8" fillId="7" borderId="18" xfId="1" applyNumberFormat="1" applyFont="1" applyFill="1" applyBorder="1" applyAlignment="1">
      <alignment horizontal="center" vertical="center"/>
    </xf>
    <xf numFmtId="0" fontId="12" fillId="5" borderId="6" xfId="1" applyFont="1" applyFill="1" applyBorder="1" applyAlignment="1">
      <alignment vertical="center"/>
    </xf>
    <xf numFmtId="0" fontId="12" fillId="5" borderId="16" xfId="1" applyFont="1" applyFill="1" applyBorder="1" applyAlignment="1">
      <alignment horizontal="center" vertical="center"/>
    </xf>
    <xf numFmtId="0" fontId="12" fillId="5" borderId="7" xfId="1" applyFont="1" applyFill="1" applyBorder="1" applyAlignment="1">
      <alignment horizontal="center" vertical="center"/>
    </xf>
    <xf numFmtId="164" fontId="12" fillId="5" borderId="16" xfId="1" applyNumberFormat="1" applyFont="1" applyFill="1" applyBorder="1" applyAlignment="1">
      <alignment vertical="center"/>
    </xf>
    <xf numFmtId="0" fontId="12" fillId="5" borderId="7" xfId="1" applyFont="1" applyFill="1" applyBorder="1" applyAlignment="1">
      <alignment vertical="center"/>
    </xf>
    <xf numFmtId="164" fontId="5" fillId="8" borderId="10" xfId="1" applyNumberFormat="1" applyFont="1" applyFill="1" applyBorder="1" applyAlignment="1">
      <alignment horizontal="right"/>
    </xf>
    <xf numFmtId="164" fontId="5" fillId="0" borderId="12" xfId="1" applyNumberFormat="1" applyFont="1" applyFill="1" applyBorder="1" applyAlignment="1">
      <alignment horizontal="right"/>
    </xf>
    <xf numFmtId="0" fontId="5" fillId="0" borderId="12" xfId="1" applyFont="1" applyFill="1" applyBorder="1" applyAlignment="1">
      <alignment horizontal="right"/>
    </xf>
    <xf numFmtId="0" fontId="5" fillId="0" borderId="23" xfId="1" applyFont="1" applyFill="1" applyBorder="1" applyAlignment="1">
      <alignment horizontal="right"/>
    </xf>
    <xf numFmtId="0" fontId="5" fillId="0" borderId="41" xfId="1" applyFont="1" applyFill="1" applyBorder="1" applyAlignment="1">
      <alignment horizontal="left"/>
    </xf>
    <xf numFmtId="164" fontId="6" fillId="0" borderId="43" xfId="1" applyNumberFormat="1" applyFont="1" applyFill="1" applyBorder="1" applyAlignment="1">
      <alignment horizontal="right" vertical="center"/>
    </xf>
    <xf numFmtId="164" fontId="6" fillId="0" borderId="31" xfId="1" applyNumberFormat="1" applyFont="1" applyFill="1" applyBorder="1" applyAlignment="1">
      <alignment horizontal="right" vertical="center"/>
    </xf>
    <xf numFmtId="164" fontId="6" fillId="0" borderId="29" xfId="1" applyNumberFormat="1" applyFont="1" applyFill="1" applyBorder="1" applyAlignment="1">
      <alignment horizontal="right" vertical="center"/>
    </xf>
    <xf numFmtId="164" fontId="12" fillId="5" borderId="3" xfId="1" applyNumberFormat="1" applyFont="1" applyFill="1" applyBorder="1" applyAlignment="1">
      <alignment horizontal="right" vertical="center" indent="1"/>
    </xf>
    <xf numFmtId="1" fontId="16" fillId="3" borderId="13" xfId="1" applyNumberFormat="1" applyFont="1" applyFill="1" applyBorder="1" applyAlignment="1">
      <alignment horizontal="center"/>
    </xf>
    <xf numFmtId="0" fontId="17" fillId="2" borderId="1" xfId="1" applyFont="1" applyFill="1" applyBorder="1" applyAlignment="1">
      <alignment vertical="center"/>
    </xf>
    <xf numFmtId="0" fontId="7" fillId="2" borderId="27" xfId="1" applyFont="1" applyFill="1" applyBorder="1" applyAlignment="1">
      <alignment horizontal="center" vertical="top" wrapText="1"/>
    </xf>
    <xf numFmtId="0" fontId="7" fillId="2" borderId="35" xfId="1" applyFont="1" applyFill="1" applyBorder="1" applyAlignment="1">
      <alignment horizontal="center" vertical="top" wrapText="1"/>
    </xf>
    <xf numFmtId="0" fontId="7" fillId="2" borderId="0" xfId="1" applyFont="1" applyFill="1" applyBorder="1" applyAlignment="1">
      <alignment horizontal="center" vertical="top" wrapText="1"/>
    </xf>
    <xf numFmtId="0" fontId="7" fillId="2" borderId="38" xfId="1" applyFont="1" applyFill="1" applyBorder="1" applyAlignment="1">
      <alignment horizontal="center" vertical="top" wrapText="1"/>
    </xf>
    <xf numFmtId="0" fontId="7" fillId="2" borderId="1" xfId="1" applyFont="1" applyFill="1" applyBorder="1" applyAlignment="1">
      <alignment horizontal="center" vertical="top"/>
    </xf>
    <xf numFmtId="0" fontId="7" fillId="8" borderId="1" xfId="1" applyFont="1" applyFill="1" applyBorder="1" applyAlignment="1">
      <alignment horizontal="center" vertical="top"/>
    </xf>
    <xf numFmtId="0" fontId="7" fillId="2" borderId="3" xfId="1" applyFont="1" applyFill="1" applyBorder="1" applyAlignment="1">
      <alignment horizontal="center" vertical="top"/>
    </xf>
    <xf numFmtId="0" fontId="9" fillId="0" borderId="42" xfId="1" applyFont="1" applyFill="1" applyBorder="1" applyAlignment="1">
      <alignment horizontal="left"/>
    </xf>
    <xf numFmtId="10" fontId="8" fillId="7" borderId="20" xfId="1" applyNumberFormat="1" applyFont="1" applyFill="1" applyBorder="1" applyAlignment="1">
      <alignment horizontal="center" vertical="center"/>
    </xf>
    <xf numFmtId="0" fontId="5" fillId="0" borderId="45" xfId="1" applyFont="1" applyFill="1" applyBorder="1" applyAlignment="1">
      <alignment horizontal="left"/>
    </xf>
    <xf numFmtId="0" fontId="12" fillId="4" borderId="7" xfId="1" applyFont="1" applyFill="1" applyBorder="1" applyAlignment="1">
      <alignment vertical="center"/>
    </xf>
    <xf numFmtId="164" fontId="12" fillId="4" borderId="6" xfId="1" applyNumberFormat="1" applyFont="1" applyFill="1" applyBorder="1" applyAlignment="1">
      <alignment horizontal="right" vertical="center" indent="1"/>
    </xf>
    <xf numFmtId="0" fontId="9" fillId="0" borderId="34" xfId="1" applyFont="1" applyFill="1" applyBorder="1" applyAlignment="1"/>
    <xf numFmtId="0" fontId="11" fillId="0" borderId="23" xfId="1" applyFont="1" applyFill="1" applyBorder="1" applyAlignment="1">
      <alignment horizontal="left" vertical="center" indent="1"/>
    </xf>
    <xf numFmtId="0" fontId="5" fillId="0" borderId="20" xfId="1" applyFont="1" applyFill="1" applyBorder="1" applyAlignment="1">
      <alignment horizontal="left"/>
    </xf>
    <xf numFmtId="0" fontId="5" fillId="0" borderId="23" xfId="1" applyFont="1" applyFill="1" applyBorder="1" applyAlignment="1">
      <alignment horizontal="left"/>
    </xf>
    <xf numFmtId="0" fontId="7" fillId="2" borderId="16" xfId="1" applyFont="1" applyFill="1" applyBorder="1" applyAlignment="1">
      <alignment horizontal="center" vertical="top"/>
    </xf>
    <xf numFmtId="164" fontId="12" fillId="5" borderId="28" xfId="1" applyNumberFormat="1" applyFont="1" applyFill="1" applyBorder="1" applyAlignment="1">
      <alignment horizontal="right" vertical="center" indent="1"/>
    </xf>
    <xf numFmtId="0" fontId="18" fillId="0" borderId="0" xfId="0" applyFont="1"/>
    <xf numFmtId="0" fontId="7" fillId="2" borderId="6" xfId="1" applyFont="1" applyFill="1" applyBorder="1" applyAlignment="1">
      <alignment horizontal="center" vertical="center" wrapText="1"/>
    </xf>
    <xf numFmtId="10" fontId="8" fillId="0" borderId="19" xfId="1" applyNumberFormat="1" applyFont="1" applyFill="1" applyBorder="1" applyAlignment="1">
      <alignment horizontal="center" vertical="center"/>
    </xf>
    <xf numFmtId="10" fontId="8" fillId="0" borderId="12" xfId="1" applyNumberFormat="1" applyFont="1" applyFill="1" applyBorder="1" applyAlignment="1">
      <alignment horizontal="center" vertical="center"/>
    </xf>
    <xf numFmtId="10" fontId="7" fillId="0" borderId="19" xfId="2" applyNumberFormat="1" applyFont="1" applyFill="1" applyBorder="1" applyAlignment="1">
      <alignment horizontal="center"/>
    </xf>
    <xf numFmtId="10" fontId="8" fillId="0" borderId="10" xfId="1" applyNumberFormat="1" applyFont="1" applyFill="1" applyBorder="1" applyAlignment="1">
      <alignment horizontal="center" vertical="center"/>
    </xf>
    <xf numFmtId="10" fontId="8" fillId="0" borderId="41" xfId="1" applyNumberFormat="1" applyFont="1" applyFill="1" applyBorder="1" applyAlignment="1">
      <alignment horizontal="center" vertical="center"/>
    </xf>
    <xf numFmtId="10" fontId="8" fillId="0" borderId="0" xfId="1" applyNumberFormat="1" applyFont="1" applyFill="1" applyBorder="1" applyAlignment="1">
      <alignment horizontal="center" vertical="center"/>
    </xf>
    <xf numFmtId="0" fontId="0" fillId="0" borderId="0" xfId="0" applyAlignment="1">
      <alignment wrapText="1"/>
    </xf>
    <xf numFmtId="10" fontId="8" fillId="7" borderId="21" xfId="1" applyNumberFormat="1" applyFont="1" applyFill="1" applyBorder="1" applyAlignment="1">
      <alignment horizontal="center" vertical="center"/>
    </xf>
    <xf numFmtId="0" fontId="10" fillId="8" borderId="21" xfId="1" applyFont="1" applyFill="1" applyBorder="1" applyAlignment="1">
      <alignment horizontal="center"/>
    </xf>
    <xf numFmtId="0" fontId="12" fillId="5" borderId="3" xfId="1" applyFont="1" applyFill="1" applyBorder="1" applyAlignment="1">
      <alignment vertical="center"/>
    </xf>
    <xf numFmtId="0" fontId="12" fillId="5" borderId="4" xfId="1" applyFont="1" applyFill="1" applyBorder="1" applyAlignment="1">
      <alignment horizontal="center" vertical="center"/>
    </xf>
    <xf numFmtId="164" fontId="12" fillId="5" borderId="36" xfId="1" applyNumberFormat="1" applyFont="1" applyFill="1" applyBorder="1" applyAlignment="1">
      <alignment vertical="center"/>
    </xf>
    <xf numFmtId="0" fontId="12" fillId="5" borderId="4" xfId="1" applyFont="1" applyFill="1" applyBorder="1" applyAlignment="1">
      <alignment vertical="center"/>
    </xf>
    <xf numFmtId="164" fontId="12" fillId="5" borderId="25" xfId="1" applyNumberFormat="1" applyFont="1" applyFill="1" applyBorder="1" applyAlignment="1">
      <alignment horizontal="right" vertical="center" indent="1"/>
    </xf>
    <xf numFmtId="0" fontId="11" fillId="8" borderId="11" xfId="1" applyFont="1" applyFill="1" applyBorder="1" applyAlignment="1">
      <alignment horizontal="center" vertical="center"/>
    </xf>
    <xf numFmtId="0" fontId="11" fillId="7" borderId="12" xfId="1" applyFont="1" applyFill="1" applyBorder="1" applyAlignment="1">
      <alignment horizontal="right" vertical="center" indent="1"/>
    </xf>
    <xf numFmtId="9" fontId="2" fillId="0" borderId="0" xfId="1" applyNumberFormat="1" applyFont="1"/>
    <xf numFmtId="4" fontId="2" fillId="0" borderId="0" xfId="1" applyNumberFormat="1" applyFont="1"/>
    <xf numFmtId="164" fontId="5" fillId="0" borderId="21" xfId="1" applyNumberFormat="1" applyFont="1" applyFill="1" applyBorder="1" applyAlignment="1">
      <alignment horizontal="right" indent="1"/>
    </xf>
    <xf numFmtId="0" fontId="2" fillId="0" borderId="21" xfId="1" applyFont="1" applyBorder="1"/>
    <xf numFmtId="4" fontId="2" fillId="0" borderId="21" xfId="1" applyNumberFormat="1" applyFont="1" applyBorder="1"/>
    <xf numFmtId="0" fontId="8" fillId="2" borderId="21" xfId="1" applyFont="1" applyFill="1" applyBorder="1" applyAlignment="1">
      <alignment horizontal="center"/>
    </xf>
    <xf numFmtId="164" fontId="9" fillId="2" borderId="27" xfId="1" applyNumberFormat="1" applyFont="1" applyFill="1" applyBorder="1" applyAlignment="1">
      <alignment horizontal="center" vertical="center"/>
    </xf>
    <xf numFmtId="164" fontId="5" fillId="12" borderId="21" xfId="1" applyNumberFormat="1" applyFont="1" applyFill="1" applyBorder="1" applyAlignment="1">
      <alignment horizontal="right" indent="1"/>
    </xf>
    <xf numFmtId="164" fontId="12" fillId="5" borderId="44" xfId="1" applyNumberFormat="1" applyFont="1" applyFill="1" applyBorder="1" applyAlignment="1">
      <alignment vertical="center"/>
    </xf>
    <xf numFmtId="0" fontId="5" fillId="13" borderId="21" xfId="1" applyFont="1" applyFill="1" applyBorder="1"/>
    <xf numFmtId="0" fontId="5" fillId="13" borderId="21" xfId="1" applyFont="1" applyFill="1" applyBorder="1" applyAlignment="1">
      <alignment horizontal="left" indent="2"/>
    </xf>
    <xf numFmtId="4" fontId="3" fillId="0" borderId="0" xfId="1" applyNumberFormat="1" applyFont="1" applyFill="1" applyBorder="1"/>
    <xf numFmtId="4" fontId="7" fillId="2" borderId="16" xfId="1" applyNumberFormat="1" applyFont="1" applyFill="1" applyBorder="1" applyAlignment="1">
      <alignment horizontal="center" vertical="top" wrapText="1"/>
    </xf>
    <xf numFmtId="4" fontId="7" fillId="2" borderId="1" xfId="1" applyNumberFormat="1" applyFont="1" applyFill="1" applyBorder="1" applyAlignment="1">
      <alignment horizontal="center" vertical="top" wrapText="1"/>
    </xf>
    <xf numFmtId="4" fontId="6" fillId="0" borderId="14" xfId="1" applyNumberFormat="1" applyFont="1" applyFill="1" applyBorder="1" applyAlignment="1">
      <alignment horizontal="right" vertical="center"/>
    </xf>
    <xf numFmtId="4" fontId="6" fillId="0" borderId="13" xfId="1" applyNumberFormat="1" applyFont="1" applyFill="1" applyBorder="1" applyAlignment="1">
      <alignment horizontal="right" vertical="center"/>
    </xf>
    <xf numFmtId="4" fontId="6" fillId="0" borderId="25" xfId="1" applyNumberFormat="1" applyFont="1" applyFill="1" applyBorder="1" applyAlignment="1">
      <alignment horizontal="right" vertical="center"/>
    </xf>
    <xf numFmtId="4" fontId="12" fillId="5" borderId="28" xfId="1" applyNumberFormat="1" applyFont="1" applyFill="1" applyBorder="1" applyAlignment="1">
      <alignment horizontal="right" vertical="center" indent="1"/>
    </xf>
    <xf numFmtId="4" fontId="6" fillId="0" borderId="18" xfId="1" applyNumberFormat="1" applyFont="1" applyFill="1" applyBorder="1" applyAlignment="1">
      <alignment horizontal="right" vertical="center" indent="1"/>
    </xf>
    <xf numFmtId="4" fontId="6" fillId="0" borderId="13" xfId="1" applyNumberFormat="1" applyFont="1" applyFill="1" applyBorder="1" applyAlignment="1">
      <alignment horizontal="right" vertical="center" indent="1"/>
    </xf>
    <xf numFmtId="4" fontId="6" fillId="0" borderId="20" xfId="1" applyNumberFormat="1" applyFont="1" applyFill="1" applyBorder="1" applyAlignment="1">
      <alignment horizontal="right" vertical="center" indent="1"/>
    </xf>
    <xf numFmtId="4" fontId="10" fillId="5" borderId="16" xfId="1" applyNumberFormat="1" applyFont="1" applyFill="1" applyBorder="1" applyAlignment="1">
      <alignment horizontal="right" vertical="center" indent="1"/>
    </xf>
    <xf numFmtId="4" fontId="6" fillId="0" borderId="35" xfId="1" applyNumberFormat="1" applyFont="1" applyFill="1" applyBorder="1" applyAlignment="1">
      <alignment horizontal="right" vertical="center" indent="1"/>
    </xf>
    <xf numFmtId="4" fontId="7" fillId="2" borderId="16" xfId="2" applyNumberFormat="1" applyFont="1" applyFill="1" applyBorder="1" applyAlignment="1">
      <alignment horizontal="right" vertical="center" indent="1"/>
    </xf>
    <xf numFmtId="4" fontId="12" fillId="8" borderId="16" xfId="1" applyNumberFormat="1" applyFont="1" applyFill="1" applyBorder="1" applyAlignment="1">
      <alignment horizontal="right" vertical="center" indent="1"/>
    </xf>
    <xf numFmtId="4" fontId="12" fillId="0" borderId="16" xfId="1" applyNumberFormat="1" applyFont="1" applyFill="1" applyBorder="1" applyAlignment="1">
      <alignment horizontal="right" vertical="center" indent="1"/>
    </xf>
    <xf numFmtId="4" fontId="12" fillId="5" borderId="16" xfId="1" applyNumberFormat="1" applyFont="1" applyFill="1" applyBorder="1" applyAlignment="1">
      <alignment horizontal="right" vertical="center" indent="1"/>
    </xf>
    <xf numFmtId="4" fontId="19" fillId="0" borderId="46" xfId="0" applyNumberFormat="1" applyFont="1" applyFill="1" applyBorder="1" applyAlignment="1">
      <alignment horizontal="right" vertical="center" wrapText="1"/>
    </xf>
    <xf numFmtId="4" fontId="2" fillId="0" borderId="0" xfId="1" applyNumberFormat="1" applyFont="1" applyFill="1"/>
    <xf numFmtId="4" fontId="6" fillId="0" borderId="11" xfId="1" applyNumberFormat="1" applyFont="1" applyFill="1" applyBorder="1" applyAlignment="1">
      <alignment horizontal="right" vertical="center" indent="1"/>
    </xf>
    <xf numFmtId="4" fontId="6" fillId="0" borderId="14" xfId="1" applyNumberFormat="1" applyFont="1" applyFill="1" applyBorder="1" applyAlignment="1">
      <alignment horizontal="right" vertical="center" indent="1"/>
    </xf>
    <xf numFmtId="4" fontId="6" fillId="0" borderId="9" xfId="1" applyNumberFormat="1" applyFont="1" applyFill="1" applyBorder="1" applyAlignment="1">
      <alignment horizontal="right" vertical="center" indent="1"/>
    </xf>
    <xf numFmtId="0" fontId="2" fillId="0" borderId="0" xfId="1" applyFont="1" applyBorder="1"/>
    <xf numFmtId="0" fontId="17" fillId="0" borderId="0" xfId="1" applyFont="1" applyFill="1" applyBorder="1" applyAlignment="1">
      <alignment vertical="center"/>
    </xf>
    <xf numFmtId="0" fontId="7" fillId="0" borderId="0" xfId="1" applyFont="1" applyFill="1" applyBorder="1" applyAlignment="1">
      <alignment horizontal="center" vertical="center"/>
    </xf>
    <xf numFmtId="0" fontId="7" fillId="0" borderId="0" xfId="1" applyFont="1" applyFill="1" applyBorder="1" applyAlignment="1">
      <alignment vertical="center"/>
    </xf>
    <xf numFmtId="1" fontId="16" fillId="0" borderId="0" xfId="1" applyNumberFormat="1" applyFont="1" applyFill="1" applyBorder="1" applyAlignment="1">
      <alignment horizontal="center"/>
    </xf>
    <xf numFmtId="4" fontId="16" fillId="0" borderId="0" xfId="1" applyNumberFormat="1" applyFont="1" applyFill="1" applyBorder="1" applyAlignment="1">
      <alignment horizontal="center"/>
    </xf>
    <xf numFmtId="14" fontId="6" fillId="0" borderId="16" xfId="1" applyNumberFormat="1" applyFont="1" applyFill="1" applyBorder="1" applyAlignment="1">
      <alignment horizontal="center"/>
    </xf>
    <xf numFmtId="4" fontId="6" fillId="0" borderId="16" xfId="1" applyNumberFormat="1" applyFont="1" applyFill="1" applyBorder="1" applyAlignment="1">
      <alignment horizontal="center"/>
    </xf>
    <xf numFmtId="4" fontId="7" fillId="10" borderId="16" xfId="1" applyNumberFormat="1" applyFont="1" applyFill="1" applyBorder="1" applyAlignment="1">
      <alignment horizontal="center" vertical="center"/>
    </xf>
    <xf numFmtId="0" fontId="7" fillId="2" borderId="16" xfId="1" applyFont="1" applyFill="1" applyBorder="1" applyAlignment="1">
      <alignment horizontal="center" vertical="center"/>
    </xf>
    <xf numFmtId="4" fontId="9" fillId="11" borderId="21" xfId="1" applyNumberFormat="1" applyFont="1" applyFill="1" applyBorder="1" applyAlignment="1">
      <alignment horizontal="center"/>
    </xf>
    <xf numFmtId="4" fontId="7" fillId="8" borderId="1" xfId="1" applyNumberFormat="1" applyFont="1" applyFill="1" applyBorder="1" applyAlignment="1">
      <alignment horizontal="center" vertical="top"/>
    </xf>
    <xf numFmtId="10" fontId="8" fillId="0" borderId="23" xfId="1" applyNumberFormat="1" applyFont="1" applyFill="1" applyBorder="1" applyAlignment="1">
      <alignment horizontal="center" vertical="center"/>
    </xf>
    <xf numFmtId="10" fontId="2" fillId="0" borderId="21" xfId="1" applyNumberFormat="1" applyFont="1" applyBorder="1"/>
    <xf numFmtId="0" fontId="4" fillId="0" borderId="21" xfId="1" applyFont="1" applyBorder="1" applyAlignment="1">
      <alignment horizontal="left"/>
    </xf>
    <xf numFmtId="0" fontId="10" fillId="0" borderId="27" xfId="1" applyFont="1" applyBorder="1" applyAlignment="1">
      <alignment horizontal="center" vertical="center" wrapText="1"/>
    </xf>
    <xf numFmtId="0" fontId="10" fillId="0" borderId="35" xfId="1" applyFont="1" applyBorder="1" applyAlignment="1">
      <alignment horizontal="center" vertical="center" wrapText="1"/>
    </xf>
    <xf numFmtId="0" fontId="10" fillId="0" borderId="28" xfId="1" applyFont="1" applyBorder="1" applyAlignment="1">
      <alignment horizontal="center" vertical="center" wrapText="1"/>
    </xf>
    <xf numFmtId="0" fontId="9" fillId="0" borderId="27" xfId="1" applyFont="1" applyBorder="1" applyAlignment="1">
      <alignment horizontal="center" vertical="center" wrapText="1"/>
    </xf>
    <xf numFmtId="0" fontId="9" fillId="0" borderId="35" xfId="1" applyFont="1" applyBorder="1" applyAlignment="1">
      <alignment horizontal="center" vertical="center" wrapText="1"/>
    </xf>
    <xf numFmtId="0" fontId="9" fillId="0" borderId="28" xfId="1" applyFont="1" applyBorder="1" applyAlignment="1">
      <alignment horizontal="center" vertical="center" wrapText="1"/>
    </xf>
    <xf numFmtId="0" fontId="8" fillId="2" borderId="32" xfId="1" applyFont="1" applyFill="1" applyBorder="1" applyAlignment="1">
      <alignment horizontal="center" vertical="center" wrapText="1"/>
    </xf>
  </cellXfs>
  <cellStyles count="3">
    <cellStyle name="Normal" xfId="0" builtinId="0"/>
    <cellStyle name="Normal 2" xfId="1" xr:uid="{00000000-0005-0000-0000-000001000000}"/>
    <cellStyle name="Porcentaje 2" xfId="2" xr:uid="{00000000-0005-0000-0000-000002000000}"/>
  </cellStyles>
  <dxfs count="7">
    <dxf>
      <font>
        <b val="0"/>
        <i val="0"/>
        <strike val="0"/>
        <condense val="0"/>
        <extend val="0"/>
        <outline val="0"/>
        <shadow val="0"/>
        <u val="none"/>
        <vertAlign val="baseline"/>
        <sz val="11"/>
        <color rgb="FF000000"/>
        <name val="Calibri"/>
        <family val="2"/>
        <scheme val="none"/>
      </font>
      <fill>
        <patternFill patternType="solid">
          <fgColor indexed="64"/>
          <bgColor theme="9" tint="0.39997558519241921"/>
        </patternFill>
      </fill>
      <alignment horizontal="center" vertical="center" textRotation="0" wrapText="0" indent="0" justifyLastLine="0" shrinkToFit="0" readingOrder="0"/>
      <border diagonalUp="0" diagonalDown="0" outline="0">
        <left/>
        <right/>
        <top/>
        <bottom style="medium">
          <color indexed="64"/>
        </bottom>
      </border>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border diagonalUp="0" diagonalDown="0" outline="0">
        <left/>
        <right/>
        <top/>
        <bottom style="medium">
          <color indexed="64"/>
        </bottom>
      </border>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bottom style="medium">
          <color indexed="64"/>
        </bottom>
        <vertical/>
        <horizontal/>
      </border>
    </dxf>
    <dxf>
      <font>
        <b val="0"/>
        <i val="0"/>
        <strike val="0"/>
        <condense val="0"/>
        <extend val="0"/>
        <outline val="0"/>
        <shadow val="0"/>
        <u val="none"/>
        <vertAlign val="baseline"/>
        <sz val="11"/>
        <color rgb="FF000000"/>
        <name val="Calibri"/>
        <family val="2"/>
        <scheme val="none"/>
      </font>
      <alignment horizontal="left" vertical="center" textRotation="0" wrapText="0" indent="0" justifyLastLine="0" shrinkToFit="0" readingOrder="0"/>
      <border diagonalUp="0" diagonalDown="0">
        <left/>
        <right style="medium">
          <color indexed="64"/>
        </right>
        <top/>
        <bottom style="medium">
          <color indexed="64"/>
        </bottom>
        <vertical/>
        <horizontal/>
      </border>
    </dxf>
    <dxf>
      <border outline="0">
        <right style="medium">
          <color indexed="64"/>
        </right>
        <top style="medium">
          <color indexed="64"/>
        </top>
        <bottom style="medium">
          <color indexed="64"/>
        </bottom>
      </border>
    </dxf>
    <dxf>
      <border outline="0">
        <bottom style="medium">
          <color indexed="64"/>
        </bottom>
      </border>
    </dxf>
    <dxf>
      <font>
        <b/>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14FB41-CBE8-4B16-8547-ECC8E65A93E6}" name="Tabla1" displayName="Tabla1" ref="A2:D7" totalsRowShown="0" headerRowDxfId="6" headerRowBorderDxfId="5" tableBorderDxfId="4">
  <autoFilter ref="A2:D7" xr:uid="{9A14FB41-CBE8-4B16-8547-ECC8E65A93E6}"/>
  <tableColumns count="4">
    <tableColumn id="1" xr3:uid="{894795E5-E65B-45AE-97D0-419D90E47FD0}" name="FRECUENCIA" dataDxfId="3"/>
    <tableColumn id="2" xr3:uid="{D72D51EB-49F8-4D43-A006-F96A446DE14C}" name="COD FREQ" dataDxfId="2"/>
    <tableColumn id="3" xr3:uid="{BD555AF1-158B-41A0-BCA0-F4C39B190C50}" name="CUOTA" dataDxfId="1"/>
    <tableColumn id="4" xr3:uid="{715BD981-DAB2-49A1-A655-AFA7BAC13314}" name="FACTOR" dataDxfId="0"/>
  </tableColumns>
  <tableStyleInfo name="TableStyleLight10"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C9C8C-D74B-4132-A9A2-CA5684E86E82}">
  <sheetPr>
    <tabColor rgb="FF00B050"/>
  </sheetPr>
  <dimension ref="A2:D7"/>
  <sheetViews>
    <sheetView workbookViewId="0">
      <selection activeCell="C17" sqref="C17"/>
    </sheetView>
  </sheetViews>
  <sheetFormatPr baseColWidth="10" defaultRowHeight="14.4" x14ac:dyDescent="0.3"/>
  <cols>
    <col min="1" max="1" width="13.5546875" customWidth="1"/>
  </cols>
  <sheetData>
    <row r="2" spans="1:4" ht="15" thickBot="1" x14ac:dyDescent="0.35">
      <c r="A2" s="72" t="s">
        <v>31</v>
      </c>
      <c r="B2" s="73" t="s">
        <v>30</v>
      </c>
      <c r="C2" s="72" t="s">
        <v>32</v>
      </c>
      <c r="D2" s="74" t="s">
        <v>33</v>
      </c>
    </row>
    <row r="3" spans="1:4" ht="15" thickBot="1" x14ac:dyDescent="0.35">
      <c r="A3" s="71" t="s">
        <v>34</v>
      </c>
      <c r="B3" s="65">
        <v>1</v>
      </c>
      <c r="C3" s="66">
        <v>1</v>
      </c>
      <c r="D3" s="78">
        <v>1</v>
      </c>
    </row>
    <row r="4" spans="1:4" ht="15" thickBot="1" x14ac:dyDescent="0.35">
      <c r="A4" s="71" t="s">
        <v>35</v>
      </c>
      <c r="B4" s="65">
        <v>2</v>
      </c>
      <c r="C4" s="66">
        <v>2</v>
      </c>
      <c r="D4" s="78">
        <v>0.51578900000000005</v>
      </c>
    </row>
    <row r="5" spans="1:4" ht="15" thickBot="1" x14ac:dyDescent="0.35">
      <c r="A5" s="71" t="s">
        <v>36</v>
      </c>
      <c r="B5" s="65">
        <v>3</v>
      </c>
      <c r="C5" s="66">
        <v>4</v>
      </c>
      <c r="D5" s="78">
        <v>0.263158</v>
      </c>
    </row>
    <row r="6" spans="1:4" ht="15" thickBot="1" x14ac:dyDescent="0.35">
      <c r="A6" s="71" t="s">
        <v>37</v>
      </c>
      <c r="B6" s="65">
        <v>5</v>
      </c>
      <c r="C6" s="66">
        <v>12</v>
      </c>
      <c r="D6" s="78">
        <v>8.7719000000000005E-2</v>
      </c>
    </row>
    <row r="7" spans="1:4" x14ac:dyDescent="0.3">
      <c r="A7" s="75" t="s">
        <v>38</v>
      </c>
      <c r="B7" s="76">
        <v>8</v>
      </c>
      <c r="C7" s="77">
        <v>4</v>
      </c>
      <c r="D7" s="79">
        <v>1.0526279999999999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3DC18-AF42-4C50-800C-017673161407}">
  <sheetPr>
    <tabColor theme="5" tint="-0.499984740745262"/>
  </sheetPr>
  <dimension ref="B2:E17"/>
  <sheetViews>
    <sheetView workbookViewId="0">
      <selection activeCell="E18" sqref="E18"/>
    </sheetView>
  </sheetViews>
  <sheetFormatPr baseColWidth="10" defaultRowHeight="14.4" x14ac:dyDescent="0.3"/>
  <cols>
    <col min="2" max="2" width="4.21875" customWidth="1"/>
    <col min="3" max="3" width="6" customWidth="1"/>
    <col min="4" max="4" width="1.77734375" customWidth="1"/>
    <col min="5" max="5" width="92.21875" style="181" customWidth="1"/>
  </cols>
  <sheetData>
    <row r="2" spans="2:5" x14ac:dyDescent="0.3">
      <c r="B2" s="173" t="s">
        <v>46</v>
      </c>
    </row>
    <row r="3" spans="2:5" x14ac:dyDescent="0.3">
      <c r="B3" s="173"/>
    </row>
    <row r="4" spans="2:5" ht="28.8" x14ac:dyDescent="0.3">
      <c r="B4" s="173"/>
      <c r="C4" s="182"/>
      <c r="E4" s="181" t="s">
        <v>47</v>
      </c>
    </row>
    <row r="5" spans="2:5" ht="18" customHeight="1" x14ac:dyDescent="0.35">
      <c r="C5" s="183"/>
      <c r="E5" s="181" t="s">
        <v>48</v>
      </c>
    </row>
    <row r="7" spans="2:5" ht="15.6" x14ac:dyDescent="0.3">
      <c r="C7" s="180"/>
    </row>
    <row r="8" spans="2:5" ht="15.6" x14ac:dyDescent="0.3">
      <c r="B8" s="173" t="s">
        <v>50</v>
      </c>
      <c r="C8" s="180"/>
    </row>
    <row r="9" spans="2:5" ht="28.8" x14ac:dyDescent="0.3">
      <c r="C9" s="180"/>
      <c r="E9" s="181" t="s">
        <v>51</v>
      </c>
    </row>
    <row r="10" spans="2:5" ht="15.6" x14ac:dyDescent="0.3">
      <c r="C10" s="180"/>
    </row>
    <row r="11" spans="2:5" ht="15.6" x14ac:dyDescent="0.3">
      <c r="C11" s="180"/>
    </row>
    <row r="12" spans="2:5" x14ac:dyDescent="0.3">
      <c r="B12" s="173" t="s">
        <v>45</v>
      </c>
    </row>
    <row r="13" spans="2:5" ht="43.2" x14ac:dyDescent="0.3">
      <c r="E13" s="181" t="s">
        <v>52</v>
      </c>
    </row>
    <row r="16" spans="2:5" x14ac:dyDescent="0.3">
      <c r="B16" s="173" t="s">
        <v>53</v>
      </c>
    </row>
    <row r="17" spans="5:5" ht="28.8" x14ac:dyDescent="0.3">
      <c r="E17" s="181" t="s">
        <v>54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1:N28"/>
  <sheetViews>
    <sheetView tabSelected="1" topLeftCell="A7" zoomScale="80" zoomScaleNormal="80" workbookViewId="0">
      <selection activeCell="E25" sqref="E25"/>
    </sheetView>
  </sheetViews>
  <sheetFormatPr baseColWidth="10" defaultColWidth="11.44140625" defaultRowHeight="13.8" x14ac:dyDescent="0.3"/>
  <cols>
    <col min="1" max="1" width="4.88671875" style="1" customWidth="1"/>
    <col min="2" max="2" width="10.44140625" style="1" customWidth="1"/>
    <col min="3" max="3" width="41.77734375" style="1" customWidth="1"/>
    <col min="4" max="4" width="9.88671875" style="33" customWidth="1"/>
    <col min="5" max="5" width="11.109375" style="33" customWidth="1"/>
    <col min="6" max="6" width="15.88671875" style="1" customWidth="1"/>
    <col min="7" max="8" width="13.33203125" style="1" customWidth="1"/>
    <col min="9" max="9" width="20.109375" style="1" customWidth="1"/>
    <col min="10" max="10" width="16.6640625" style="1" bestFit="1" customWidth="1"/>
    <col min="11" max="16384" width="11.44140625" style="1"/>
  </cols>
  <sheetData>
    <row r="1" spans="2:14" ht="26.25" customHeight="1" thickBot="1" x14ac:dyDescent="0.55000000000000004">
      <c r="C1" s="154" t="s">
        <v>28</v>
      </c>
      <c r="D1" s="41"/>
      <c r="E1" s="41"/>
      <c r="F1" s="17"/>
      <c r="G1" s="17"/>
      <c r="H1" s="17"/>
      <c r="I1" s="153">
        <v>1123</v>
      </c>
      <c r="J1" s="2"/>
      <c r="K1" s="69"/>
      <c r="L1" s="69"/>
      <c r="M1" s="69"/>
      <c r="N1" s="69"/>
    </row>
    <row r="2" spans="2:14" ht="27.6" customHeight="1" thickBot="1" x14ac:dyDescent="0.4">
      <c r="C2" s="113"/>
      <c r="D2" s="114"/>
      <c r="E2" s="118" t="s">
        <v>42</v>
      </c>
      <c r="F2" s="115">
        <v>2</v>
      </c>
      <c r="G2" s="116"/>
      <c r="H2" s="117"/>
      <c r="I2" s="97"/>
      <c r="J2" s="96" t="s">
        <v>31</v>
      </c>
      <c r="K2" s="32" t="s">
        <v>33</v>
      </c>
      <c r="L2" s="32" t="s">
        <v>38</v>
      </c>
    </row>
    <row r="3" spans="2:14" ht="30" customHeight="1" thickBot="1" x14ac:dyDescent="0.35">
      <c r="B3" s="155" t="s">
        <v>43</v>
      </c>
      <c r="C3" s="161" t="s">
        <v>41</v>
      </c>
      <c r="D3" s="156" t="s">
        <v>20</v>
      </c>
      <c r="E3" s="157" t="s">
        <v>44</v>
      </c>
      <c r="F3" s="156" t="s">
        <v>16</v>
      </c>
      <c r="G3" s="158" t="s">
        <v>21</v>
      </c>
      <c r="H3" s="158" t="s">
        <v>21</v>
      </c>
      <c r="I3" s="159" t="s">
        <v>29</v>
      </c>
      <c r="J3" s="160" t="s">
        <v>37</v>
      </c>
      <c r="K3" s="80">
        <f>VLOOKUP($J$3,Tabla1[],4,FALSE)</f>
        <v>8.7719000000000005E-2</v>
      </c>
      <c r="L3" s="81">
        <f>VLOOKUP($J$3,Tabla1[],3,FALSE)</f>
        <v>12</v>
      </c>
    </row>
    <row r="4" spans="2:14" ht="19.95" customHeight="1" x14ac:dyDescent="0.35">
      <c r="B4" s="88" t="s">
        <v>6</v>
      </c>
      <c r="C4" s="46" t="s">
        <v>8</v>
      </c>
      <c r="D4" s="28" t="s">
        <v>6</v>
      </c>
      <c r="E4" s="108"/>
      <c r="F4" s="98">
        <f>2819.87+2387.808</f>
        <v>5207.6779999999999</v>
      </c>
      <c r="G4" s="99">
        <v>0</v>
      </c>
      <c r="H4" s="144">
        <v>0</v>
      </c>
      <c r="I4" s="94">
        <f>IF(B4="SI",IF($D4="SI",($F4+$G4+$H4) / (1- SUM($D$16:$D$20)),$F4),0)</f>
        <v>6676.5102564102563</v>
      </c>
      <c r="J4" s="149">
        <f>$K$3*$I4</f>
        <v>585.65680318205125</v>
      </c>
      <c r="L4" s="10"/>
    </row>
    <row r="5" spans="2:14" ht="19.95" customHeight="1" x14ac:dyDescent="0.35">
      <c r="B5" s="89" t="s">
        <v>6</v>
      </c>
      <c r="C5" s="46" t="s">
        <v>9</v>
      </c>
      <c r="D5" s="29" t="s">
        <v>6</v>
      </c>
      <c r="E5" s="92"/>
      <c r="F5" s="100">
        <v>1185.5332000000001</v>
      </c>
      <c r="G5" s="101"/>
      <c r="H5" s="145"/>
      <c r="I5" s="123">
        <f>IF(B5="SI",IF($D5="SI",($F5+$G5+$H5) / (1- SUM($D$16:$D$20)),$F5),0)</f>
        <v>1519.9143589743589</v>
      </c>
      <c r="J5" s="150">
        <f t="shared" ref="J5:J14" si="0">$K$3*$I5</f>
        <v>133.3253676548718</v>
      </c>
    </row>
    <row r="6" spans="2:14" ht="19.95" customHeight="1" x14ac:dyDescent="0.35">
      <c r="B6" s="89" t="s">
        <v>6</v>
      </c>
      <c r="C6" s="46" t="s">
        <v>10</v>
      </c>
      <c r="D6" s="29" t="s">
        <v>7</v>
      </c>
      <c r="E6" s="190">
        <v>21.84</v>
      </c>
      <c r="F6" s="102">
        <f>E6*$F$2</f>
        <v>43.68</v>
      </c>
      <c r="G6" s="101"/>
      <c r="H6" s="145"/>
      <c r="I6" s="123">
        <f t="shared" ref="I6:I14" si="1">IF(B6="SI",IF($D6="SI",($F6+$G6+$H6) / (1- SUM($D$16:$D$20)),$F6),0)</f>
        <v>43.68</v>
      </c>
      <c r="J6" s="150">
        <f t="shared" si="0"/>
        <v>3.8315659200000001</v>
      </c>
    </row>
    <row r="7" spans="2:14" ht="19.95" customHeight="1" x14ac:dyDescent="0.35">
      <c r="B7" s="89" t="s">
        <v>7</v>
      </c>
      <c r="C7" s="46" t="s">
        <v>11</v>
      </c>
      <c r="D7" s="29" t="s">
        <v>7</v>
      </c>
      <c r="E7" s="190">
        <v>3.6</v>
      </c>
      <c r="F7" s="102">
        <f t="shared" ref="F7:F11" si="2">E7*$F$2</f>
        <v>7.2</v>
      </c>
      <c r="G7" s="103"/>
      <c r="H7" s="146"/>
      <c r="I7" s="123">
        <f t="shared" si="1"/>
        <v>0</v>
      </c>
      <c r="J7" s="150">
        <f t="shared" si="0"/>
        <v>0</v>
      </c>
    </row>
    <row r="8" spans="2:14" ht="19.95" customHeight="1" x14ac:dyDescent="0.35">
      <c r="B8" s="89" t="s">
        <v>6</v>
      </c>
      <c r="C8" s="46" t="s">
        <v>12</v>
      </c>
      <c r="D8" s="29" t="s">
        <v>7</v>
      </c>
      <c r="E8" s="190">
        <v>0</v>
      </c>
      <c r="F8" s="102">
        <f t="shared" si="2"/>
        <v>0</v>
      </c>
      <c r="G8" s="103"/>
      <c r="H8" s="146"/>
      <c r="I8" s="123">
        <f t="shared" si="1"/>
        <v>0</v>
      </c>
      <c r="J8" s="150">
        <f t="shared" si="0"/>
        <v>0</v>
      </c>
    </row>
    <row r="9" spans="2:14" ht="19.95" customHeight="1" x14ac:dyDescent="0.35">
      <c r="B9" s="89" t="s">
        <v>6</v>
      </c>
      <c r="C9" s="47" t="s">
        <v>13</v>
      </c>
      <c r="D9" s="29" t="s">
        <v>7</v>
      </c>
      <c r="E9" s="190">
        <v>54.6</v>
      </c>
      <c r="F9" s="102">
        <f t="shared" si="2"/>
        <v>109.2</v>
      </c>
      <c r="G9" s="103"/>
      <c r="H9" s="146"/>
      <c r="I9" s="123">
        <f t="shared" si="1"/>
        <v>109.2</v>
      </c>
      <c r="J9" s="150">
        <f t="shared" si="0"/>
        <v>9.5789148000000015</v>
      </c>
    </row>
    <row r="10" spans="2:14" ht="19.95" customHeight="1" x14ac:dyDescent="0.35">
      <c r="B10" s="89" t="s">
        <v>6</v>
      </c>
      <c r="C10" s="47" t="s">
        <v>14</v>
      </c>
      <c r="D10" s="29" t="s">
        <v>7</v>
      </c>
      <c r="E10" s="190">
        <v>80.64</v>
      </c>
      <c r="F10" s="102">
        <f t="shared" si="2"/>
        <v>161.28</v>
      </c>
      <c r="G10" s="103"/>
      <c r="H10" s="146"/>
      <c r="I10" s="123">
        <f t="shared" si="1"/>
        <v>161.28</v>
      </c>
      <c r="J10" s="150">
        <f t="shared" si="0"/>
        <v>14.14732032</v>
      </c>
    </row>
    <row r="11" spans="2:14" ht="19.95" customHeight="1" x14ac:dyDescent="0.35">
      <c r="B11" s="89" t="s">
        <v>6</v>
      </c>
      <c r="C11" s="46" t="s">
        <v>15</v>
      </c>
      <c r="D11" s="29" t="s">
        <v>7</v>
      </c>
      <c r="E11" s="190">
        <v>44.377200000000002</v>
      </c>
      <c r="F11" s="102">
        <f t="shared" si="2"/>
        <v>88.754400000000004</v>
      </c>
      <c r="G11" s="103"/>
      <c r="H11" s="146"/>
      <c r="I11" s="123">
        <f t="shared" si="1"/>
        <v>88.754400000000004</v>
      </c>
      <c r="J11" s="150">
        <f t="shared" si="0"/>
        <v>7.7854472136000012</v>
      </c>
    </row>
    <row r="12" spans="2:14" ht="19.95" customHeight="1" x14ac:dyDescent="0.35">
      <c r="B12" s="90" t="s">
        <v>7</v>
      </c>
      <c r="C12" s="46"/>
      <c r="D12" s="55" t="s">
        <v>7</v>
      </c>
      <c r="E12" s="109"/>
      <c r="F12" s="104"/>
      <c r="G12" s="105"/>
      <c r="H12" s="147"/>
      <c r="I12" s="123">
        <f t="shared" si="1"/>
        <v>0</v>
      </c>
      <c r="J12" s="150">
        <f t="shared" si="0"/>
        <v>0</v>
      </c>
    </row>
    <row r="13" spans="2:14" ht="19.95" customHeight="1" x14ac:dyDescent="0.35">
      <c r="B13" s="90" t="s">
        <v>7</v>
      </c>
      <c r="C13" s="46"/>
      <c r="D13" s="55" t="s">
        <v>7</v>
      </c>
      <c r="E13" s="92"/>
      <c r="F13" s="104"/>
      <c r="G13" s="105"/>
      <c r="H13" s="147"/>
      <c r="I13" s="123">
        <f t="shared" si="1"/>
        <v>0</v>
      </c>
      <c r="J13" s="150">
        <f t="shared" si="0"/>
        <v>0</v>
      </c>
    </row>
    <row r="14" spans="2:14" ht="18.600000000000001" thickBot="1" x14ac:dyDescent="0.4">
      <c r="B14" s="91" t="s">
        <v>7</v>
      </c>
      <c r="C14" s="46"/>
      <c r="D14" s="30" t="s">
        <v>7</v>
      </c>
      <c r="E14" s="110"/>
      <c r="F14" s="95"/>
      <c r="G14" s="7"/>
      <c r="H14" s="148"/>
      <c r="I14" s="123">
        <f t="shared" si="1"/>
        <v>0</v>
      </c>
      <c r="J14" s="151">
        <f t="shared" si="0"/>
        <v>0</v>
      </c>
    </row>
    <row r="15" spans="2:14" ht="18.600000000000001" thickBot="1" x14ac:dyDescent="0.35">
      <c r="C15" s="139" t="s">
        <v>1</v>
      </c>
      <c r="D15" s="140" t="s">
        <v>25</v>
      </c>
      <c r="E15" s="141"/>
      <c r="F15" s="142">
        <f>SUM(F4:F14)</f>
        <v>6803.3255999999992</v>
      </c>
      <c r="G15" s="143"/>
      <c r="H15" s="139"/>
      <c r="I15" s="152">
        <f>SUM(I4:I14)</f>
        <v>8599.3390153846158</v>
      </c>
      <c r="J15" s="124">
        <f>SUM(J4:J14)</f>
        <v>754.32541909052304</v>
      </c>
    </row>
    <row r="16" spans="2:14" ht="18" x14ac:dyDescent="0.35">
      <c r="B16" s="238" t="s">
        <v>24</v>
      </c>
      <c r="C16" s="87" t="s">
        <v>2</v>
      </c>
      <c r="D16" s="138">
        <v>0.15</v>
      </c>
      <c r="E16" s="175"/>
      <c r="F16" s="93"/>
      <c r="G16" s="93"/>
      <c r="H16" s="93"/>
      <c r="I16" s="120">
        <f>$I$4*$D16</f>
        <v>1001.4765384615384</v>
      </c>
      <c r="J16" s="22">
        <f>$J$4*$D16</f>
        <v>87.848520477307687</v>
      </c>
    </row>
    <row r="17" spans="2:10" ht="18" x14ac:dyDescent="0.35">
      <c r="B17" s="239"/>
      <c r="C17" s="54" t="s">
        <v>17</v>
      </c>
      <c r="D17" s="35">
        <v>0.05</v>
      </c>
      <c r="E17" s="176"/>
      <c r="F17" s="26"/>
      <c r="G17" s="26"/>
      <c r="H17" s="26"/>
      <c r="I17" s="119">
        <f>$I$4*$D17</f>
        <v>333.82551282051281</v>
      </c>
      <c r="J17" s="24">
        <f t="shared" ref="J17:J20" si="3">$J$4*$D17</f>
        <v>29.282840159102562</v>
      </c>
    </row>
    <row r="18" spans="2:10" ht="18" x14ac:dyDescent="0.35">
      <c r="B18" s="239"/>
      <c r="C18" s="54" t="s">
        <v>18</v>
      </c>
      <c r="D18" s="35">
        <v>0.01</v>
      </c>
      <c r="E18" s="176"/>
      <c r="F18" s="26"/>
      <c r="G18" s="26"/>
      <c r="H18" s="26"/>
      <c r="I18" s="119">
        <f>$I$4*$D18</f>
        <v>66.765102564102563</v>
      </c>
      <c r="J18" s="24">
        <f t="shared" si="3"/>
        <v>5.8565680318205127</v>
      </c>
    </row>
    <row r="19" spans="2:10" ht="18" x14ac:dyDescent="0.35">
      <c r="B19" s="239"/>
      <c r="C19" s="54" t="s">
        <v>19</v>
      </c>
      <c r="D19" s="35">
        <v>0.01</v>
      </c>
      <c r="E19" s="176"/>
      <c r="F19" s="26"/>
      <c r="G19" s="26"/>
      <c r="H19" s="26"/>
      <c r="I19" s="119">
        <f>$I$4*$D19</f>
        <v>66.765102564102563</v>
      </c>
      <c r="J19" s="24">
        <f t="shared" si="3"/>
        <v>5.8565680318205127</v>
      </c>
    </row>
    <row r="20" spans="2:10" ht="18.600000000000001" thickBot="1" x14ac:dyDescent="0.4">
      <c r="B20" s="240"/>
      <c r="C20" s="129"/>
      <c r="D20" s="130"/>
      <c r="E20" s="34"/>
      <c r="F20" s="131"/>
      <c r="G20" s="131"/>
      <c r="H20" s="131"/>
      <c r="I20" s="132">
        <f>$I$4*$D20</f>
        <v>0</v>
      </c>
      <c r="J20" s="127">
        <f t="shared" si="3"/>
        <v>0</v>
      </c>
    </row>
    <row r="21" spans="2:10" ht="18.600000000000001" thickBot="1" x14ac:dyDescent="0.35">
      <c r="C21" s="133" t="s">
        <v>22</v>
      </c>
      <c r="D21" s="134"/>
      <c r="E21" s="135"/>
      <c r="F21" s="136">
        <f>SUM(F16:F18)</f>
        <v>0</v>
      </c>
      <c r="G21" s="136"/>
      <c r="H21" s="136"/>
      <c r="I21" s="137">
        <f>I15/(1-$D$22)</f>
        <v>10749.173769230769</v>
      </c>
      <c r="J21" s="125">
        <f>J15/(1-$D$22)</f>
        <v>942.90677386315372</v>
      </c>
    </row>
    <row r="22" spans="2:10" ht="18.600000000000001" thickBot="1" x14ac:dyDescent="0.4">
      <c r="C22" s="47" t="s">
        <v>23</v>
      </c>
      <c r="D22" s="36">
        <v>0.2</v>
      </c>
      <c r="E22" s="177"/>
      <c r="F22" s="21"/>
      <c r="G22" s="20"/>
      <c r="H22" s="20"/>
      <c r="I22" s="120">
        <f>$I$21*$D22</f>
        <v>2149.8347538461539</v>
      </c>
      <c r="J22" s="128">
        <f>$J$21*$D22</f>
        <v>188.58135477263076</v>
      </c>
    </row>
    <row r="23" spans="2:10" ht="18.600000000000001" thickBot="1" x14ac:dyDescent="0.35">
      <c r="C23" s="50"/>
      <c r="D23" s="32"/>
      <c r="E23" s="41"/>
      <c r="F23" s="38"/>
      <c r="G23" s="17"/>
      <c r="H23" s="17"/>
      <c r="I23" s="121"/>
      <c r="J23" s="23"/>
    </row>
    <row r="24" spans="2:10" ht="18" x14ac:dyDescent="0.35">
      <c r="C24" s="106" t="s">
        <v>5</v>
      </c>
      <c r="D24" s="111">
        <v>1.4800000000000001E-2</v>
      </c>
      <c r="E24" s="178"/>
      <c r="F24" s="8"/>
      <c r="G24" s="8"/>
      <c r="H24" s="8"/>
      <c r="I24" s="122">
        <f>$I$28*$D24</f>
        <v>214.78059479574753</v>
      </c>
      <c r="J24" s="22">
        <f>$J$28*$D24</f>
        <v>18.840338994888175</v>
      </c>
    </row>
    <row r="25" spans="2:10" ht="18" x14ac:dyDescent="0.35">
      <c r="C25" s="47" t="s">
        <v>26</v>
      </c>
      <c r="D25" s="35">
        <v>8.4501000000000007E-2</v>
      </c>
      <c r="E25" s="176"/>
      <c r="F25" s="9"/>
      <c r="G25" s="9"/>
      <c r="H25" s="9"/>
      <c r="I25" s="119">
        <f>$I$28*$D25</f>
        <v>1226.2956108672608</v>
      </c>
      <c r="J25" s="24">
        <f t="shared" ref="J25:J27" si="4">$J$28*$D25</f>
        <v>107.56942468966524</v>
      </c>
    </row>
    <row r="26" spans="2:10" ht="18" x14ac:dyDescent="0.35">
      <c r="C26" s="47" t="s">
        <v>3</v>
      </c>
      <c r="D26" s="35">
        <v>0.03</v>
      </c>
      <c r="E26" s="176"/>
      <c r="F26" s="40"/>
      <c r="G26" s="40"/>
      <c r="H26" s="40"/>
      <c r="I26" s="119">
        <f>$I$28*$D26</f>
        <v>435.36607053192063</v>
      </c>
      <c r="J26" s="24">
        <f t="shared" si="4"/>
        <v>38.189876340989535</v>
      </c>
    </row>
    <row r="27" spans="2:10" ht="18.600000000000001" thickBot="1" x14ac:dyDescent="0.4">
      <c r="C27" s="107" t="s">
        <v>4</v>
      </c>
      <c r="D27" s="112">
        <v>0.13</v>
      </c>
      <c r="E27" s="179"/>
      <c r="F27" s="25"/>
      <c r="G27" s="25"/>
      <c r="H27" s="25"/>
      <c r="I27" s="119">
        <f>$I$28*$D27</f>
        <v>1886.5863056383228</v>
      </c>
      <c r="J27" s="24">
        <f t="shared" si="4"/>
        <v>165.48946414428801</v>
      </c>
    </row>
    <row r="28" spans="2:10" ht="18.600000000000001" thickBot="1" x14ac:dyDescent="0.35">
      <c r="C28" s="184" t="s">
        <v>27</v>
      </c>
      <c r="D28" s="185"/>
      <c r="E28" s="185"/>
      <c r="F28" s="186"/>
      <c r="G28" s="187"/>
      <c r="H28" s="187"/>
      <c r="I28" s="152">
        <f>I21/(1-SUM($D$24:$D$27))</f>
        <v>14512.202351064021</v>
      </c>
      <c r="J28" s="188">
        <f>J21/(1-SUM($D$24:$D$27))</f>
        <v>1272.9958780329846</v>
      </c>
    </row>
  </sheetData>
  <mergeCells count="1">
    <mergeCell ref="B16:B20"/>
  </mergeCells>
  <dataValidations count="1">
    <dataValidation showInputMessage="1" showErrorMessage="1" sqref="E13:E14 E4:E11" xr:uid="{C8B3771A-FAFF-40D0-9D0E-305FD46EDA02}"/>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Hoja1!$B$2:$B$3</xm:f>
          </x14:formula1>
          <xm:sqref>D4:D14 B4:B14</xm:sqref>
        </x14:dataValidation>
        <x14:dataValidation type="list" allowBlank="1" showInputMessage="1" showErrorMessage="1" xr:uid="{D4F34478-944B-4B6F-8837-74E6078BFA95}">
          <x14:formula1>
            <xm:f>FRECUENCIAS!$A$3:$A$7</xm:f>
          </x14:formula1>
          <xm:sqref>J3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11390-81E5-4915-BD9C-2F28730C0E19}">
  <sheetPr>
    <tabColor theme="8" tint="0.39997558519241921"/>
  </sheetPr>
  <dimension ref="B1:M28"/>
  <sheetViews>
    <sheetView zoomScale="80" zoomScaleNormal="80" workbookViewId="0">
      <selection activeCell="I4" sqref="I4"/>
    </sheetView>
  </sheetViews>
  <sheetFormatPr baseColWidth="10" defaultColWidth="11.44140625" defaultRowHeight="13.8" x14ac:dyDescent="0.3"/>
  <cols>
    <col min="1" max="1" width="4.88671875" style="1" customWidth="1"/>
    <col min="2" max="2" width="11.109375" style="1" customWidth="1"/>
    <col min="3" max="3" width="41.77734375" style="1" customWidth="1"/>
    <col min="4" max="4" width="15.77734375" style="33" customWidth="1"/>
    <col min="5" max="5" width="15.88671875" style="1" customWidth="1"/>
    <col min="6" max="7" width="13.33203125" style="1" customWidth="1"/>
    <col min="8" max="8" width="20.109375" style="1" customWidth="1"/>
    <col min="9" max="9" width="19.44140625" style="1" bestFit="1" customWidth="1"/>
    <col min="10" max="16384" width="11.44140625" style="1"/>
  </cols>
  <sheetData>
    <row r="1" spans="2:13" ht="26.25" customHeight="1" thickBot="1" x14ac:dyDescent="0.35">
      <c r="C1" s="12" t="s">
        <v>28</v>
      </c>
      <c r="D1" s="31"/>
      <c r="E1" s="13"/>
      <c r="F1" s="13"/>
      <c r="G1" s="13"/>
      <c r="H1" s="45"/>
      <c r="I1" s="2"/>
      <c r="J1" s="69"/>
      <c r="K1" s="69"/>
    </row>
    <row r="2" spans="2:13" ht="16.2" thickBot="1" x14ac:dyDescent="0.35">
      <c r="C2" s="15"/>
      <c r="D2" s="34"/>
      <c r="E2" s="16"/>
      <c r="F2" s="16"/>
      <c r="G2" s="16"/>
      <c r="H2" s="14"/>
      <c r="I2" s="32"/>
    </row>
    <row r="3" spans="2:13" ht="30" customHeight="1" thickBot="1" x14ac:dyDescent="0.35">
      <c r="B3" s="3"/>
      <c r="C3" s="12" t="s">
        <v>0</v>
      </c>
      <c r="D3" s="32" t="s">
        <v>20</v>
      </c>
      <c r="E3" s="18" t="s">
        <v>16</v>
      </c>
      <c r="F3" s="19" t="s">
        <v>21</v>
      </c>
      <c r="G3" s="19" t="s">
        <v>21</v>
      </c>
      <c r="H3" s="70" t="s">
        <v>29</v>
      </c>
      <c r="I3" s="174" t="s">
        <v>39</v>
      </c>
    </row>
    <row r="4" spans="2:13" ht="19.95" customHeight="1" x14ac:dyDescent="0.35">
      <c r="C4" s="46" t="s">
        <v>8</v>
      </c>
      <c r="D4" s="189" t="s">
        <v>6</v>
      </c>
      <c r="E4" s="4">
        <v>65.894400000000005</v>
      </c>
      <c r="F4" s="27">
        <v>0</v>
      </c>
      <c r="G4" s="27">
        <v>0</v>
      </c>
      <c r="H4" s="11">
        <f>IF($D4="SI",($E4+$F4+$G4) / (1- SUM($D$16:$D$20)),$E4)</f>
        <v>84.48</v>
      </c>
      <c r="I4" s="86">
        <f>IF($D4="SI",($I$15) * (1- SUM($D$16:$D$20)),$I$15)</f>
        <v>68.530175999999997</v>
      </c>
      <c r="J4" s="83" t="s">
        <v>49</v>
      </c>
      <c r="M4" s="85"/>
    </row>
    <row r="5" spans="2:13" ht="19.95" hidden="1" customHeight="1" x14ac:dyDescent="0.35">
      <c r="C5" s="46" t="s">
        <v>9</v>
      </c>
      <c r="D5" s="29" t="s">
        <v>6</v>
      </c>
      <c r="E5" s="4">
        <v>0</v>
      </c>
      <c r="F5" s="6"/>
      <c r="G5" s="6"/>
      <c r="H5" s="11">
        <f t="shared" ref="H5:H14" si="0">IF($D5="SI",($E5+$F5+$G5) / (1- SUM($D$16:$D$19)),$E5)</f>
        <v>0</v>
      </c>
      <c r="I5" s="11">
        <v>0</v>
      </c>
    </row>
    <row r="6" spans="2:13" ht="19.95" hidden="1" customHeight="1" x14ac:dyDescent="0.35">
      <c r="C6" s="46" t="s">
        <v>10</v>
      </c>
      <c r="D6" s="29" t="s">
        <v>7</v>
      </c>
      <c r="E6" s="4">
        <v>0</v>
      </c>
      <c r="F6" s="6"/>
      <c r="G6" s="6"/>
      <c r="H6" s="11">
        <f t="shared" si="0"/>
        <v>0</v>
      </c>
      <c r="I6" s="11">
        <f>IF($D6="SI",($I$15) / (1+ SUM($D$16:$D$19)),$E6)</f>
        <v>0</v>
      </c>
    </row>
    <row r="7" spans="2:13" ht="19.95" hidden="1" customHeight="1" x14ac:dyDescent="0.35">
      <c r="C7" s="46" t="s">
        <v>11</v>
      </c>
      <c r="D7" s="29" t="s">
        <v>7</v>
      </c>
      <c r="E7" s="5">
        <v>0</v>
      </c>
      <c r="F7" s="67"/>
      <c r="G7" s="67"/>
      <c r="H7" s="11">
        <f t="shared" si="0"/>
        <v>0</v>
      </c>
      <c r="I7" s="11">
        <f t="shared" ref="I7:I14" si="1">IF($D7="SI",($I$15) / (1+ SUM($D$16:$D$19)),$E7)</f>
        <v>0</v>
      </c>
    </row>
    <row r="8" spans="2:13" ht="19.95" hidden="1" customHeight="1" x14ac:dyDescent="0.35">
      <c r="C8" s="46" t="s">
        <v>12</v>
      </c>
      <c r="D8" s="29" t="s">
        <v>7</v>
      </c>
      <c r="E8" s="5">
        <v>0</v>
      </c>
      <c r="F8" s="67"/>
      <c r="G8" s="67"/>
      <c r="H8" s="11">
        <f t="shared" si="0"/>
        <v>0</v>
      </c>
      <c r="I8" s="11">
        <f t="shared" si="1"/>
        <v>0</v>
      </c>
    </row>
    <row r="9" spans="2:13" ht="19.95" hidden="1" customHeight="1" x14ac:dyDescent="0.35">
      <c r="C9" s="47" t="s">
        <v>13</v>
      </c>
      <c r="D9" s="29" t="s">
        <v>7</v>
      </c>
      <c r="E9" s="5">
        <v>0</v>
      </c>
      <c r="F9" s="67"/>
      <c r="G9" s="67"/>
      <c r="H9" s="11">
        <f t="shared" si="0"/>
        <v>0</v>
      </c>
      <c r="I9" s="11">
        <f t="shared" si="1"/>
        <v>0</v>
      </c>
    </row>
    <row r="10" spans="2:13" ht="19.95" hidden="1" customHeight="1" x14ac:dyDescent="0.35">
      <c r="C10" s="47" t="s">
        <v>14</v>
      </c>
      <c r="D10" s="29" t="s">
        <v>7</v>
      </c>
      <c r="E10" s="5">
        <v>0</v>
      </c>
      <c r="F10" s="67"/>
      <c r="G10" s="67"/>
      <c r="H10" s="11">
        <f t="shared" si="0"/>
        <v>0</v>
      </c>
      <c r="I10" s="11">
        <f t="shared" si="1"/>
        <v>0</v>
      </c>
    </row>
    <row r="11" spans="2:13" ht="19.95" hidden="1" customHeight="1" x14ac:dyDescent="0.35">
      <c r="C11" s="46" t="s">
        <v>15</v>
      </c>
      <c r="D11" s="29" t="s">
        <v>7</v>
      </c>
      <c r="E11" s="5">
        <v>0</v>
      </c>
      <c r="F11" s="67"/>
      <c r="G11" s="67"/>
      <c r="H11" s="11">
        <f t="shared" si="0"/>
        <v>0</v>
      </c>
      <c r="I11" s="11">
        <f t="shared" si="1"/>
        <v>0</v>
      </c>
    </row>
    <row r="12" spans="2:13" ht="19.95" hidden="1" customHeight="1" x14ac:dyDescent="0.35">
      <c r="C12" s="46"/>
      <c r="D12" s="55" t="s">
        <v>7</v>
      </c>
      <c r="E12" s="56"/>
      <c r="F12" s="68"/>
      <c r="G12" s="68"/>
      <c r="H12" s="11">
        <f t="shared" si="0"/>
        <v>0</v>
      </c>
      <c r="I12" s="11">
        <f t="shared" si="1"/>
        <v>0</v>
      </c>
    </row>
    <row r="13" spans="2:13" ht="19.95" hidden="1" customHeight="1" x14ac:dyDescent="0.35">
      <c r="C13" s="46"/>
      <c r="D13" s="55" t="s">
        <v>7</v>
      </c>
      <c r="E13" s="56"/>
      <c r="F13" s="68"/>
      <c r="G13" s="68"/>
      <c r="H13" s="11">
        <f t="shared" si="0"/>
        <v>0</v>
      </c>
      <c r="I13" s="11">
        <f t="shared" si="1"/>
        <v>0</v>
      </c>
    </row>
    <row r="14" spans="2:13" ht="18.600000000000001" thickBot="1" x14ac:dyDescent="0.4">
      <c r="C14" s="46"/>
      <c r="D14" s="30" t="s">
        <v>7</v>
      </c>
      <c r="E14" s="57"/>
      <c r="F14" s="7"/>
      <c r="G14" s="7"/>
      <c r="H14" s="11">
        <f t="shared" si="0"/>
        <v>0</v>
      </c>
      <c r="I14" s="11">
        <f t="shared" si="1"/>
        <v>0</v>
      </c>
    </row>
    <row r="15" spans="2:13" ht="18.600000000000001" thickBot="1" x14ac:dyDescent="0.35">
      <c r="C15" s="48" t="s">
        <v>1</v>
      </c>
      <c r="D15" s="64" t="s">
        <v>25</v>
      </c>
      <c r="E15" s="58">
        <f>SUM(E4:E14)</f>
        <v>65.894400000000005</v>
      </c>
      <c r="F15" s="59"/>
      <c r="G15" s="59"/>
      <c r="H15" s="84">
        <f>SUM(H4:H14)</f>
        <v>84.48</v>
      </c>
      <c r="I15" s="60">
        <f>I21-I22</f>
        <v>87.859200000000001</v>
      </c>
      <c r="K15" s="10"/>
    </row>
    <row r="16" spans="2:13" ht="18" x14ac:dyDescent="0.35">
      <c r="B16" s="241" t="s">
        <v>24</v>
      </c>
      <c r="C16" s="54" t="s">
        <v>2</v>
      </c>
      <c r="D16" s="35">
        <v>0.15</v>
      </c>
      <c r="E16" s="26"/>
      <c r="F16" s="26"/>
      <c r="G16" s="26"/>
      <c r="H16" s="24">
        <f>$H$4*$D16</f>
        <v>12.672000000000001</v>
      </c>
      <c r="I16" s="24">
        <f>$I$15*$D16</f>
        <v>13.178879999999999</v>
      </c>
    </row>
    <row r="17" spans="2:11" ht="18" x14ac:dyDescent="0.35">
      <c r="B17" s="242"/>
      <c r="C17" s="54" t="s">
        <v>17</v>
      </c>
      <c r="D17" s="35">
        <v>0.05</v>
      </c>
      <c r="E17" s="26"/>
      <c r="F17" s="26"/>
      <c r="G17" s="26"/>
      <c r="H17" s="24">
        <f>$H$4*$D17</f>
        <v>4.2240000000000002</v>
      </c>
      <c r="I17" s="24">
        <f>$I$15*$D17</f>
        <v>4.3929600000000004</v>
      </c>
    </row>
    <row r="18" spans="2:11" ht="18" x14ac:dyDescent="0.35">
      <c r="B18" s="242"/>
      <c r="C18" s="54" t="s">
        <v>18</v>
      </c>
      <c r="D18" s="35">
        <v>0.01</v>
      </c>
      <c r="E18" s="26"/>
      <c r="F18" s="26"/>
      <c r="G18" s="26"/>
      <c r="H18" s="24">
        <f>$H$4*$D18</f>
        <v>0.84480000000000011</v>
      </c>
      <c r="I18" s="24">
        <f>$I$15*$D18</f>
        <v>0.87859200000000004</v>
      </c>
    </row>
    <row r="19" spans="2:11" ht="18" x14ac:dyDescent="0.35">
      <c r="B19" s="242"/>
      <c r="C19" s="54" t="s">
        <v>19</v>
      </c>
      <c r="D19" s="35">
        <v>0.01</v>
      </c>
      <c r="E19" s="26"/>
      <c r="F19" s="26"/>
      <c r="G19" s="26"/>
      <c r="H19" s="24">
        <f>$H$4*$D19</f>
        <v>0.84480000000000011</v>
      </c>
      <c r="I19" s="24">
        <f>$I$15*$D19</f>
        <v>0.87859200000000004</v>
      </c>
    </row>
    <row r="20" spans="2:11" ht="18.600000000000001" thickBot="1" x14ac:dyDescent="0.4">
      <c r="B20" s="243"/>
      <c r="C20" s="54"/>
      <c r="D20" s="35"/>
      <c r="E20" s="26"/>
      <c r="F20" s="26"/>
      <c r="G20" s="26"/>
      <c r="H20" s="24">
        <f>$H$4*$D20</f>
        <v>0</v>
      </c>
      <c r="I20" s="24">
        <f>$I$15*$D20</f>
        <v>0</v>
      </c>
    </row>
    <row r="21" spans="2:11" ht="18.600000000000001" thickBot="1" x14ac:dyDescent="0.35">
      <c r="C21" s="49" t="s">
        <v>22</v>
      </c>
      <c r="D21" s="61"/>
      <c r="E21" s="62">
        <f>SUM(E16:E18)</f>
        <v>0</v>
      </c>
      <c r="F21" s="62"/>
      <c r="G21" s="62"/>
      <c r="H21" s="63">
        <f>H15/(1-$D$22)</f>
        <v>105.6</v>
      </c>
      <c r="I21" s="63">
        <f>I28- SUM(I24:I27)</f>
        <v>109.824</v>
      </c>
      <c r="K21" s="10"/>
    </row>
    <row r="22" spans="2:11" ht="18.600000000000001" thickBot="1" x14ac:dyDescent="0.4">
      <c r="C22" s="47" t="s">
        <v>23</v>
      </c>
      <c r="D22" s="36">
        <v>0.2</v>
      </c>
      <c r="E22" s="21"/>
      <c r="F22" s="20"/>
      <c r="G22" s="20"/>
      <c r="H22" s="22">
        <f>$H$21*$D22</f>
        <v>21.12</v>
      </c>
      <c r="I22" s="22">
        <f>$I$21*$D22</f>
        <v>21.9648</v>
      </c>
    </row>
    <row r="23" spans="2:11" ht="18.600000000000001" thickBot="1" x14ac:dyDescent="0.35">
      <c r="C23" s="50"/>
      <c r="D23" s="41"/>
      <c r="E23" s="38"/>
      <c r="F23" s="17"/>
      <c r="G23" s="17"/>
      <c r="H23" s="39"/>
      <c r="I23" s="23"/>
    </row>
    <row r="24" spans="2:11" ht="18" x14ac:dyDescent="0.35">
      <c r="C24" s="51" t="s">
        <v>5</v>
      </c>
      <c r="D24" s="42">
        <v>0.02</v>
      </c>
      <c r="E24" s="8"/>
      <c r="F24" s="8"/>
      <c r="G24" s="8"/>
      <c r="H24" s="44">
        <f>$H$28*$D24</f>
        <v>2.6399999999999997</v>
      </c>
      <c r="I24" s="11">
        <f>$I$28*$D24</f>
        <v>2.7456</v>
      </c>
    </row>
    <row r="25" spans="2:11" ht="18" x14ac:dyDescent="0.35">
      <c r="C25" s="52" t="s">
        <v>26</v>
      </c>
      <c r="D25" s="37">
        <v>0.02</v>
      </c>
      <c r="E25" s="9"/>
      <c r="F25" s="9"/>
      <c r="G25" s="9"/>
      <c r="H25" s="24">
        <f>$H$28*$D25</f>
        <v>2.6399999999999997</v>
      </c>
      <c r="I25" s="11">
        <f>$I$28*$D25</f>
        <v>2.7456</v>
      </c>
    </row>
    <row r="26" spans="2:11" ht="18" x14ac:dyDescent="0.35">
      <c r="C26" s="52" t="s">
        <v>3</v>
      </c>
      <c r="D26" s="37">
        <v>0.03</v>
      </c>
      <c r="E26" s="40"/>
      <c r="F26" s="40"/>
      <c r="G26" s="40"/>
      <c r="H26" s="24">
        <f>$H$28*$D26</f>
        <v>3.9599999999999991</v>
      </c>
      <c r="I26" s="11">
        <f>$I$28*$D26</f>
        <v>4.1184000000000003</v>
      </c>
    </row>
    <row r="27" spans="2:11" ht="18.600000000000001" thickBot="1" x14ac:dyDescent="0.4">
      <c r="C27" s="53" t="s">
        <v>4</v>
      </c>
      <c r="D27" s="43">
        <v>0.13</v>
      </c>
      <c r="E27" s="25"/>
      <c r="F27" s="25"/>
      <c r="G27" s="25"/>
      <c r="H27" s="24">
        <f>$H$28*$D27</f>
        <v>17.159999999999997</v>
      </c>
      <c r="I27" s="11">
        <f>$I$28*$D27</f>
        <v>17.846399999999999</v>
      </c>
    </row>
    <row r="28" spans="2:11" ht="18.600000000000001" thickBot="1" x14ac:dyDescent="0.4">
      <c r="C28" s="184" t="s">
        <v>27</v>
      </c>
      <c r="D28" s="185"/>
      <c r="E28" s="186"/>
      <c r="F28" s="187"/>
      <c r="G28" s="187"/>
      <c r="H28" s="172">
        <f>H21/(1-SUM($D$24:$D$27))</f>
        <v>131.99999999999997</v>
      </c>
      <c r="I28" s="82">
        <v>137.28</v>
      </c>
      <c r="J28" s="83" t="s">
        <v>40</v>
      </c>
    </row>
  </sheetData>
  <mergeCells count="1">
    <mergeCell ref="B16:B20"/>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showInputMessage="1" showErrorMessage="1" xr:uid="{AC3F7493-6698-46A0-9EFA-D2CDF03CC6F0}">
          <x14:formula1>
            <xm:f>Hoja1!$B$2:$B$3</xm:f>
          </x14:formula1>
          <xm:sqref>D4:D14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BA20B-9B58-4AE9-A88E-07B1B69BAE90}">
  <sheetPr>
    <tabColor rgb="FFFFC000"/>
  </sheetPr>
  <dimension ref="B1:W32"/>
  <sheetViews>
    <sheetView topLeftCell="B1" zoomScale="85" zoomScaleNormal="80" workbookViewId="0">
      <selection activeCell="L36" sqref="L36"/>
    </sheetView>
  </sheetViews>
  <sheetFormatPr baseColWidth="10" defaultColWidth="11.44140625" defaultRowHeight="13.8" x14ac:dyDescent="0.3"/>
  <cols>
    <col min="1" max="1" width="4.88671875" style="1" customWidth="1"/>
    <col min="2" max="2" width="10.44140625" style="1" customWidth="1"/>
    <col min="3" max="3" width="39.77734375" style="1" customWidth="1"/>
    <col min="4" max="4" width="9.88671875" style="33" customWidth="1"/>
    <col min="5" max="5" width="11.109375" style="33" customWidth="1"/>
    <col min="6" max="6" width="15.88671875" style="1" customWidth="1"/>
    <col min="7" max="8" width="13.33203125" style="1" hidden="1" customWidth="1"/>
    <col min="9" max="9" width="20.109375" style="1" hidden="1" customWidth="1"/>
    <col min="10" max="10" width="12.5546875" style="192" customWidth="1"/>
    <col min="11" max="11" width="2.77734375" style="192" customWidth="1"/>
    <col min="12" max="12" width="15" style="192" customWidth="1"/>
    <col min="13" max="13" width="16.6640625" style="192" customWidth="1"/>
    <col min="14" max="15" width="11.44140625" style="1" customWidth="1"/>
    <col min="16" max="16" width="3.21875" style="1" customWidth="1"/>
    <col min="17" max="17" width="11.77734375" style="1" customWidth="1"/>
    <col min="18" max="19" width="14.77734375" style="1" customWidth="1"/>
    <col min="20" max="20" width="13.77734375" style="1" customWidth="1"/>
    <col min="21" max="16384" width="11.44140625" style="1"/>
  </cols>
  <sheetData>
    <row r="1" spans="2:22" s="223" customFormat="1" ht="26.25" customHeight="1" thickBot="1" x14ac:dyDescent="0.55000000000000004">
      <c r="C1" s="224"/>
      <c r="D1" s="225"/>
      <c r="E1" s="225"/>
      <c r="F1" s="226"/>
      <c r="G1" s="226"/>
      <c r="H1" s="226"/>
      <c r="I1" s="227"/>
      <c r="J1" s="228"/>
      <c r="K1" s="228"/>
      <c r="L1" s="228"/>
      <c r="M1" s="202"/>
      <c r="N1" s="69"/>
      <c r="O1" s="69"/>
      <c r="P1" s="69"/>
      <c r="Q1" s="69"/>
      <c r="R1" s="69"/>
      <c r="S1" s="69"/>
    </row>
    <row r="2" spans="2:22" ht="27.6" customHeight="1" thickBot="1" x14ac:dyDescent="0.4">
      <c r="C2" s="113"/>
      <c r="D2" s="114"/>
      <c r="E2" s="118" t="s">
        <v>42</v>
      </c>
      <c r="F2" s="115">
        <v>2</v>
      </c>
      <c r="G2" s="116"/>
      <c r="H2" s="117"/>
      <c r="I2" s="229"/>
      <c r="J2" s="230"/>
      <c r="K2" s="230"/>
      <c r="L2" s="230"/>
      <c r="M2" s="231" t="s">
        <v>31</v>
      </c>
      <c r="N2" s="232" t="s">
        <v>33</v>
      </c>
      <c r="O2" s="232" t="s">
        <v>38</v>
      </c>
      <c r="Q2" s="244" t="s">
        <v>59</v>
      </c>
      <c r="R2" s="244"/>
    </row>
    <row r="3" spans="2:22" ht="30" customHeight="1" thickBot="1" x14ac:dyDescent="0.35">
      <c r="B3" s="155" t="s">
        <v>43</v>
      </c>
      <c r="C3" s="161" t="s">
        <v>41</v>
      </c>
      <c r="D3" s="156" t="s">
        <v>20</v>
      </c>
      <c r="E3" s="157" t="s">
        <v>44</v>
      </c>
      <c r="F3" s="156" t="s">
        <v>16</v>
      </c>
      <c r="G3" s="158" t="s">
        <v>21</v>
      </c>
      <c r="H3" s="157" t="s">
        <v>21</v>
      </c>
      <c r="I3" s="171" t="s">
        <v>29</v>
      </c>
      <c r="J3" s="203" t="s">
        <v>55</v>
      </c>
      <c r="K3" s="204"/>
      <c r="L3" s="204" t="s">
        <v>56</v>
      </c>
      <c r="M3" s="234" t="s">
        <v>36</v>
      </c>
      <c r="N3" s="197">
        <f>VLOOKUP($M$3,Tabla1[],4,FALSE)</f>
        <v>0.263158</v>
      </c>
      <c r="O3" s="81">
        <f>VLOOKUP($M$3,Tabla1[],3,FALSE)</f>
        <v>4</v>
      </c>
      <c r="Q3" s="196" t="s">
        <v>57</v>
      </c>
      <c r="R3" s="196" t="s">
        <v>58</v>
      </c>
    </row>
    <row r="4" spans="2:22" ht="19.95" customHeight="1" x14ac:dyDescent="0.35">
      <c r="B4" s="88" t="s">
        <v>6</v>
      </c>
      <c r="C4" s="46" t="s">
        <v>8</v>
      </c>
      <c r="D4" s="28" t="s">
        <v>6</v>
      </c>
      <c r="E4" s="108"/>
      <c r="F4" s="201">
        <f>IF($D4="SI",($J$15 - SUM(J5:J14)) * (1- SUM($D$16:$D$20)),$J$15)</f>
        <v>689.22672</v>
      </c>
      <c r="G4" s="99">
        <v>0</v>
      </c>
      <c r="H4" s="144">
        <v>0</v>
      </c>
      <c r="I4" s="11">
        <f>IF($B4="SI",IF($D4="SI",($F4+$G4+$H4) / (1- SUM($D$16:$D$20)),$F4),0)</f>
        <v>883.62400000000002</v>
      </c>
      <c r="J4" s="220">
        <f>J15- SUM(J5:J14)</f>
        <v>883.62400000000002</v>
      </c>
      <c r="K4" s="221"/>
      <c r="L4" s="222">
        <f>L15- SUM(L5:L14)</f>
        <v>966.44</v>
      </c>
      <c r="M4" s="222">
        <f>$N$3*$L4</f>
        <v>254.32641752000001</v>
      </c>
      <c r="N4" s="200">
        <f>IF($D4="SI",($L$15 - SUM(L5:L14)) * (1- SUM($D$16:$D$20)),$L$15)</f>
        <v>753.82320000000004</v>
      </c>
      <c r="Q4" s="233">
        <f>ABS(N4-F4)</f>
        <v>64.596480000000042</v>
      </c>
      <c r="R4" s="233">
        <f>ABS(((N4/F4)*100)-100)</f>
        <v>9.3723122051913492</v>
      </c>
    </row>
    <row r="5" spans="2:22" ht="19.95" customHeight="1" x14ac:dyDescent="0.35">
      <c r="B5" s="89" t="s">
        <v>6</v>
      </c>
      <c r="C5" s="46" t="s">
        <v>9</v>
      </c>
      <c r="D5" s="29" t="s">
        <v>6</v>
      </c>
      <c r="E5" s="92"/>
      <c r="F5" s="198">
        <v>0</v>
      </c>
      <c r="G5" s="101"/>
      <c r="H5" s="145"/>
      <c r="I5" s="123">
        <f t="shared" ref="I5:I14" si="0">IF($B5="SI",IF($D5="SI",($F5+$G5+$H5) / (1- SUM($D$16:$D$20)),$F5),0)</f>
        <v>0</v>
      </c>
      <c r="J5" s="210">
        <f t="shared" ref="J5:J14" si="1">I5</f>
        <v>0</v>
      </c>
      <c r="K5" s="221"/>
      <c r="L5" s="221">
        <v>0</v>
      </c>
      <c r="M5" s="210">
        <f t="shared" ref="M5:M14" si="2">$N$3*$L5</f>
        <v>0</v>
      </c>
      <c r="O5" s="10"/>
      <c r="V5" s="191"/>
    </row>
    <row r="6" spans="2:22" ht="19.95" customHeight="1" x14ac:dyDescent="0.35">
      <c r="B6" s="89" t="s">
        <v>6</v>
      </c>
      <c r="C6" s="46" t="s">
        <v>10</v>
      </c>
      <c r="D6" s="29" t="s">
        <v>7</v>
      </c>
      <c r="E6" s="92">
        <v>3.12</v>
      </c>
      <c r="F6" s="193">
        <f>E6*$F$2</f>
        <v>6.24</v>
      </c>
      <c r="G6" s="101"/>
      <c r="H6" s="145"/>
      <c r="I6" s="123">
        <f t="shared" si="0"/>
        <v>6.24</v>
      </c>
      <c r="J6" s="210">
        <f t="shared" si="1"/>
        <v>6.24</v>
      </c>
      <c r="K6" s="221"/>
      <c r="L6" s="221">
        <f t="shared" ref="L6:L14" si="3">J6</f>
        <v>6.24</v>
      </c>
      <c r="M6" s="210">
        <f t="shared" si="2"/>
        <v>1.6421059200000001</v>
      </c>
    </row>
    <row r="7" spans="2:22" ht="19.95" customHeight="1" x14ac:dyDescent="0.35">
      <c r="B7" s="89" t="s">
        <v>6</v>
      </c>
      <c r="C7" s="46" t="s">
        <v>11</v>
      </c>
      <c r="D7" s="29" t="s">
        <v>7</v>
      </c>
      <c r="E7" s="92">
        <v>3.6</v>
      </c>
      <c r="F7" s="193">
        <f t="shared" ref="F7:F11" si="4">E7*$F$2</f>
        <v>7.2</v>
      </c>
      <c r="G7" s="103"/>
      <c r="H7" s="146"/>
      <c r="I7" s="123">
        <f t="shared" si="0"/>
        <v>7.2</v>
      </c>
      <c r="J7" s="210">
        <f t="shared" si="1"/>
        <v>7.2</v>
      </c>
      <c r="K7" s="221"/>
      <c r="L7" s="221">
        <f t="shared" si="3"/>
        <v>7.2</v>
      </c>
      <c r="M7" s="210">
        <f t="shared" si="2"/>
        <v>1.8947376</v>
      </c>
    </row>
    <row r="8" spans="2:22" ht="19.95" customHeight="1" x14ac:dyDescent="0.35">
      <c r="B8" s="89" t="s">
        <v>6</v>
      </c>
      <c r="C8" s="46" t="s">
        <v>12</v>
      </c>
      <c r="D8" s="29" t="s">
        <v>7</v>
      </c>
      <c r="E8" s="92">
        <v>0</v>
      </c>
      <c r="F8" s="193">
        <f t="shared" si="4"/>
        <v>0</v>
      </c>
      <c r="G8" s="103"/>
      <c r="H8" s="146"/>
      <c r="I8" s="123">
        <f t="shared" si="0"/>
        <v>0</v>
      </c>
      <c r="J8" s="210">
        <f t="shared" si="1"/>
        <v>0</v>
      </c>
      <c r="K8" s="221"/>
      <c r="L8" s="221">
        <f t="shared" si="3"/>
        <v>0</v>
      </c>
      <c r="M8" s="210">
        <f t="shared" si="2"/>
        <v>0</v>
      </c>
    </row>
    <row r="9" spans="2:22" ht="19.95" customHeight="1" x14ac:dyDescent="0.35">
      <c r="B9" s="89" t="s">
        <v>6</v>
      </c>
      <c r="C9" s="47" t="s">
        <v>13</v>
      </c>
      <c r="D9" s="29" t="s">
        <v>7</v>
      </c>
      <c r="E9" s="92">
        <v>7.8</v>
      </c>
      <c r="F9" s="193">
        <f t="shared" si="4"/>
        <v>15.6</v>
      </c>
      <c r="G9" s="103"/>
      <c r="H9" s="146"/>
      <c r="I9" s="123">
        <f t="shared" si="0"/>
        <v>15.6</v>
      </c>
      <c r="J9" s="210">
        <f t="shared" si="1"/>
        <v>15.6</v>
      </c>
      <c r="K9" s="221"/>
      <c r="L9" s="221">
        <f t="shared" si="3"/>
        <v>15.6</v>
      </c>
      <c r="M9" s="210">
        <f t="shared" si="2"/>
        <v>4.1052647999999996</v>
      </c>
    </row>
    <row r="10" spans="2:22" ht="19.95" customHeight="1" x14ac:dyDescent="0.35">
      <c r="B10" s="89" t="s">
        <v>6</v>
      </c>
      <c r="C10" s="47" t="s">
        <v>14</v>
      </c>
      <c r="D10" s="29" t="s">
        <v>7</v>
      </c>
      <c r="E10" s="92">
        <v>7.92</v>
      </c>
      <c r="F10" s="193">
        <f t="shared" si="4"/>
        <v>15.84</v>
      </c>
      <c r="G10" s="103"/>
      <c r="H10" s="146"/>
      <c r="I10" s="123">
        <f t="shared" si="0"/>
        <v>15.84</v>
      </c>
      <c r="J10" s="210">
        <f t="shared" si="1"/>
        <v>15.84</v>
      </c>
      <c r="K10" s="221"/>
      <c r="L10" s="221">
        <f t="shared" si="3"/>
        <v>15.84</v>
      </c>
      <c r="M10" s="210">
        <f t="shared" si="2"/>
        <v>4.1684227199999997</v>
      </c>
    </row>
    <row r="11" spans="2:22" ht="19.95" customHeight="1" thickBot="1" x14ac:dyDescent="0.4">
      <c r="B11" s="89" t="s">
        <v>6</v>
      </c>
      <c r="C11" s="46" t="s">
        <v>15</v>
      </c>
      <c r="D11" s="29" t="s">
        <v>7</v>
      </c>
      <c r="E11" s="92">
        <v>6.34</v>
      </c>
      <c r="F11" s="193">
        <f t="shared" si="4"/>
        <v>12.68</v>
      </c>
      <c r="G11" s="103"/>
      <c r="H11" s="146"/>
      <c r="I11" s="123">
        <f t="shared" si="0"/>
        <v>12.68</v>
      </c>
      <c r="J11" s="210">
        <f t="shared" si="1"/>
        <v>12.68</v>
      </c>
      <c r="K11" s="221"/>
      <c r="L11" s="221">
        <f t="shared" si="3"/>
        <v>12.68</v>
      </c>
      <c r="M11" s="210">
        <f t="shared" si="2"/>
        <v>3.33684344</v>
      </c>
    </row>
    <row r="12" spans="2:22" ht="19.95" hidden="1" customHeight="1" x14ac:dyDescent="0.4">
      <c r="B12" s="90" t="s">
        <v>7</v>
      </c>
      <c r="C12" s="46"/>
      <c r="D12" s="55" t="s">
        <v>7</v>
      </c>
      <c r="E12" s="109"/>
      <c r="F12" s="104"/>
      <c r="G12" s="105"/>
      <c r="H12" s="147"/>
      <c r="I12" s="123">
        <f t="shared" si="0"/>
        <v>0</v>
      </c>
      <c r="J12" s="206">
        <f t="shared" si="1"/>
        <v>0</v>
      </c>
      <c r="K12" s="205"/>
      <c r="L12" s="205">
        <f t="shared" si="3"/>
        <v>0</v>
      </c>
      <c r="M12" s="206">
        <f t="shared" si="2"/>
        <v>0</v>
      </c>
    </row>
    <row r="13" spans="2:22" ht="19.95" hidden="1" customHeight="1" x14ac:dyDescent="0.4">
      <c r="B13" s="90" t="s">
        <v>7</v>
      </c>
      <c r="C13" s="46"/>
      <c r="D13" s="55" t="s">
        <v>7</v>
      </c>
      <c r="E13" s="92"/>
      <c r="F13" s="104"/>
      <c r="G13" s="105"/>
      <c r="H13" s="147"/>
      <c r="I13" s="123">
        <f t="shared" si="0"/>
        <v>0</v>
      </c>
      <c r="J13" s="206">
        <f t="shared" si="1"/>
        <v>0</v>
      </c>
      <c r="K13" s="205"/>
      <c r="L13" s="205">
        <f t="shared" si="3"/>
        <v>0</v>
      </c>
      <c r="M13" s="206">
        <f t="shared" si="2"/>
        <v>0</v>
      </c>
    </row>
    <row r="14" spans="2:22" ht="18.600000000000001" hidden="1" thickBot="1" x14ac:dyDescent="0.4">
      <c r="B14" s="91" t="s">
        <v>7</v>
      </c>
      <c r="C14" s="167"/>
      <c r="D14" s="55" t="s">
        <v>7</v>
      </c>
      <c r="E14" s="168"/>
      <c r="F14" s="169"/>
      <c r="G14" s="68"/>
      <c r="H14" s="170"/>
      <c r="I14" s="126">
        <f t="shared" si="0"/>
        <v>0</v>
      </c>
      <c r="J14" s="206">
        <f t="shared" si="1"/>
        <v>0</v>
      </c>
      <c r="K14" s="205"/>
      <c r="L14" s="205">
        <f t="shared" si="3"/>
        <v>0</v>
      </c>
      <c r="M14" s="207">
        <f t="shared" si="2"/>
        <v>0</v>
      </c>
    </row>
    <row r="15" spans="2:22" ht="18.600000000000001" thickBot="1" x14ac:dyDescent="0.35">
      <c r="C15" s="139" t="s">
        <v>1</v>
      </c>
      <c r="D15" s="140" t="s">
        <v>25</v>
      </c>
      <c r="E15" s="141"/>
      <c r="F15" s="142">
        <f>SUM(F4:F14)</f>
        <v>746.78672000000006</v>
      </c>
      <c r="G15" s="143"/>
      <c r="H15" s="139"/>
      <c r="I15" s="152">
        <f>SUM(I4:I14)</f>
        <v>941.18400000000008</v>
      </c>
      <c r="J15" s="208">
        <f>J21-J22</f>
        <v>941.18399999999997</v>
      </c>
      <c r="K15" s="208"/>
      <c r="L15" s="208">
        <f>L21-L22</f>
        <v>1024</v>
      </c>
      <c r="M15" s="208">
        <f>SUM(M4:M14)</f>
        <v>269.473792</v>
      </c>
    </row>
    <row r="16" spans="2:22" ht="18" x14ac:dyDescent="0.35">
      <c r="B16" s="238" t="s">
        <v>24</v>
      </c>
      <c r="C16" s="87" t="s">
        <v>2</v>
      </c>
      <c r="D16" s="138">
        <v>0.15</v>
      </c>
      <c r="E16" s="175"/>
      <c r="F16" s="93"/>
      <c r="G16" s="93"/>
      <c r="H16" s="93"/>
      <c r="I16" s="120">
        <f>$I$4*$D16</f>
        <v>132.5436</v>
      </c>
      <c r="J16" s="209">
        <f>$J$15*$D16</f>
        <v>141.17759999999998</v>
      </c>
      <c r="K16" s="209"/>
      <c r="L16" s="209">
        <f>$J$15*$D16</f>
        <v>141.17759999999998</v>
      </c>
      <c r="M16" s="209">
        <f>$M$4*$D16</f>
        <v>38.148962628</v>
      </c>
    </row>
    <row r="17" spans="2:23" ht="18" x14ac:dyDescent="0.35">
      <c r="B17" s="239"/>
      <c r="C17" s="54" t="s">
        <v>17</v>
      </c>
      <c r="D17" s="35">
        <v>0.05</v>
      </c>
      <c r="E17" s="176"/>
      <c r="F17" s="26"/>
      <c r="G17" s="26"/>
      <c r="H17" s="26"/>
      <c r="I17" s="119">
        <f>$I$4*$D17</f>
        <v>44.181200000000004</v>
      </c>
      <c r="J17" s="209">
        <f>$J$15*$D17</f>
        <v>47.059200000000004</v>
      </c>
      <c r="K17" s="209"/>
      <c r="L17" s="209">
        <f>$J$15*$D17</f>
        <v>47.059200000000004</v>
      </c>
      <c r="M17" s="210">
        <f>$M$4*$D17</f>
        <v>12.716320876000001</v>
      </c>
    </row>
    <row r="18" spans="2:23" ht="18" x14ac:dyDescent="0.35">
      <c r="B18" s="239"/>
      <c r="C18" s="54" t="s">
        <v>18</v>
      </c>
      <c r="D18" s="35">
        <v>0.01</v>
      </c>
      <c r="E18" s="176"/>
      <c r="F18" s="26"/>
      <c r="G18" s="26"/>
      <c r="H18" s="26"/>
      <c r="I18" s="119">
        <f>$I$4*$D18</f>
        <v>8.8362400000000001</v>
      </c>
      <c r="J18" s="209">
        <f>$J$15*$D18</f>
        <v>9.4118399999999998</v>
      </c>
      <c r="K18" s="209"/>
      <c r="L18" s="209">
        <f>$J$15*$D18</f>
        <v>9.4118399999999998</v>
      </c>
      <c r="M18" s="210">
        <f>$M$4*$D18</f>
        <v>2.5432641752</v>
      </c>
    </row>
    <row r="19" spans="2:23" ht="18" x14ac:dyDescent="0.35">
      <c r="B19" s="239"/>
      <c r="C19" s="54" t="s">
        <v>19</v>
      </c>
      <c r="D19" s="35">
        <v>0.01</v>
      </c>
      <c r="E19" s="176"/>
      <c r="F19" s="26"/>
      <c r="G19" s="26"/>
      <c r="H19" s="26"/>
      <c r="I19" s="119">
        <f>$I$4*$D19</f>
        <v>8.8362400000000001</v>
      </c>
      <c r="J19" s="209">
        <f>$J$15*$D19</f>
        <v>9.4118399999999998</v>
      </c>
      <c r="K19" s="209"/>
      <c r="L19" s="209">
        <f>$J$15*$D19</f>
        <v>9.4118399999999998</v>
      </c>
      <c r="M19" s="210">
        <f>$M$4*$D19</f>
        <v>2.5432641752</v>
      </c>
    </row>
    <row r="20" spans="2:23" ht="18.600000000000001" thickBot="1" x14ac:dyDescent="0.4">
      <c r="B20" s="240"/>
      <c r="C20" s="129"/>
      <c r="D20" s="35">
        <v>0</v>
      </c>
      <c r="E20" s="34"/>
      <c r="F20" s="131"/>
      <c r="G20" s="131"/>
      <c r="H20" s="131"/>
      <c r="I20" s="132">
        <f>$I$4*$D20</f>
        <v>0</v>
      </c>
      <c r="J20" s="209">
        <f>$J$15*$D20</f>
        <v>0</v>
      </c>
      <c r="K20" s="209"/>
      <c r="L20" s="209">
        <f>$J$15*$D20</f>
        <v>0</v>
      </c>
      <c r="M20" s="211">
        <f>$M$4*$D20</f>
        <v>0</v>
      </c>
    </row>
    <row r="21" spans="2:23" ht="18.600000000000001" thickBot="1" x14ac:dyDescent="0.35">
      <c r="C21" s="133" t="s">
        <v>22</v>
      </c>
      <c r="D21" s="134"/>
      <c r="E21" s="135"/>
      <c r="F21" s="136">
        <f>SUM(F16:F18)</f>
        <v>0</v>
      </c>
      <c r="G21" s="136"/>
      <c r="H21" s="136"/>
      <c r="I21" s="137">
        <f>I15/(1-$D$22)</f>
        <v>1176.48</v>
      </c>
      <c r="J21" s="212">
        <f>J28-SUM(J24:J27)</f>
        <v>1176.48</v>
      </c>
      <c r="K21" s="212"/>
      <c r="L21" s="212">
        <f>L28-SUM(L24:L27)</f>
        <v>1280</v>
      </c>
      <c r="M21" s="212">
        <f>M15/(1-$D$22)</f>
        <v>336.84224</v>
      </c>
    </row>
    <row r="22" spans="2:23" ht="18.600000000000001" thickBot="1" x14ac:dyDescent="0.4">
      <c r="C22" s="47" t="s">
        <v>23</v>
      </c>
      <c r="D22" s="36">
        <v>0.2</v>
      </c>
      <c r="E22" s="177"/>
      <c r="F22" s="21"/>
      <c r="G22" s="20"/>
      <c r="H22" s="20"/>
      <c r="I22" s="120">
        <f>$I$21*$D22</f>
        <v>235.29600000000002</v>
      </c>
      <c r="J22" s="209">
        <f>$J$21*$D22</f>
        <v>235.29600000000002</v>
      </c>
      <c r="K22" s="209"/>
      <c r="L22" s="209">
        <f>$L$21*$D22</f>
        <v>256</v>
      </c>
      <c r="M22" s="213">
        <f>$M$21*$D22</f>
        <v>67.368448000000001</v>
      </c>
    </row>
    <row r="23" spans="2:23" ht="18.600000000000001" thickBot="1" x14ac:dyDescent="0.35">
      <c r="C23" s="50"/>
      <c r="D23" s="32"/>
      <c r="E23" s="41"/>
      <c r="F23" s="38"/>
      <c r="G23" s="17"/>
      <c r="H23" s="17"/>
      <c r="I23" s="121"/>
      <c r="J23" s="214"/>
      <c r="K23" s="214"/>
      <c r="L23" s="214"/>
      <c r="M23" s="214"/>
    </row>
    <row r="24" spans="2:23" ht="18" x14ac:dyDescent="0.35">
      <c r="C24" s="106" t="s">
        <v>5</v>
      </c>
      <c r="D24" s="111">
        <v>0.02</v>
      </c>
      <c r="E24" s="178"/>
      <c r="F24" s="8"/>
      <c r="G24" s="8"/>
      <c r="H24" s="8"/>
      <c r="I24" s="122">
        <f>$I$28*$D24</f>
        <v>29.411999999999999</v>
      </c>
      <c r="J24" s="209">
        <f>$J$28*$D24</f>
        <v>29.411999999999999</v>
      </c>
      <c r="K24" s="209"/>
      <c r="L24" s="209">
        <f>$L$28*$D24</f>
        <v>32</v>
      </c>
      <c r="M24" s="209">
        <f>$M$28*$D24</f>
        <v>8.4210560000000001</v>
      </c>
    </row>
    <row r="25" spans="2:23" ht="18" x14ac:dyDescent="0.35">
      <c r="C25" s="47" t="s">
        <v>26</v>
      </c>
      <c r="D25" s="35">
        <v>0.02</v>
      </c>
      <c r="E25" s="176"/>
      <c r="F25" s="9"/>
      <c r="G25" s="9"/>
      <c r="H25" s="9"/>
      <c r="I25" s="119">
        <f>$I$28*$D25</f>
        <v>29.411999999999999</v>
      </c>
      <c r="J25" s="210">
        <f>$J$28*$D25</f>
        <v>29.411999999999999</v>
      </c>
      <c r="K25" s="209"/>
      <c r="L25" s="209">
        <f>$L$28*$D25</f>
        <v>32</v>
      </c>
      <c r="M25" s="210">
        <f>$M$28*$D25</f>
        <v>8.4210560000000001</v>
      </c>
    </row>
    <row r="26" spans="2:23" ht="18" x14ac:dyDescent="0.35">
      <c r="C26" s="47" t="s">
        <v>3</v>
      </c>
      <c r="D26" s="35">
        <v>0.03</v>
      </c>
      <c r="E26" s="176"/>
      <c r="F26" s="40"/>
      <c r="G26" s="40"/>
      <c r="H26" s="40"/>
      <c r="I26" s="119">
        <f>$I$28*$D26</f>
        <v>44.117999999999995</v>
      </c>
      <c r="J26" s="210">
        <f>$J$28*$D26</f>
        <v>44.117999999999995</v>
      </c>
      <c r="K26" s="209"/>
      <c r="L26" s="209">
        <f>$L$28*$D26</f>
        <v>48</v>
      </c>
      <c r="M26" s="210">
        <f>$M$28*$D26</f>
        <v>12.631583999999998</v>
      </c>
    </row>
    <row r="27" spans="2:23" ht="18.600000000000001" thickBot="1" x14ac:dyDescent="0.4">
      <c r="C27" s="162" t="s">
        <v>4</v>
      </c>
      <c r="D27" s="163">
        <v>0.13</v>
      </c>
      <c r="E27" s="235"/>
      <c r="F27" s="164"/>
      <c r="G27" s="164"/>
      <c r="H27" s="164"/>
      <c r="I27" s="132">
        <f>$I$28*$D27</f>
        <v>191.178</v>
      </c>
      <c r="J27" s="211">
        <f>$J$28*$D27</f>
        <v>191.178</v>
      </c>
      <c r="K27" s="213"/>
      <c r="L27" s="209">
        <f>$L$28*$D27</f>
        <v>208</v>
      </c>
      <c r="M27" s="211">
        <f>$M$28*$D27</f>
        <v>54.736864000000004</v>
      </c>
      <c r="W27" s="10"/>
    </row>
    <row r="28" spans="2:23" ht="18.600000000000001" thickBot="1" x14ac:dyDescent="0.4">
      <c r="C28" s="139" t="s">
        <v>27</v>
      </c>
      <c r="D28" s="141"/>
      <c r="E28" s="141"/>
      <c r="F28" s="199"/>
      <c r="G28" s="165"/>
      <c r="H28" s="165"/>
      <c r="I28" s="166">
        <f>I21/(1-SUM($D$24:$D$27))</f>
        <v>1470.6</v>
      </c>
      <c r="J28" s="215">
        <v>1470.6</v>
      </c>
      <c r="K28" s="216"/>
      <c r="L28" s="215">
        <v>1600</v>
      </c>
      <c r="M28" s="217">
        <f>M21/(1-SUM($D$24:$D$27))</f>
        <v>421.05279999999999</v>
      </c>
      <c r="P28" s="83"/>
      <c r="Q28" s="83"/>
      <c r="R28" s="83"/>
      <c r="S28" s="83"/>
      <c r="W28" s="10"/>
    </row>
    <row r="30" spans="2:23" ht="14.4" thickBot="1" x14ac:dyDescent="0.35">
      <c r="E30" s="237" t="s">
        <v>61</v>
      </c>
      <c r="F30" s="236">
        <v>0.05</v>
      </c>
      <c r="G30" s="194"/>
      <c r="H30" s="194"/>
      <c r="I30" s="194"/>
      <c r="J30" s="195">
        <f>$J$28+($J$28*F30)</f>
        <v>1544.1299999999999</v>
      </c>
    </row>
    <row r="31" spans="2:23" ht="14.4" thickBot="1" x14ac:dyDescent="0.35">
      <c r="E31" s="237" t="s">
        <v>60</v>
      </c>
      <c r="F31" s="236">
        <v>0.1</v>
      </c>
      <c r="G31" s="194"/>
      <c r="H31" s="194"/>
      <c r="I31" s="194"/>
      <c r="J31" s="195">
        <f>$J$28-($J$28*F31)</f>
        <v>1323.54</v>
      </c>
      <c r="K31" s="218"/>
      <c r="L31" s="219"/>
    </row>
    <row r="32" spans="2:23" x14ac:dyDescent="0.3">
      <c r="J32" s="219"/>
      <c r="K32" s="219"/>
      <c r="L32" s="219"/>
    </row>
  </sheetData>
  <mergeCells count="2">
    <mergeCell ref="B16:B20"/>
    <mergeCell ref="Q2:R2"/>
  </mergeCells>
  <dataValidations count="1">
    <dataValidation showInputMessage="1" showErrorMessage="1" sqref="E13:E14 E4:E11" xr:uid="{FC859DCF-9047-4EDA-9C33-CB22B93AB11E}"/>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showInputMessage="1" showErrorMessage="1" xr:uid="{92CB1F60-FACC-46EF-A4E7-D7F325DC4D04}">
          <x14:formula1>
            <xm:f>Hoja1!$B$2:$B$3</xm:f>
          </x14:formula1>
          <xm:sqref>D4:D14 B4:B14</xm:sqref>
        </x14:dataValidation>
        <x14:dataValidation type="list" allowBlank="1" showInputMessage="1" showErrorMessage="1" xr:uid="{04A29B12-D0E1-4CD2-8E98-95C915E9C691}">
          <x14:formula1>
            <xm:f>FRECUENCIAS!$A$3:$A$7</xm:f>
          </x14:formula1>
          <xm:sqref>M3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3"/>
  <sheetViews>
    <sheetView workbookViewId="0">
      <selection activeCell="B4" sqref="B4"/>
    </sheetView>
  </sheetViews>
  <sheetFormatPr baseColWidth="10" defaultRowHeight="14.4" x14ac:dyDescent="0.3"/>
  <sheetData>
    <row r="2" spans="2:2" x14ac:dyDescent="0.3">
      <c r="B2" t="s">
        <v>6</v>
      </c>
    </row>
    <row r="3" spans="2:2" x14ac:dyDescent="0.3">
      <c r="B3" t="s">
        <v>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FRECUENCIAS</vt:lpstr>
      <vt:lpstr>INFO</vt:lpstr>
      <vt:lpstr>CALCULO SALUD</vt:lpstr>
      <vt:lpstr>P. RIESGO PARA DISENADOR</vt:lpstr>
      <vt:lpstr>P. DESEADA COMERCIAL</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Noto Issa</dc:creator>
  <cp:lastModifiedBy>George Noto</cp:lastModifiedBy>
  <cp:lastPrinted>2017-07-05T21:57:40Z</cp:lastPrinted>
  <dcterms:created xsi:type="dcterms:W3CDTF">2016-07-21T13:31:49Z</dcterms:created>
  <dcterms:modified xsi:type="dcterms:W3CDTF">2026-06-26T14:23:07Z</dcterms:modified>
</cp:coreProperties>
</file>