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zalles\Desktop\"/>
    </mc:Choice>
  </mc:AlternateContent>
  <xr:revisionPtr revIDLastSave="0" documentId="13_ncr:1_{AD5E3853-9336-4212-853D-BBD863E204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aHorizont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408" i="1" l="1"/>
  <c r="AA664" i="1"/>
  <c r="AA798" i="1"/>
  <c r="AA901" i="1"/>
  <c r="AA1001" i="1"/>
  <c r="AA1053" i="1"/>
  <c r="AA1087" i="1"/>
  <c r="AA1129" i="1"/>
  <c r="AA1151" i="1"/>
  <c r="AA1193" i="1"/>
  <c r="AA1215" i="1"/>
  <c r="AA1257" i="1"/>
  <c r="AA1279" i="1"/>
  <c r="AA1297" i="1"/>
  <c r="AA1313" i="1"/>
  <c r="AA1327" i="1"/>
  <c r="AA1352" i="1"/>
  <c r="AA1366" i="1"/>
  <c r="AA1377" i="1"/>
  <c r="AE2" i="1"/>
  <c r="V240" i="1"/>
  <c r="V785" i="1"/>
  <c r="V1126" i="1"/>
  <c r="V1291" i="1"/>
  <c r="V1323" i="1"/>
  <c r="V1355" i="1"/>
  <c r="V1387" i="1"/>
  <c r="AE20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V119" i="1" s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V168" i="1" s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V227" i="1" s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A240" i="1" s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V288" i="1" s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A304" i="1" s="1"/>
  <c r="AE305" i="1"/>
  <c r="AE306" i="1"/>
  <c r="AE307" i="1"/>
  <c r="AE308" i="1"/>
  <c r="AE309" i="1"/>
  <c r="AE310" i="1"/>
  <c r="AE311" i="1"/>
  <c r="AE312" i="1"/>
  <c r="AA312" i="1" s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V339" i="1" s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V376" i="1" s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V408" i="1" s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V440" i="1" s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A472" i="1" s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V504" i="1" s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V536" i="1" s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V568" i="1" s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V600" i="1" s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V632" i="1" s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V664" i="1" s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V688" i="1" s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V704" i="1" s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V720" i="1" s="1"/>
  <c r="AE721" i="1"/>
  <c r="AA721" i="1" s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V736" i="1" s="1"/>
  <c r="AE737" i="1"/>
  <c r="AE738" i="1"/>
  <c r="AE739" i="1"/>
  <c r="AE740" i="1"/>
  <c r="AE741" i="1"/>
  <c r="AE742" i="1"/>
  <c r="AA742" i="1" s="1"/>
  <c r="AE743" i="1"/>
  <c r="AE744" i="1"/>
  <c r="AE745" i="1"/>
  <c r="AE746" i="1"/>
  <c r="AE747" i="1"/>
  <c r="AE748" i="1"/>
  <c r="AE749" i="1"/>
  <c r="AE750" i="1"/>
  <c r="AE751" i="1"/>
  <c r="AE752" i="1"/>
  <c r="V752" i="1" s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V768" i="1" s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V784" i="1" s="1"/>
  <c r="AE785" i="1"/>
  <c r="AA785" i="1" s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V798" i="1" s="1"/>
  <c r="AE799" i="1"/>
  <c r="AE800" i="1"/>
  <c r="AE801" i="1"/>
  <c r="AE802" i="1"/>
  <c r="AE803" i="1"/>
  <c r="AE804" i="1"/>
  <c r="AE805" i="1"/>
  <c r="AE806" i="1"/>
  <c r="AA806" i="1" s="1"/>
  <c r="AE807" i="1"/>
  <c r="AE808" i="1"/>
  <c r="AE809" i="1"/>
  <c r="V809" i="1" s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V823" i="1" s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V837" i="1" s="1"/>
  <c r="AE838" i="1"/>
  <c r="AE839" i="1"/>
  <c r="AE840" i="1"/>
  <c r="AE841" i="1"/>
  <c r="AE842" i="1"/>
  <c r="AE843" i="1"/>
  <c r="AE844" i="1"/>
  <c r="AE845" i="1"/>
  <c r="AE846" i="1"/>
  <c r="AE847" i="1"/>
  <c r="AE848" i="1"/>
  <c r="V848" i="1" s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V862" i="1" s="1"/>
  <c r="AE863" i="1"/>
  <c r="AE864" i="1"/>
  <c r="AE865" i="1"/>
  <c r="AE866" i="1"/>
  <c r="AE867" i="1"/>
  <c r="AE868" i="1"/>
  <c r="AE869" i="1"/>
  <c r="AE870" i="1"/>
  <c r="AE871" i="1"/>
  <c r="AE872" i="1"/>
  <c r="AE873" i="1"/>
  <c r="V873" i="1" s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V887" i="1" s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V901" i="1" s="1"/>
  <c r="AE902" i="1"/>
  <c r="AE903" i="1"/>
  <c r="AE904" i="1"/>
  <c r="AE905" i="1"/>
  <c r="AE906" i="1"/>
  <c r="AE907" i="1"/>
  <c r="AE908" i="1"/>
  <c r="AE909" i="1"/>
  <c r="AE910" i="1"/>
  <c r="AE911" i="1"/>
  <c r="AE912" i="1"/>
  <c r="V912" i="1" s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V926" i="1" s="1"/>
  <c r="AE927" i="1"/>
  <c r="AE928" i="1"/>
  <c r="AE929" i="1"/>
  <c r="AE930" i="1"/>
  <c r="AE931" i="1"/>
  <c r="AE932" i="1"/>
  <c r="AE933" i="1"/>
  <c r="AE934" i="1"/>
  <c r="AA934" i="1" s="1"/>
  <c r="AE935" i="1"/>
  <c r="AE936" i="1"/>
  <c r="AE937" i="1"/>
  <c r="V937" i="1" s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V951" i="1" s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V965" i="1" s="1"/>
  <c r="AE966" i="1"/>
  <c r="AE967" i="1"/>
  <c r="AE968" i="1"/>
  <c r="AE969" i="1"/>
  <c r="AE970" i="1"/>
  <c r="AE971" i="1"/>
  <c r="AE972" i="1"/>
  <c r="AE973" i="1"/>
  <c r="AE974" i="1"/>
  <c r="AE975" i="1"/>
  <c r="AE976" i="1"/>
  <c r="V976" i="1" s="1"/>
  <c r="AE977" i="1"/>
  <c r="AA977" i="1" s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V990" i="1" s="1"/>
  <c r="AE991" i="1"/>
  <c r="AE992" i="1"/>
  <c r="AE993" i="1"/>
  <c r="AE994" i="1"/>
  <c r="AE995" i="1"/>
  <c r="AE996" i="1"/>
  <c r="AE997" i="1"/>
  <c r="AE998" i="1"/>
  <c r="AA998" i="1" s="1"/>
  <c r="AE999" i="1"/>
  <c r="AE1000" i="1"/>
  <c r="AE1001" i="1"/>
  <c r="V1001" i="1" s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V1015" i="1" s="1"/>
  <c r="AE1016" i="1"/>
  <c r="AE1017" i="1"/>
  <c r="AE1018" i="1"/>
  <c r="AE1019" i="1"/>
  <c r="AE1020" i="1"/>
  <c r="AE1021" i="1"/>
  <c r="AE1022" i="1"/>
  <c r="AE1023" i="1"/>
  <c r="V1023" i="1" s="1"/>
  <c r="AE1024" i="1"/>
  <c r="AE1025" i="1"/>
  <c r="AE1026" i="1"/>
  <c r="AE1027" i="1"/>
  <c r="AE1028" i="1"/>
  <c r="AE1029" i="1"/>
  <c r="V1029" i="1" s="1"/>
  <c r="AE1030" i="1"/>
  <c r="AE1031" i="1"/>
  <c r="AE1032" i="1"/>
  <c r="AE1033" i="1"/>
  <c r="AE1034" i="1"/>
  <c r="AE1035" i="1"/>
  <c r="AE1036" i="1"/>
  <c r="AE1037" i="1"/>
  <c r="V1037" i="1" s="1"/>
  <c r="AE1038" i="1"/>
  <c r="AE1039" i="1"/>
  <c r="V1039" i="1" s="1"/>
  <c r="AE1040" i="1"/>
  <c r="V1040" i="1" s="1"/>
  <c r="AE1041" i="1"/>
  <c r="AA1041" i="1" s="1"/>
  <c r="AE1042" i="1"/>
  <c r="AE1043" i="1"/>
  <c r="AE1044" i="1"/>
  <c r="AE1045" i="1"/>
  <c r="AE1046" i="1"/>
  <c r="AE1047" i="1"/>
  <c r="AE1048" i="1"/>
  <c r="V1048" i="1" s="1"/>
  <c r="AE1049" i="1"/>
  <c r="AE1050" i="1"/>
  <c r="AE1051" i="1"/>
  <c r="AE1052" i="1"/>
  <c r="AE1053" i="1"/>
  <c r="V1053" i="1" s="1"/>
  <c r="AE1054" i="1"/>
  <c r="V1054" i="1" s="1"/>
  <c r="AE1055" i="1"/>
  <c r="AE1056" i="1"/>
  <c r="AE1057" i="1"/>
  <c r="AE1058" i="1"/>
  <c r="AE1059" i="1"/>
  <c r="AE1060" i="1"/>
  <c r="AE1061" i="1"/>
  <c r="AE1062" i="1"/>
  <c r="AA1062" i="1" s="1"/>
  <c r="AE1063" i="1"/>
  <c r="AE1064" i="1"/>
  <c r="V1064" i="1" s="1"/>
  <c r="AE1065" i="1"/>
  <c r="V1065" i="1" s="1"/>
  <c r="AE1066" i="1"/>
  <c r="AE1067" i="1"/>
  <c r="AE1068" i="1"/>
  <c r="AE1069" i="1"/>
  <c r="AE1070" i="1"/>
  <c r="AE1071" i="1"/>
  <c r="AE1072" i="1"/>
  <c r="AE1073" i="1"/>
  <c r="V1073" i="1" s="1"/>
  <c r="AE1074" i="1"/>
  <c r="AE1075" i="1"/>
  <c r="AE1076" i="1"/>
  <c r="AE1077" i="1"/>
  <c r="AE1078" i="1"/>
  <c r="V1078" i="1" s="1"/>
  <c r="AE1079" i="1"/>
  <c r="V1079" i="1" s="1"/>
  <c r="AE1080" i="1"/>
  <c r="AE1081" i="1"/>
  <c r="AE1082" i="1"/>
  <c r="AE1083" i="1"/>
  <c r="AE1084" i="1"/>
  <c r="AE1085" i="1"/>
  <c r="AE1086" i="1"/>
  <c r="AE1087" i="1"/>
  <c r="V1087" i="1" s="1"/>
  <c r="AE1088" i="1"/>
  <c r="AE1089" i="1"/>
  <c r="V1089" i="1" s="1"/>
  <c r="AE1090" i="1"/>
  <c r="AE1091" i="1"/>
  <c r="AE1092" i="1"/>
  <c r="AE1093" i="1"/>
  <c r="AE1094" i="1"/>
  <c r="AE1095" i="1"/>
  <c r="V1095" i="1" s="1"/>
  <c r="AE1096" i="1"/>
  <c r="AE1097" i="1"/>
  <c r="V1097" i="1" s="1"/>
  <c r="AE1098" i="1"/>
  <c r="AE1099" i="1"/>
  <c r="AE1100" i="1"/>
  <c r="AE1101" i="1"/>
  <c r="AE1102" i="1"/>
  <c r="AE1103" i="1"/>
  <c r="V1103" i="1" s="1"/>
  <c r="AE1104" i="1"/>
  <c r="AE1105" i="1"/>
  <c r="AA1105" i="1" s="1"/>
  <c r="AE1106" i="1"/>
  <c r="AE1107" i="1"/>
  <c r="AE1108" i="1"/>
  <c r="AE1109" i="1"/>
  <c r="AE1110" i="1"/>
  <c r="AE1111" i="1"/>
  <c r="V1111" i="1" s="1"/>
  <c r="AE1112" i="1"/>
  <c r="AE1113" i="1"/>
  <c r="V1113" i="1" s="1"/>
  <c r="AE1114" i="1"/>
  <c r="AE1115" i="1"/>
  <c r="AE1116" i="1"/>
  <c r="AE1117" i="1"/>
  <c r="AE1118" i="1"/>
  <c r="AE1119" i="1"/>
  <c r="V1119" i="1" s="1"/>
  <c r="AE1120" i="1"/>
  <c r="AE1121" i="1"/>
  <c r="V1121" i="1" s="1"/>
  <c r="AE1122" i="1"/>
  <c r="AE1123" i="1"/>
  <c r="AE1124" i="1"/>
  <c r="AE1125" i="1"/>
  <c r="AE1126" i="1"/>
  <c r="AA1126" i="1" s="1"/>
  <c r="AE1127" i="1"/>
  <c r="V1127" i="1" s="1"/>
  <c r="AE1128" i="1"/>
  <c r="AE1129" i="1"/>
  <c r="V1129" i="1" s="1"/>
  <c r="AE1130" i="1"/>
  <c r="AE1131" i="1"/>
  <c r="AE1132" i="1"/>
  <c r="AE1133" i="1"/>
  <c r="AE1134" i="1"/>
  <c r="AE1135" i="1"/>
  <c r="V1135" i="1" s="1"/>
  <c r="AE1136" i="1"/>
  <c r="AE1137" i="1"/>
  <c r="V1137" i="1" s="1"/>
  <c r="AE1138" i="1"/>
  <c r="AE1139" i="1"/>
  <c r="AE1140" i="1"/>
  <c r="AE1141" i="1"/>
  <c r="AE1142" i="1"/>
  <c r="AE1143" i="1"/>
  <c r="V1143" i="1" s="1"/>
  <c r="AE1144" i="1"/>
  <c r="AE1145" i="1"/>
  <c r="V1145" i="1" s="1"/>
  <c r="AE1146" i="1"/>
  <c r="AE1147" i="1"/>
  <c r="AE1148" i="1"/>
  <c r="AE1149" i="1"/>
  <c r="AE1150" i="1"/>
  <c r="AE1151" i="1"/>
  <c r="V1151" i="1" s="1"/>
  <c r="AE1152" i="1"/>
  <c r="AE1153" i="1"/>
  <c r="V1153" i="1" s="1"/>
  <c r="AE1154" i="1"/>
  <c r="AE1155" i="1"/>
  <c r="AE1156" i="1"/>
  <c r="AE1157" i="1"/>
  <c r="AE1158" i="1"/>
  <c r="AE1159" i="1"/>
  <c r="V1159" i="1" s="1"/>
  <c r="AE1160" i="1"/>
  <c r="AE1161" i="1"/>
  <c r="V1161" i="1" s="1"/>
  <c r="AE1162" i="1"/>
  <c r="AE1163" i="1"/>
  <c r="AE1164" i="1"/>
  <c r="AE1165" i="1"/>
  <c r="AE1166" i="1"/>
  <c r="AE1167" i="1"/>
  <c r="V1167" i="1" s="1"/>
  <c r="AE1168" i="1"/>
  <c r="AE1169" i="1"/>
  <c r="V1169" i="1" s="1"/>
  <c r="AE1170" i="1"/>
  <c r="AE1171" i="1"/>
  <c r="AE1172" i="1"/>
  <c r="AE1173" i="1"/>
  <c r="AE1174" i="1"/>
  <c r="AE1175" i="1"/>
  <c r="V1175" i="1" s="1"/>
  <c r="AE1176" i="1"/>
  <c r="AE1177" i="1"/>
  <c r="V1177" i="1" s="1"/>
  <c r="AE1178" i="1"/>
  <c r="AE1179" i="1"/>
  <c r="AE1180" i="1"/>
  <c r="AE1181" i="1"/>
  <c r="AE1182" i="1"/>
  <c r="AE1183" i="1"/>
  <c r="V1183" i="1" s="1"/>
  <c r="AE1184" i="1"/>
  <c r="AE1185" i="1"/>
  <c r="V1185" i="1" s="1"/>
  <c r="AE1186" i="1"/>
  <c r="AE1187" i="1"/>
  <c r="AE1188" i="1"/>
  <c r="AE1189" i="1"/>
  <c r="AE1190" i="1"/>
  <c r="AA1190" i="1" s="1"/>
  <c r="AE1191" i="1"/>
  <c r="V1191" i="1" s="1"/>
  <c r="AE1192" i="1"/>
  <c r="AE1193" i="1"/>
  <c r="V1193" i="1" s="1"/>
  <c r="AE1194" i="1"/>
  <c r="AE1195" i="1"/>
  <c r="AE1196" i="1"/>
  <c r="AE1197" i="1"/>
  <c r="AE1198" i="1"/>
  <c r="AE1199" i="1"/>
  <c r="V1199" i="1" s="1"/>
  <c r="AE1200" i="1"/>
  <c r="AE1201" i="1"/>
  <c r="V1201" i="1" s="1"/>
  <c r="AE1202" i="1"/>
  <c r="AE1203" i="1"/>
  <c r="AE1204" i="1"/>
  <c r="AE1205" i="1"/>
  <c r="AE1206" i="1"/>
  <c r="AE1207" i="1"/>
  <c r="V1207" i="1" s="1"/>
  <c r="AE1208" i="1"/>
  <c r="AE1209" i="1"/>
  <c r="V1209" i="1" s="1"/>
  <c r="AE1210" i="1"/>
  <c r="AE1211" i="1"/>
  <c r="AE1212" i="1"/>
  <c r="AE1213" i="1"/>
  <c r="AE1214" i="1"/>
  <c r="AE1215" i="1"/>
  <c r="V1215" i="1" s="1"/>
  <c r="AE1216" i="1"/>
  <c r="AE1217" i="1"/>
  <c r="V1217" i="1" s="1"/>
  <c r="AE1218" i="1"/>
  <c r="AE1219" i="1"/>
  <c r="AE1220" i="1"/>
  <c r="AE1221" i="1"/>
  <c r="AE1222" i="1"/>
  <c r="AE1223" i="1"/>
  <c r="V1223" i="1" s="1"/>
  <c r="AE1224" i="1"/>
  <c r="AE1225" i="1"/>
  <c r="V1225" i="1" s="1"/>
  <c r="AE1226" i="1"/>
  <c r="AE1227" i="1"/>
  <c r="AE1228" i="1"/>
  <c r="AE1229" i="1"/>
  <c r="AE1230" i="1"/>
  <c r="AE1231" i="1"/>
  <c r="V1231" i="1" s="1"/>
  <c r="AE1232" i="1"/>
  <c r="AE1233" i="1"/>
  <c r="V1233" i="1" s="1"/>
  <c r="AE1234" i="1"/>
  <c r="AE1235" i="1"/>
  <c r="AE1236" i="1"/>
  <c r="AE1237" i="1"/>
  <c r="AE1238" i="1"/>
  <c r="AE1239" i="1"/>
  <c r="V1239" i="1" s="1"/>
  <c r="AE1240" i="1"/>
  <c r="AE1241" i="1"/>
  <c r="V1241" i="1" s="1"/>
  <c r="AE1242" i="1"/>
  <c r="AE1243" i="1"/>
  <c r="AE1244" i="1"/>
  <c r="AE1245" i="1"/>
  <c r="AE1246" i="1"/>
  <c r="AE1247" i="1"/>
  <c r="V1247" i="1" s="1"/>
  <c r="AE1248" i="1"/>
  <c r="AE1249" i="1"/>
  <c r="V1249" i="1" s="1"/>
  <c r="AE1250" i="1"/>
  <c r="AE1251" i="1"/>
  <c r="AE1252" i="1"/>
  <c r="AE1253" i="1"/>
  <c r="AE1254" i="1"/>
  <c r="AA1254" i="1" s="1"/>
  <c r="AE1255" i="1"/>
  <c r="V1255" i="1" s="1"/>
  <c r="AE1256" i="1"/>
  <c r="AE1257" i="1"/>
  <c r="V1257" i="1" s="1"/>
  <c r="AE1258" i="1"/>
  <c r="AE1259" i="1"/>
  <c r="AE1260" i="1"/>
  <c r="AE1261" i="1"/>
  <c r="AE1262" i="1"/>
  <c r="AE1263" i="1"/>
  <c r="V1263" i="1" s="1"/>
  <c r="AE1264" i="1"/>
  <c r="AE1265" i="1"/>
  <c r="V1265" i="1" s="1"/>
  <c r="AE1266" i="1"/>
  <c r="AE1267" i="1"/>
  <c r="AE1268" i="1"/>
  <c r="AE1269" i="1"/>
  <c r="AE1270" i="1"/>
  <c r="AE1271" i="1"/>
  <c r="V1271" i="1" s="1"/>
  <c r="AE1272" i="1"/>
  <c r="AE1273" i="1"/>
  <c r="V1273" i="1" s="1"/>
  <c r="AE1274" i="1"/>
  <c r="AE1275" i="1"/>
  <c r="AE1276" i="1"/>
  <c r="AE1277" i="1"/>
  <c r="AE1278" i="1"/>
  <c r="AE1279" i="1"/>
  <c r="V1279" i="1" s="1"/>
  <c r="AE1280" i="1"/>
  <c r="AE1281" i="1"/>
  <c r="V1281" i="1" s="1"/>
  <c r="AE1282" i="1"/>
  <c r="AE1283" i="1"/>
  <c r="AA1283" i="1" s="1"/>
  <c r="AE1284" i="1"/>
  <c r="AE1285" i="1"/>
  <c r="AE1286" i="1"/>
  <c r="AE1287" i="1"/>
  <c r="AA1287" i="1" s="1"/>
  <c r="AE1288" i="1"/>
  <c r="AE1289" i="1"/>
  <c r="V1289" i="1" s="1"/>
  <c r="AE1290" i="1"/>
  <c r="AE1291" i="1"/>
  <c r="AA1291" i="1" s="1"/>
  <c r="AE1292" i="1"/>
  <c r="AE1293" i="1"/>
  <c r="AE1294" i="1"/>
  <c r="AE1295" i="1"/>
  <c r="V1295" i="1" s="1"/>
  <c r="AE1296" i="1"/>
  <c r="V1296" i="1" s="1"/>
  <c r="AE1297" i="1"/>
  <c r="V1297" i="1" s="1"/>
  <c r="AE1298" i="1"/>
  <c r="AE1299" i="1"/>
  <c r="AA1299" i="1" s="1"/>
  <c r="AE1300" i="1"/>
  <c r="AE1301" i="1"/>
  <c r="AE1302" i="1"/>
  <c r="AE1303" i="1"/>
  <c r="AA1303" i="1" s="1"/>
  <c r="AE1304" i="1"/>
  <c r="V1304" i="1" s="1"/>
  <c r="AE1305" i="1"/>
  <c r="V1305" i="1" s="1"/>
  <c r="AE1306" i="1"/>
  <c r="AE1307" i="1"/>
  <c r="AA1307" i="1" s="1"/>
  <c r="AE1308" i="1"/>
  <c r="AE1309" i="1"/>
  <c r="AE1310" i="1"/>
  <c r="AE1311" i="1"/>
  <c r="V1311" i="1" s="1"/>
  <c r="AE1312" i="1"/>
  <c r="V1312" i="1" s="1"/>
  <c r="AE1313" i="1"/>
  <c r="V1313" i="1" s="1"/>
  <c r="AE1314" i="1"/>
  <c r="AE1315" i="1"/>
  <c r="AA1315" i="1" s="1"/>
  <c r="AE1316" i="1"/>
  <c r="AE1317" i="1"/>
  <c r="AE1318" i="1"/>
  <c r="V1318" i="1" s="1"/>
  <c r="AE1319" i="1"/>
  <c r="AA1319" i="1" s="1"/>
  <c r="AE1320" i="1"/>
  <c r="V1320" i="1" s="1"/>
  <c r="AE1321" i="1"/>
  <c r="V1321" i="1" s="1"/>
  <c r="AE1322" i="1"/>
  <c r="AE1323" i="1"/>
  <c r="AA1323" i="1" s="1"/>
  <c r="AE1324" i="1"/>
  <c r="AE1325" i="1"/>
  <c r="AE1326" i="1"/>
  <c r="V1326" i="1" s="1"/>
  <c r="AE1327" i="1"/>
  <c r="V1327" i="1" s="1"/>
  <c r="AE1328" i="1"/>
  <c r="V1328" i="1" s="1"/>
  <c r="AE1329" i="1"/>
  <c r="V1329" i="1" s="1"/>
  <c r="AE1330" i="1"/>
  <c r="AE1331" i="1"/>
  <c r="AA1331" i="1" s="1"/>
  <c r="AE1332" i="1"/>
  <c r="AE1333" i="1"/>
  <c r="AE1334" i="1"/>
  <c r="V1334" i="1" s="1"/>
  <c r="AE1335" i="1"/>
  <c r="V1335" i="1" s="1"/>
  <c r="AE1336" i="1"/>
  <c r="V1336" i="1" s="1"/>
  <c r="AE1337" i="1"/>
  <c r="V1337" i="1" s="1"/>
  <c r="AE1338" i="1"/>
  <c r="AE1339" i="1"/>
  <c r="AA1339" i="1" s="1"/>
  <c r="AE1340" i="1"/>
  <c r="AE1341" i="1"/>
  <c r="AE1342" i="1"/>
  <c r="V1342" i="1" s="1"/>
  <c r="AE1343" i="1"/>
  <c r="AA1343" i="1" s="1"/>
  <c r="AE1344" i="1"/>
  <c r="V1344" i="1" s="1"/>
  <c r="AE1345" i="1"/>
  <c r="V1345" i="1" s="1"/>
  <c r="AE1346" i="1"/>
  <c r="AE1347" i="1"/>
  <c r="AA1347" i="1" s="1"/>
  <c r="AE1348" i="1"/>
  <c r="AE1349" i="1"/>
  <c r="AE1350" i="1"/>
  <c r="V1350" i="1" s="1"/>
  <c r="AE1351" i="1"/>
  <c r="AA1351" i="1" s="1"/>
  <c r="AE1352" i="1"/>
  <c r="V1352" i="1" s="1"/>
  <c r="AE1353" i="1"/>
  <c r="V1353" i="1" s="1"/>
  <c r="AE1354" i="1"/>
  <c r="AE1355" i="1"/>
  <c r="AA1355" i="1" s="1"/>
  <c r="AE1356" i="1"/>
  <c r="AE1357" i="1"/>
  <c r="AE1358" i="1"/>
  <c r="V1358" i="1" s="1"/>
  <c r="AE1359" i="1"/>
  <c r="V1359" i="1" s="1"/>
  <c r="AE1360" i="1"/>
  <c r="V1360" i="1" s="1"/>
  <c r="AE1361" i="1"/>
  <c r="V1361" i="1" s="1"/>
  <c r="AE1362" i="1"/>
  <c r="AE1363" i="1"/>
  <c r="AA1363" i="1" s="1"/>
  <c r="AE1364" i="1"/>
  <c r="AE1365" i="1"/>
  <c r="AE1366" i="1"/>
  <c r="V1366" i="1" s="1"/>
  <c r="AE1367" i="1"/>
  <c r="AA1367" i="1" s="1"/>
  <c r="AE1368" i="1"/>
  <c r="V1368" i="1" s="1"/>
  <c r="AE1369" i="1"/>
  <c r="V1369" i="1" s="1"/>
  <c r="AE1370" i="1"/>
  <c r="AE1371" i="1"/>
  <c r="AA1371" i="1" s="1"/>
  <c r="AE1372" i="1"/>
  <c r="AE1373" i="1"/>
  <c r="AE1374" i="1"/>
  <c r="V1374" i="1" s="1"/>
  <c r="AE1375" i="1"/>
  <c r="V1375" i="1" s="1"/>
  <c r="AE1376" i="1"/>
  <c r="V1376" i="1" s="1"/>
  <c r="AE1377" i="1"/>
  <c r="V1377" i="1" s="1"/>
  <c r="AE1378" i="1"/>
  <c r="AE1379" i="1"/>
  <c r="AA1379" i="1" s="1"/>
  <c r="AE1380" i="1"/>
  <c r="AE1381" i="1"/>
  <c r="AE1382" i="1"/>
  <c r="V1382" i="1" s="1"/>
  <c r="AE1383" i="1"/>
  <c r="AA1383" i="1" s="1"/>
  <c r="AE1384" i="1"/>
  <c r="V1384" i="1" s="1"/>
  <c r="AE1385" i="1"/>
  <c r="V1385" i="1" s="1"/>
  <c r="AE1386" i="1"/>
  <c r="AE1387" i="1"/>
  <c r="AA1387" i="1" s="1"/>
  <c r="V1386" i="1" l="1"/>
  <c r="AA1386" i="1"/>
  <c r="V1330" i="1"/>
  <c r="AA1330" i="1"/>
  <c r="V1266" i="1"/>
  <c r="AA1266" i="1"/>
  <c r="V1202" i="1"/>
  <c r="AA1202" i="1"/>
  <c r="V1138" i="1"/>
  <c r="AA1138" i="1"/>
  <c r="V1082" i="1"/>
  <c r="AA1082" i="1"/>
  <c r="V1042" i="1"/>
  <c r="AA1042" i="1"/>
  <c r="V1010" i="1"/>
  <c r="AA1010" i="1"/>
  <c r="V978" i="1"/>
  <c r="AA978" i="1"/>
  <c r="V938" i="1"/>
  <c r="AA938" i="1"/>
  <c r="V898" i="1"/>
  <c r="AA898" i="1"/>
  <c r="V866" i="1"/>
  <c r="AA866" i="1"/>
  <c r="V842" i="1"/>
  <c r="AA842" i="1"/>
  <c r="V818" i="1"/>
  <c r="AA818" i="1"/>
  <c r="V794" i="1"/>
  <c r="AA794" i="1"/>
  <c r="V786" i="1"/>
  <c r="AA786" i="1"/>
  <c r="V778" i="1"/>
  <c r="AA778" i="1"/>
  <c r="V770" i="1"/>
  <c r="AA770" i="1"/>
  <c r="V762" i="1"/>
  <c r="AA762" i="1"/>
  <c r="V754" i="1"/>
  <c r="AA754" i="1"/>
  <c r="V746" i="1"/>
  <c r="AA746" i="1"/>
  <c r="V722" i="1"/>
  <c r="AA722" i="1"/>
  <c r="V714" i="1"/>
  <c r="AA714" i="1"/>
  <c r="V706" i="1"/>
  <c r="AA706" i="1"/>
  <c r="V698" i="1"/>
  <c r="AA698" i="1"/>
  <c r="V690" i="1"/>
  <c r="AA690" i="1"/>
  <c r="V682" i="1"/>
  <c r="AA682" i="1"/>
  <c r="V674" i="1"/>
  <c r="AA674" i="1"/>
  <c r="V666" i="1"/>
  <c r="AA666" i="1"/>
  <c r="V658" i="1"/>
  <c r="AA658" i="1"/>
  <c r="V650" i="1"/>
  <c r="AA650" i="1"/>
  <c r="V642" i="1"/>
  <c r="AA642" i="1"/>
  <c r="V634" i="1"/>
  <c r="AA634" i="1"/>
  <c r="V626" i="1"/>
  <c r="AA626" i="1"/>
  <c r="V618" i="1"/>
  <c r="AA618" i="1"/>
  <c r="V610" i="1"/>
  <c r="AA610" i="1"/>
  <c r="V602" i="1"/>
  <c r="AA602" i="1"/>
  <c r="V594" i="1"/>
  <c r="AA594" i="1"/>
  <c r="V586" i="1"/>
  <c r="AA586" i="1"/>
  <c r="V578" i="1"/>
  <c r="AA578" i="1"/>
  <c r="V570" i="1"/>
  <c r="AA570" i="1"/>
  <c r="V562" i="1"/>
  <c r="AA562" i="1"/>
  <c r="V554" i="1"/>
  <c r="AA554" i="1"/>
  <c r="V546" i="1"/>
  <c r="AA546" i="1"/>
  <c r="V538" i="1"/>
  <c r="AA538" i="1"/>
  <c r="V530" i="1"/>
  <c r="AA530" i="1"/>
  <c r="V522" i="1"/>
  <c r="AA522" i="1"/>
  <c r="V506" i="1"/>
  <c r="AA506" i="1"/>
  <c r="V498" i="1"/>
  <c r="AA498" i="1"/>
  <c r="V1362" i="1"/>
  <c r="AA1362" i="1"/>
  <c r="V1346" i="1"/>
  <c r="AA1346" i="1"/>
  <c r="V1314" i="1"/>
  <c r="AA1314" i="1"/>
  <c r="V1282" i="1"/>
  <c r="AA1282" i="1"/>
  <c r="V1250" i="1"/>
  <c r="AA1250" i="1"/>
  <c r="V1226" i="1"/>
  <c r="AA1226" i="1"/>
  <c r="V1210" i="1"/>
  <c r="AA1210" i="1"/>
  <c r="V1194" i="1"/>
  <c r="AA1194" i="1"/>
  <c r="V1170" i="1"/>
  <c r="AA1170" i="1"/>
  <c r="V1154" i="1"/>
  <c r="AA1154" i="1"/>
  <c r="V1122" i="1"/>
  <c r="AA1122" i="1"/>
  <c r="V1106" i="1"/>
  <c r="AA1106" i="1"/>
  <c r="V1090" i="1"/>
  <c r="AA1090" i="1"/>
  <c r="V1066" i="1"/>
  <c r="AA1066" i="1"/>
  <c r="V1034" i="1"/>
  <c r="AA1034" i="1"/>
  <c r="V1018" i="1"/>
  <c r="AA1018" i="1"/>
  <c r="V994" i="1"/>
  <c r="AA994" i="1"/>
  <c r="V986" i="1"/>
  <c r="AA986" i="1"/>
  <c r="V962" i="1"/>
  <c r="AA962" i="1"/>
  <c r="V946" i="1"/>
  <c r="AA946" i="1"/>
  <c r="V930" i="1"/>
  <c r="AA930" i="1"/>
  <c r="V914" i="1"/>
  <c r="AA914" i="1"/>
  <c r="V890" i="1"/>
  <c r="AA890" i="1"/>
  <c r="V874" i="1"/>
  <c r="AA874" i="1"/>
  <c r="V858" i="1"/>
  <c r="AA858" i="1"/>
  <c r="V834" i="1"/>
  <c r="AA834" i="1"/>
  <c r="V810" i="1"/>
  <c r="AA810" i="1"/>
  <c r="V730" i="1"/>
  <c r="AA730" i="1"/>
  <c r="V1370" i="1"/>
  <c r="AA1370" i="1"/>
  <c r="V1338" i="1"/>
  <c r="AA1338" i="1"/>
  <c r="V1306" i="1"/>
  <c r="AA1306" i="1"/>
  <c r="V1290" i="1"/>
  <c r="AA1290" i="1"/>
  <c r="V1258" i="1"/>
  <c r="AA1258" i="1"/>
  <c r="V1234" i="1"/>
  <c r="AA1234" i="1"/>
  <c r="V1218" i="1"/>
  <c r="AA1218" i="1"/>
  <c r="V1186" i="1"/>
  <c r="AA1186" i="1"/>
  <c r="V1162" i="1"/>
  <c r="AA1162" i="1"/>
  <c r="V1146" i="1"/>
  <c r="AA1146" i="1"/>
  <c r="V1130" i="1"/>
  <c r="AA1130" i="1"/>
  <c r="V1114" i="1"/>
  <c r="AA1114" i="1"/>
  <c r="V1098" i="1"/>
  <c r="AA1098" i="1"/>
  <c r="V1074" i="1"/>
  <c r="AA1074" i="1"/>
  <c r="V1050" i="1"/>
  <c r="AA1050" i="1"/>
  <c r="V1026" i="1"/>
  <c r="AA1026" i="1"/>
  <c r="V1002" i="1"/>
  <c r="AA1002" i="1"/>
  <c r="V970" i="1"/>
  <c r="AA970" i="1"/>
  <c r="V954" i="1"/>
  <c r="AA954" i="1"/>
  <c r="V922" i="1"/>
  <c r="AA922" i="1"/>
  <c r="V906" i="1"/>
  <c r="AA906" i="1"/>
  <c r="V882" i="1"/>
  <c r="AA882" i="1"/>
  <c r="V850" i="1"/>
  <c r="AA850" i="1"/>
  <c r="V826" i="1"/>
  <c r="AA826" i="1"/>
  <c r="V802" i="1"/>
  <c r="AA802" i="1"/>
  <c r="V738" i="1"/>
  <c r="AA738" i="1"/>
  <c r="V1378" i="1"/>
  <c r="AA1378" i="1"/>
  <c r="V1354" i="1"/>
  <c r="AA1354" i="1"/>
  <c r="V1322" i="1"/>
  <c r="AA1322" i="1"/>
  <c r="V1298" i="1"/>
  <c r="AA1298" i="1"/>
  <c r="V1274" i="1"/>
  <c r="AA1274" i="1"/>
  <c r="V1242" i="1"/>
  <c r="AA1242" i="1"/>
  <c r="V1178" i="1"/>
  <c r="AA1178" i="1"/>
  <c r="V1058" i="1"/>
  <c r="AA1058" i="1"/>
  <c r="V418" i="1"/>
  <c r="AA418" i="1"/>
  <c r="V338" i="1"/>
  <c r="AA338" i="1"/>
  <c r="V258" i="1"/>
  <c r="AA258" i="1"/>
  <c r="V161" i="1"/>
  <c r="AA161" i="1"/>
  <c r="V49" i="1"/>
  <c r="AA49" i="1"/>
  <c r="V1033" i="1"/>
  <c r="AA1033" i="1"/>
  <c r="V1025" i="1"/>
  <c r="AA1025" i="1"/>
  <c r="V1017" i="1"/>
  <c r="AA1017" i="1"/>
  <c r="V1009" i="1"/>
  <c r="AA1009" i="1"/>
  <c r="V993" i="1"/>
  <c r="AA993" i="1"/>
  <c r="V985" i="1"/>
  <c r="AA985" i="1"/>
  <c r="V969" i="1"/>
  <c r="AA969" i="1"/>
  <c r="V961" i="1"/>
  <c r="AA961" i="1"/>
  <c r="V953" i="1"/>
  <c r="AA953" i="1"/>
  <c r="V945" i="1"/>
  <c r="AA945" i="1"/>
  <c r="V929" i="1"/>
  <c r="AA929" i="1"/>
  <c r="V921" i="1"/>
  <c r="AA921" i="1"/>
  <c r="AA913" i="1"/>
  <c r="V913" i="1"/>
  <c r="V905" i="1"/>
  <c r="AA905" i="1"/>
  <c r="V897" i="1"/>
  <c r="AA897" i="1"/>
  <c r="V889" i="1"/>
  <c r="AA889" i="1"/>
  <c r="V881" i="1"/>
  <c r="AA881" i="1"/>
  <c r="V865" i="1"/>
  <c r="AA865" i="1"/>
  <c r="V857" i="1"/>
  <c r="AA857" i="1"/>
  <c r="AA849" i="1"/>
  <c r="V849" i="1"/>
  <c r="V841" i="1"/>
  <c r="AA841" i="1"/>
  <c r="V833" i="1"/>
  <c r="AA833" i="1"/>
  <c r="V825" i="1"/>
  <c r="AA825" i="1"/>
  <c r="V817" i="1"/>
  <c r="AA817" i="1"/>
  <c r="V801" i="1"/>
  <c r="AA801" i="1"/>
  <c r="V793" i="1"/>
  <c r="AA793" i="1"/>
  <c r="V777" i="1"/>
  <c r="AA777" i="1"/>
  <c r="V769" i="1"/>
  <c r="AA769" i="1"/>
  <c r="V761" i="1"/>
  <c r="AA761" i="1"/>
  <c r="V753" i="1"/>
  <c r="AA753" i="1"/>
  <c r="V745" i="1"/>
  <c r="AA745" i="1"/>
  <c r="V737" i="1"/>
  <c r="AA737" i="1"/>
  <c r="V729" i="1"/>
  <c r="AA729" i="1"/>
  <c r="V713" i="1"/>
  <c r="AA713" i="1"/>
  <c r="V705" i="1"/>
  <c r="AA705" i="1"/>
  <c r="V697" i="1"/>
  <c r="AA697" i="1"/>
  <c r="V689" i="1"/>
  <c r="AA689" i="1"/>
  <c r="V681" i="1"/>
  <c r="AA681" i="1"/>
  <c r="V673" i="1"/>
  <c r="AA673" i="1"/>
  <c r="V665" i="1"/>
  <c r="AA665" i="1"/>
  <c r="V657" i="1"/>
  <c r="AA657" i="1"/>
  <c r="V649" i="1"/>
  <c r="AA649" i="1"/>
  <c r="V641" i="1"/>
  <c r="AA641" i="1"/>
  <c r="V633" i="1"/>
  <c r="AA633" i="1"/>
  <c r="V625" i="1"/>
  <c r="AA625" i="1"/>
  <c r="V617" i="1"/>
  <c r="AA617" i="1"/>
  <c r="V609" i="1"/>
  <c r="AA609" i="1"/>
  <c r="V601" i="1"/>
  <c r="AA601" i="1"/>
  <c r="V593" i="1"/>
  <c r="AA593" i="1"/>
  <c r="V585" i="1"/>
  <c r="AA585" i="1"/>
  <c r="V577" i="1"/>
  <c r="AA577" i="1"/>
  <c r="V569" i="1"/>
  <c r="AA569" i="1"/>
  <c r="V561" i="1"/>
  <c r="AA561" i="1"/>
  <c r="V553" i="1"/>
  <c r="AA553" i="1"/>
  <c r="V545" i="1"/>
  <c r="AA545" i="1"/>
  <c r="V537" i="1"/>
  <c r="AA537" i="1"/>
  <c r="V529" i="1"/>
  <c r="AA529" i="1"/>
  <c r="V521" i="1"/>
  <c r="AA521" i="1"/>
  <c r="V513" i="1"/>
  <c r="AA513" i="1"/>
  <c r="V505" i="1"/>
  <c r="AA505" i="1"/>
  <c r="V497" i="1"/>
  <c r="AA497" i="1"/>
  <c r="V489" i="1"/>
  <c r="AA489" i="1"/>
  <c r="V481" i="1"/>
  <c r="AA481" i="1"/>
  <c r="V473" i="1"/>
  <c r="AA473" i="1"/>
  <c r="V465" i="1"/>
  <c r="AA465" i="1"/>
  <c r="V457" i="1"/>
  <c r="AA457" i="1"/>
  <c r="V449" i="1"/>
  <c r="AA449" i="1"/>
  <c r="V441" i="1"/>
  <c r="AA441" i="1"/>
  <c r="V433" i="1"/>
  <c r="AA433" i="1"/>
  <c r="V425" i="1"/>
  <c r="AA425" i="1"/>
  <c r="V417" i="1"/>
  <c r="AA417" i="1"/>
  <c r="V409" i="1"/>
  <c r="AA409" i="1"/>
  <c r="V401" i="1"/>
  <c r="AA401" i="1"/>
  <c r="V393" i="1"/>
  <c r="AA393" i="1"/>
  <c r="V385" i="1"/>
  <c r="AA385" i="1"/>
  <c r="V377" i="1"/>
  <c r="AA377" i="1"/>
  <c r="V369" i="1"/>
  <c r="AA369" i="1"/>
  <c r="V361" i="1"/>
  <c r="AA361" i="1"/>
  <c r="V353" i="1"/>
  <c r="AA353" i="1"/>
  <c r="V345" i="1"/>
  <c r="AA345" i="1"/>
  <c r="V337" i="1"/>
  <c r="AA337" i="1"/>
  <c r="V329" i="1"/>
  <c r="AA329" i="1"/>
  <c r="V321" i="1"/>
  <c r="AA321" i="1"/>
  <c r="V313" i="1"/>
  <c r="AA313" i="1"/>
  <c r="V305" i="1"/>
  <c r="AA305" i="1"/>
  <c r="V297" i="1"/>
  <c r="AA297" i="1"/>
  <c r="V289" i="1"/>
  <c r="AA289" i="1"/>
  <c r="V281" i="1"/>
  <c r="AA281" i="1"/>
  <c r="V273" i="1"/>
  <c r="AA273" i="1"/>
  <c r="V265" i="1"/>
  <c r="AA265" i="1"/>
  <c r="V257" i="1"/>
  <c r="AA257" i="1"/>
  <c r="V249" i="1"/>
  <c r="AA249" i="1"/>
  <c r="V241" i="1"/>
  <c r="AA241" i="1"/>
  <c r="V233" i="1"/>
  <c r="AA233" i="1"/>
  <c r="V225" i="1"/>
  <c r="AA225" i="1"/>
  <c r="V217" i="1"/>
  <c r="AA217" i="1"/>
  <c r="V209" i="1"/>
  <c r="AA209" i="1"/>
  <c r="V200" i="1"/>
  <c r="AA200" i="1"/>
  <c r="V192" i="1"/>
  <c r="AA192" i="1"/>
  <c r="V184" i="1"/>
  <c r="AA184" i="1"/>
  <c r="V176" i="1"/>
  <c r="AA176" i="1"/>
  <c r="V160" i="1"/>
  <c r="AA160" i="1"/>
  <c r="AA152" i="1"/>
  <c r="V152" i="1"/>
  <c r="V144" i="1"/>
  <c r="AA144" i="1"/>
  <c r="V136" i="1"/>
  <c r="AA136" i="1"/>
  <c r="V128" i="1"/>
  <c r="AA128" i="1"/>
  <c r="V120" i="1"/>
  <c r="AA120" i="1"/>
  <c r="V112" i="1"/>
  <c r="AA112" i="1"/>
  <c r="V104" i="1"/>
  <c r="AA104" i="1"/>
  <c r="V96" i="1"/>
  <c r="AA96" i="1"/>
  <c r="V88" i="1"/>
  <c r="AA88" i="1"/>
  <c r="V80" i="1"/>
  <c r="AA80" i="1"/>
  <c r="V72" i="1"/>
  <c r="AA72" i="1"/>
  <c r="V64" i="1"/>
  <c r="AA64" i="1"/>
  <c r="V56" i="1"/>
  <c r="AA56" i="1"/>
  <c r="V48" i="1"/>
  <c r="AA48" i="1"/>
  <c r="V40" i="1"/>
  <c r="AA40" i="1"/>
  <c r="V32" i="1"/>
  <c r="AA32" i="1"/>
  <c r="V24" i="1"/>
  <c r="AA24" i="1"/>
  <c r="V16" i="1"/>
  <c r="AA16" i="1"/>
  <c r="V8" i="1"/>
  <c r="AA8" i="1"/>
  <c r="V1383" i="1"/>
  <c r="V1351" i="1"/>
  <c r="V1319" i="1"/>
  <c r="V1287" i="1"/>
  <c r="V1105" i="1"/>
  <c r="V742" i="1"/>
  <c r="AA1376" i="1"/>
  <c r="AA1337" i="1"/>
  <c r="AA1326" i="1"/>
  <c r="AA1312" i="1"/>
  <c r="AA1296" i="1"/>
  <c r="AA1255" i="1"/>
  <c r="AA1233" i="1"/>
  <c r="AA1191" i="1"/>
  <c r="AA1169" i="1"/>
  <c r="AA1127" i="1"/>
  <c r="AA1079" i="1"/>
  <c r="AA1048" i="1"/>
  <c r="AA990" i="1"/>
  <c r="AA887" i="1"/>
  <c r="AA784" i="1"/>
  <c r="AA632" i="1"/>
  <c r="AA376" i="1"/>
  <c r="V490" i="1"/>
  <c r="AA490" i="1"/>
  <c r="V474" i="1"/>
  <c r="AA474" i="1"/>
  <c r="V434" i="1"/>
  <c r="AA434" i="1"/>
  <c r="V386" i="1"/>
  <c r="AA386" i="1"/>
  <c r="V362" i="1"/>
  <c r="AA362" i="1"/>
  <c r="V314" i="1"/>
  <c r="AA314" i="1"/>
  <c r="V282" i="1"/>
  <c r="AA282" i="1"/>
  <c r="V234" i="1"/>
  <c r="AA234" i="1"/>
  <c r="V185" i="1"/>
  <c r="AA185" i="1"/>
  <c r="V145" i="1"/>
  <c r="AA145" i="1"/>
  <c r="V105" i="1"/>
  <c r="AA105" i="1"/>
  <c r="V65" i="1"/>
  <c r="AA65" i="1"/>
  <c r="V33" i="1"/>
  <c r="AA33" i="1"/>
  <c r="V1049" i="1"/>
  <c r="AA1049" i="1"/>
  <c r="V1288" i="1"/>
  <c r="AA1288" i="1"/>
  <c r="V1280" i="1"/>
  <c r="AA1280" i="1"/>
  <c r="V1272" i="1"/>
  <c r="AA1272" i="1"/>
  <c r="V1264" i="1"/>
  <c r="AA1264" i="1"/>
  <c r="V1256" i="1"/>
  <c r="AA1256" i="1"/>
  <c r="V1248" i="1"/>
  <c r="AA1248" i="1"/>
  <c r="V1240" i="1"/>
  <c r="AA1240" i="1"/>
  <c r="V1232" i="1"/>
  <c r="AA1232" i="1"/>
  <c r="V1224" i="1"/>
  <c r="AA1224" i="1"/>
  <c r="V1216" i="1"/>
  <c r="AA1216" i="1"/>
  <c r="V1208" i="1"/>
  <c r="AA1208" i="1"/>
  <c r="V1200" i="1"/>
  <c r="AA1200" i="1"/>
  <c r="V1192" i="1"/>
  <c r="AA1192" i="1"/>
  <c r="V1184" i="1"/>
  <c r="AA1184" i="1"/>
  <c r="V1176" i="1"/>
  <c r="AA1176" i="1"/>
  <c r="V1168" i="1"/>
  <c r="AA1168" i="1"/>
  <c r="V1160" i="1"/>
  <c r="AA1160" i="1"/>
  <c r="V1152" i="1"/>
  <c r="AA1152" i="1"/>
  <c r="V1144" i="1"/>
  <c r="AA1144" i="1"/>
  <c r="V1136" i="1"/>
  <c r="AA1136" i="1"/>
  <c r="V1128" i="1"/>
  <c r="AA1128" i="1"/>
  <c r="V1120" i="1"/>
  <c r="AA1120" i="1"/>
  <c r="V1112" i="1"/>
  <c r="AA1112" i="1"/>
  <c r="V1104" i="1"/>
  <c r="AA1104" i="1"/>
  <c r="V1096" i="1"/>
  <c r="AA1096" i="1"/>
  <c r="V1088" i="1"/>
  <c r="AA1088" i="1"/>
  <c r="V1080" i="1"/>
  <c r="AA1080" i="1"/>
  <c r="V1072" i="1"/>
  <c r="AA1072" i="1"/>
  <c r="V1056" i="1"/>
  <c r="AA1056" i="1"/>
  <c r="V1032" i="1"/>
  <c r="AA1032" i="1"/>
  <c r="V1024" i="1"/>
  <c r="AA1024" i="1"/>
  <c r="V1016" i="1"/>
  <c r="AA1016" i="1"/>
  <c r="V1008" i="1"/>
  <c r="AA1008" i="1"/>
  <c r="V1000" i="1"/>
  <c r="AA1000" i="1"/>
  <c r="V992" i="1"/>
  <c r="AA992" i="1"/>
  <c r="V984" i="1"/>
  <c r="AA984" i="1"/>
  <c r="V968" i="1"/>
  <c r="AA968" i="1"/>
  <c r="V960" i="1"/>
  <c r="AA960" i="1"/>
  <c r="V952" i="1"/>
  <c r="AA952" i="1"/>
  <c r="V944" i="1"/>
  <c r="AA944" i="1"/>
  <c r="V936" i="1"/>
  <c r="AA936" i="1"/>
  <c r="V928" i="1"/>
  <c r="AA928" i="1"/>
  <c r="V920" i="1"/>
  <c r="AA920" i="1"/>
  <c r="V904" i="1"/>
  <c r="AA904" i="1"/>
  <c r="V896" i="1"/>
  <c r="AA896" i="1"/>
  <c r="V888" i="1"/>
  <c r="AA888" i="1"/>
  <c r="V880" i="1"/>
  <c r="AA880" i="1"/>
  <c r="V872" i="1"/>
  <c r="AA872" i="1"/>
  <c r="V864" i="1"/>
  <c r="AA864" i="1"/>
  <c r="V856" i="1"/>
  <c r="AA856" i="1"/>
  <c r="V840" i="1"/>
  <c r="AA840" i="1"/>
  <c r="V832" i="1"/>
  <c r="AA832" i="1"/>
  <c r="V824" i="1"/>
  <c r="AA824" i="1"/>
  <c r="V816" i="1"/>
  <c r="AA816" i="1"/>
  <c r="V808" i="1"/>
  <c r="AA808" i="1"/>
  <c r="V800" i="1"/>
  <c r="AA800" i="1"/>
  <c r="V792" i="1"/>
  <c r="AA792" i="1"/>
  <c r="V776" i="1"/>
  <c r="AA776" i="1"/>
  <c r="V760" i="1"/>
  <c r="AA760" i="1"/>
  <c r="V744" i="1"/>
  <c r="AA744" i="1"/>
  <c r="V728" i="1"/>
  <c r="AA728" i="1"/>
  <c r="V712" i="1"/>
  <c r="AA712" i="1"/>
  <c r="V696" i="1"/>
  <c r="AA696" i="1"/>
  <c r="V680" i="1"/>
  <c r="AA680" i="1"/>
  <c r="V672" i="1"/>
  <c r="AA672" i="1"/>
  <c r="V656" i="1"/>
  <c r="AA656" i="1"/>
  <c r="V648" i="1"/>
  <c r="AA648" i="1"/>
  <c r="V640" i="1"/>
  <c r="AA640" i="1"/>
  <c r="V624" i="1"/>
  <c r="AA624" i="1"/>
  <c r="V616" i="1"/>
  <c r="AA616" i="1"/>
  <c r="V608" i="1"/>
  <c r="AA608" i="1"/>
  <c r="V592" i="1"/>
  <c r="AA592" i="1"/>
  <c r="V584" i="1"/>
  <c r="AA584" i="1"/>
  <c r="V576" i="1"/>
  <c r="AA576" i="1"/>
  <c r="V560" i="1"/>
  <c r="AA560" i="1"/>
  <c r="V552" i="1"/>
  <c r="AA552" i="1"/>
  <c r="V544" i="1"/>
  <c r="AA544" i="1"/>
  <c r="V528" i="1"/>
  <c r="AA528" i="1"/>
  <c r="V520" i="1"/>
  <c r="AA520" i="1"/>
  <c r="V512" i="1"/>
  <c r="AA512" i="1"/>
  <c r="AA496" i="1"/>
  <c r="V496" i="1"/>
  <c r="V488" i="1"/>
  <c r="AA488" i="1"/>
  <c r="V480" i="1"/>
  <c r="AA480" i="1"/>
  <c r="V464" i="1"/>
  <c r="AA464" i="1"/>
  <c r="V456" i="1"/>
  <c r="AA456" i="1"/>
  <c r="V448" i="1"/>
  <c r="AA448" i="1"/>
  <c r="V432" i="1"/>
  <c r="AA432" i="1"/>
  <c r="V424" i="1"/>
  <c r="AA424" i="1"/>
  <c r="V416" i="1"/>
  <c r="AA416" i="1"/>
  <c r="V400" i="1"/>
  <c r="AA400" i="1"/>
  <c r="V392" i="1"/>
  <c r="AA392" i="1"/>
  <c r="V384" i="1"/>
  <c r="AA384" i="1"/>
  <c r="V368" i="1"/>
  <c r="AA368" i="1"/>
  <c r="V360" i="1"/>
  <c r="AA360" i="1"/>
  <c r="V352" i="1"/>
  <c r="AA352" i="1"/>
  <c r="V344" i="1"/>
  <c r="AA344" i="1"/>
  <c r="V336" i="1"/>
  <c r="AA336" i="1"/>
  <c r="V328" i="1"/>
  <c r="AA328" i="1"/>
  <c r="V320" i="1"/>
  <c r="AA320" i="1"/>
  <c r="V296" i="1"/>
  <c r="AA296" i="1"/>
  <c r="V280" i="1"/>
  <c r="AA280" i="1"/>
  <c r="V272" i="1"/>
  <c r="AA272" i="1"/>
  <c r="V264" i="1"/>
  <c r="AA264" i="1"/>
  <c r="V256" i="1"/>
  <c r="AA256" i="1"/>
  <c r="V248" i="1"/>
  <c r="AA248" i="1"/>
  <c r="V232" i="1"/>
  <c r="AA232" i="1"/>
  <c r="V224" i="1"/>
  <c r="AA224" i="1"/>
  <c r="V216" i="1"/>
  <c r="AA216" i="1"/>
  <c r="V208" i="1"/>
  <c r="AA208" i="1"/>
  <c r="V199" i="1"/>
  <c r="AA199" i="1"/>
  <c r="V191" i="1"/>
  <c r="AA191" i="1"/>
  <c r="V183" i="1"/>
  <c r="AA183" i="1"/>
  <c r="V175" i="1"/>
  <c r="AA175" i="1"/>
  <c r="V167" i="1"/>
  <c r="AA167" i="1"/>
  <c r="V159" i="1"/>
  <c r="AA159" i="1"/>
  <c r="V151" i="1"/>
  <c r="AA151" i="1"/>
  <c r="V143" i="1"/>
  <c r="AA143" i="1"/>
  <c r="V135" i="1"/>
  <c r="AA135" i="1"/>
  <c r="V127" i="1"/>
  <c r="AA127" i="1"/>
  <c r="V111" i="1"/>
  <c r="AA111" i="1"/>
  <c r="V103" i="1"/>
  <c r="AA103" i="1"/>
  <c r="V95" i="1"/>
  <c r="AA95" i="1"/>
  <c r="V87" i="1"/>
  <c r="AA87" i="1"/>
  <c r="V79" i="1"/>
  <c r="AA79" i="1"/>
  <c r="V71" i="1"/>
  <c r="AA71" i="1"/>
  <c r="V63" i="1"/>
  <c r="AA63" i="1"/>
  <c r="V55" i="1"/>
  <c r="AA55" i="1"/>
  <c r="V47" i="1"/>
  <c r="AA47" i="1"/>
  <c r="V39" i="1"/>
  <c r="AA39" i="1"/>
  <c r="V31" i="1"/>
  <c r="AA31" i="1"/>
  <c r="V23" i="1"/>
  <c r="AA23" i="1"/>
  <c r="V15" i="1"/>
  <c r="AA15" i="1"/>
  <c r="V7" i="1"/>
  <c r="AA7" i="1"/>
  <c r="V1379" i="1"/>
  <c r="V1347" i="1"/>
  <c r="V1315" i="1"/>
  <c r="V1283" i="1"/>
  <c r="V1062" i="1"/>
  <c r="V721" i="1"/>
  <c r="AA1375" i="1"/>
  <c r="AA1361" i="1"/>
  <c r="AA1350" i="1"/>
  <c r="AA1336" i="1"/>
  <c r="AA1311" i="1"/>
  <c r="AA1295" i="1"/>
  <c r="AA1273" i="1"/>
  <c r="AA1231" i="1"/>
  <c r="AA1209" i="1"/>
  <c r="AA1167" i="1"/>
  <c r="AA1145" i="1"/>
  <c r="AA1103" i="1"/>
  <c r="AA1078" i="1"/>
  <c r="AA1040" i="1"/>
  <c r="AA976" i="1"/>
  <c r="AA873" i="1"/>
  <c r="AA768" i="1"/>
  <c r="AA600" i="1"/>
  <c r="AA339" i="1"/>
  <c r="V442" i="1"/>
  <c r="AA442" i="1"/>
  <c r="V330" i="1"/>
  <c r="AA330" i="1"/>
  <c r="V218" i="1"/>
  <c r="AA218" i="1"/>
  <c r="V113" i="1"/>
  <c r="AA113" i="1"/>
  <c r="V1055" i="1"/>
  <c r="AA1055" i="1"/>
  <c r="V975" i="1"/>
  <c r="AA975" i="1"/>
  <c r="V911" i="1"/>
  <c r="AA911" i="1"/>
  <c r="V879" i="1"/>
  <c r="AA879" i="1"/>
  <c r="V871" i="1"/>
  <c r="AA871" i="1"/>
  <c r="V831" i="1"/>
  <c r="AA831" i="1"/>
  <c r="V815" i="1"/>
  <c r="AA815" i="1"/>
  <c r="V807" i="1"/>
  <c r="AA807" i="1"/>
  <c r="V799" i="1"/>
  <c r="AA799" i="1"/>
  <c r="V791" i="1"/>
  <c r="AA791" i="1"/>
  <c r="V783" i="1"/>
  <c r="AA783" i="1"/>
  <c r="V775" i="1"/>
  <c r="AA775" i="1"/>
  <c r="V767" i="1"/>
  <c r="AA767" i="1"/>
  <c r="V759" i="1"/>
  <c r="AA759" i="1"/>
  <c r="V751" i="1"/>
  <c r="AA751" i="1"/>
  <c r="V743" i="1"/>
  <c r="AA743" i="1"/>
  <c r="V735" i="1"/>
  <c r="AA735" i="1"/>
  <c r="V727" i="1"/>
  <c r="AA727" i="1"/>
  <c r="V719" i="1"/>
  <c r="AA719" i="1"/>
  <c r="V711" i="1"/>
  <c r="AA711" i="1"/>
  <c r="V703" i="1"/>
  <c r="AA703" i="1"/>
  <c r="V695" i="1"/>
  <c r="AA695" i="1"/>
  <c r="V687" i="1"/>
  <c r="AA687" i="1"/>
  <c r="V679" i="1"/>
  <c r="AA679" i="1"/>
  <c r="V671" i="1"/>
  <c r="AA671" i="1"/>
  <c r="V663" i="1"/>
  <c r="AA663" i="1"/>
  <c r="V655" i="1"/>
  <c r="AA655" i="1"/>
  <c r="V647" i="1"/>
  <c r="AA647" i="1"/>
  <c r="V639" i="1"/>
  <c r="AA639" i="1"/>
  <c r="V631" i="1"/>
  <c r="AA631" i="1"/>
  <c r="V623" i="1"/>
  <c r="AA623" i="1"/>
  <c r="V615" i="1"/>
  <c r="AA615" i="1"/>
  <c r="V607" i="1"/>
  <c r="AA607" i="1"/>
  <c r="V599" i="1"/>
  <c r="AA599" i="1"/>
  <c r="V591" i="1"/>
  <c r="AA591" i="1"/>
  <c r="V583" i="1"/>
  <c r="AA583" i="1"/>
  <c r="V575" i="1"/>
  <c r="AA575" i="1"/>
  <c r="V567" i="1"/>
  <c r="AA567" i="1"/>
  <c r="V559" i="1"/>
  <c r="AA559" i="1"/>
  <c r="V551" i="1"/>
  <c r="AA551" i="1"/>
  <c r="V543" i="1"/>
  <c r="AA543" i="1"/>
  <c r="V535" i="1"/>
  <c r="AA535" i="1"/>
  <c r="V527" i="1"/>
  <c r="AA527" i="1"/>
  <c r="V519" i="1"/>
  <c r="AA519" i="1"/>
  <c r="V511" i="1"/>
  <c r="AA511" i="1"/>
  <c r="V503" i="1"/>
  <c r="AA503" i="1"/>
  <c r="V495" i="1"/>
  <c r="AA495" i="1"/>
  <c r="V487" i="1"/>
  <c r="AA487" i="1"/>
  <c r="V479" i="1"/>
  <c r="AA479" i="1"/>
  <c r="V471" i="1"/>
  <c r="AA471" i="1"/>
  <c r="V463" i="1"/>
  <c r="AA463" i="1"/>
  <c r="V455" i="1"/>
  <c r="AA455" i="1"/>
  <c r="V447" i="1"/>
  <c r="AA447" i="1"/>
  <c r="V439" i="1"/>
  <c r="AA439" i="1"/>
  <c r="V431" i="1"/>
  <c r="AA431" i="1"/>
  <c r="V423" i="1"/>
  <c r="AA423" i="1"/>
  <c r="V415" i="1"/>
  <c r="AA415" i="1"/>
  <c r="V407" i="1"/>
  <c r="AA407" i="1"/>
  <c r="V399" i="1"/>
  <c r="AA399" i="1"/>
  <c r="V391" i="1"/>
  <c r="AA391" i="1"/>
  <c r="V383" i="1"/>
  <c r="AA383" i="1"/>
  <c r="V375" i="1"/>
  <c r="AA375" i="1"/>
  <c r="V367" i="1"/>
  <c r="AA367" i="1"/>
  <c r="V359" i="1"/>
  <c r="AA359" i="1"/>
  <c r="V351" i="1"/>
  <c r="AA351" i="1"/>
  <c r="V343" i="1"/>
  <c r="AA343" i="1"/>
  <c r="V335" i="1"/>
  <c r="AA335" i="1"/>
  <c r="V327" i="1"/>
  <c r="AA327" i="1"/>
  <c r="V319" i="1"/>
  <c r="AA319" i="1"/>
  <c r="V311" i="1"/>
  <c r="AA311" i="1"/>
  <c r="V303" i="1"/>
  <c r="AA303" i="1"/>
  <c r="V295" i="1"/>
  <c r="AA295" i="1"/>
  <c r="V287" i="1"/>
  <c r="AA287" i="1"/>
  <c r="V279" i="1"/>
  <c r="AA279" i="1"/>
  <c r="V271" i="1"/>
  <c r="AA271" i="1"/>
  <c r="V263" i="1"/>
  <c r="AA263" i="1"/>
  <c r="V255" i="1"/>
  <c r="AA255" i="1"/>
  <c r="V247" i="1"/>
  <c r="AA247" i="1"/>
  <c r="V239" i="1"/>
  <c r="AA239" i="1"/>
  <c r="V231" i="1"/>
  <c r="AA231" i="1"/>
  <c r="V223" i="1"/>
  <c r="AA223" i="1"/>
  <c r="V215" i="1"/>
  <c r="AA215" i="1"/>
  <c r="V207" i="1"/>
  <c r="AA207" i="1"/>
  <c r="V198" i="1"/>
  <c r="AA198" i="1"/>
  <c r="V190" i="1"/>
  <c r="AA190" i="1"/>
  <c r="V182" i="1"/>
  <c r="AA182" i="1"/>
  <c r="V174" i="1"/>
  <c r="AA174" i="1"/>
  <c r="V166" i="1"/>
  <c r="AA166" i="1"/>
  <c r="V158" i="1"/>
  <c r="AA158" i="1"/>
  <c r="V150" i="1"/>
  <c r="AA150" i="1"/>
  <c r="V142" i="1"/>
  <c r="AA142" i="1"/>
  <c r="V134" i="1"/>
  <c r="AA134" i="1"/>
  <c r="V126" i="1"/>
  <c r="AA126" i="1"/>
  <c r="V118" i="1"/>
  <c r="AA118" i="1"/>
  <c r="V110" i="1"/>
  <c r="AA110" i="1"/>
  <c r="V102" i="1"/>
  <c r="AA102" i="1"/>
  <c r="V94" i="1"/>
  <c r="AA94" i="1"/>
  <c r="V86" i="1"/>
  <c r="AA86" i="1"/>
  <c r="V78" i="1"/>
  <c r="AA78" i="1"/>
  <c r="V70" i="1"/>
  <c r="AA70" i="1"/>
  <c r="V62" i="1"/>
  <c r="AA62" i="1"/>
  <c r="V54" i="1"/>
  <c r="AA54" i="1"/>
  <c r="V46" i="1"/>
  <c r="AA46" i="1"/>
  <c r="V38" i="1"/>
  <c r="AA38" i="1"/>
  <c r="V30" i="1"/>
  <c r="AA30" i="1"/>
  <c r="V22" i="1"/>
  <c r="AA22" i="1"/>
  <c r="V14" i="1"/>
  <c r="AA14" i="1"/>
  <c r="V6" i="1"/>
  <c r="AA6" i="1"/>
  <c r="V1343" i="1"/>
  <c r="V1041" i="1"/>
  <c r="AA1385" i="1"/>
  <c r="AA1374" i="1"/>
  <c r="AA1360" i="1"/>
  <c r="AA1335" i="1"/>
  <c r="AA1321" i="1"/>
  <c r="AA1271" i="1"/>
  <c r="AA1249" i="1"/>
  <c r="AA1207" i="1"/>
  <c r="AA1185" i="1"/>
  <c r="AA1143" i="1"/>
  <c r="AA1121" i="1"/>
  <c r="AA1073" i="1"/>
  <c r="AA1039" i="1"/>
  <c r="AA965" i="1"/>
  <c r="AA862" i="1"/>
  <c r="AA752" i="1"/>
  <c r="AA568" i="1"/>
  <c r="AA288" i="1"/>
  <c r="V458" i="1"/>
  <c r="AA458" i="1"/>
  <c r="V402" i="1"/>
  <c r="AA402" i="1"/>
  <c r="V378" i="1"/>
  <c r="AA378" i="1"/>
  <c r="V346" i="1"/>
  <c r="AA346" i="1"/>
  <c r="V298" i="1"/>
  <c r="AA298" i="1"/>
  <c r="V250" i="1"/>
  <c r="AA250" i="1"/>
  <c r="V201" i="1"/>
  <c r="AA201" i="1"/>
  <c r="V137" i="1"/>
  <c r="AA137" i="1"/>
  <c r="V81" i="1"/>
  <c r="AA81" i="1"/>
  <c r="V9" i="1"/>
  <c r="AA9" i="1"/>
  <c r="V1081" i="1"/>
  <c r="AA1081" i="1"/>
  <c r="V999" i="1"/>
  <c r="AA999" i="1"/>
  <c r="V983" i="1"/>
  <c r="AA983" i="1"/>
  <c r="V935" i="1"/>
  <c r="AA935" i="1"/>
  <c r="V855" i="1"/>
  <c r="AA855" i="1"/>
  <c r="V1294" i="1"/>
  <c r="AA1294" i="1"/>
  <c r="V1278" i="1"/>
  <c r="AA1278" i="1"/>
  <c r="V1270" i="1"/>
  <c r="AA1270" i="1"/>
  <c r="V1246" i="1"/>
  <c r="AA1246" i="1"/>
  <c r="V1238" i="1"/>
  <c r="AA1238" i="1"/>
  <c r="V1230" i="1"/>
  <c r="AA1230" i="1"/>
  <c r="V1222" i="1"/>
  <c r="AA1222" i="1"/>
  <c r="V1214" i="1"/>
  <c r="AA1214" i="1"/>
  <c r="V1206" i="1"/>
  <c r="AA1206" i="1"/>
  <c r="V1198" i="1"/>
  <c r="AA1198" i="1"/>
  <c r="V1182" i="1"/>
  <c r="AA1182" i="1"/>
  <c r="V1174" i="1"/>
  <c r="AA1174" i="1"/>
  <c r="V1166" i="1"/>
  <c r="AA1166" i="1"/>
  <c r="V1158" i="1"/>
  <c r="AA1158" i="1"/>
  <c r="V1150" i="1"/>
  <c r="AA1150" i="1"/>
  <c r="V1142" i="1"/>
  <c r="AA1142" i="1"/>
  <c r="V1134" i="1"/>
  <c r="AA1134" i="1"/>
  <c r="V1118" i="1"/>
  <c r="AA1118" i="1"/>
  <c r="V1110" i="1"/>
  <c r="AA1110" i="1"/>
  <c r="V1102" i="1"/>
  <c r="AA1102" i="1"/>
  <c r="V1094" i="1"/>
  <c r="AA1094" i="1"/>
  <c r="V1086" i="1"/>
  <c r="AA1086" i="1"/>
  <c r="V1070" i="1"/>
  <c r="AA1070" i="1"/>
  <c r="V1046" i="1"/>
  <c r="AA1046" i="1"/>
  <c r="V1038" i="1"/>
  <c r="AA1038" i="1"/>
  <c r="V1030" i="1"/>
  <c r="AA1030" i="1"/>
  <c r="V1022" i="1"/>
  <c r="AA1022" i="1"/>
  <c r="V1014" i="1"/>
  <c r="AA1014" i="1"/>
  <c r="V1006" i="1"/>
  <c r="AA1006" i="1"/>
  <c r="V982" i="1"/>
  <c r="AA982" i="1"/>
  <c r="V974" i="1"/>
  <c r="AA974" i="1"/>
  <c r="V966" i="1"/>
  <c r="AA966" i="1"/>
  <c r="V958" i="1"/>
  <c r="AA958" i="1"/>
  <c r="V950" i="1"/>
  <c r="AA950" i="1"/>
  <c r="V942" i="1"/>
  <c r="AA942" i="1"/>
  <c r="V918" i="1"/>
  <c r="AA918" i="1"/>
  <c r="V910" i="1"/>
  <c r="AA910" i="1"/>
  <c r="V902" i="1"/>
  <c r="AA902" i="1"/>
  <c r="V894" i="1"/>
  <c r="AA894" i="1"/>
  <c r="V886" i="1"/>
  <c r="AA886" i="1"/>
  <c r="V878" i="1"/>
  <c r="AA878" i="1"/>
  <c r="V870" i="1"/>
  <c r="AA870" i="1"/>
  <c r="V854" i="1"/>
  <c r="AA854" i="1"/>
  <c r="V846" i="1"/>
  <c r="AA846" i="1"/>
  <c r="V838" i="1"/>
  <c r="AA838" i="1"/>
  <c r="V830" i="1"/>
  <c r="AA830" i="1"/>
  <c r="V822" i="1"/>
  <c r="AA822" i="1"/>
  <c r="V814" i="1"/>
  <c r="AA814" i="1"/>
  <c r="V790" i="1"/>
  <c r="AA790" i="1"/>
  <c r="V782" i="1"/>
  <c r="AA782" i="1"/>
  <c r="V774" i="1"/>
  <c r="AA774" i="1"/>
  <c r="V766" i="1"/>
  <c r="AA766" i="1"/>
  <c r="V758" i="1"/>
  <c r="AA758" i="1"/>
  <c r="V750" i="1"/>
  <c r="AA750" i="1"/>
  <c r="V734" i="1"/>
  <c r="AA734" i="1"/>
  <c r="V726" i="1"/>
  <c r="AA726" i="1"/>
  <c r="V718" i="1"/>
  <c r="AA718" i="1"/>
  <c r="V710" i="1"/>
  <c r="AA710" i="1"/>
  <c r="V702" i="1"/>
  <c r="AA702" i="1"/>
  <c r="V694" i="1"/>
  <c r="AA694" i="1"/>
  <c r="V686" i="1"/>
  <c r="AA686" i="1"/>
  <c r="V678" i="1"/>
  <c r="AA678" i="1"/>
  <c r="V670" i="1"/>
  <c r="AA670" i="1"/>
  <c r="V662" i="1"/>
  <c r="AA662" i="1"/>
  <c r="V654" i="1"/>
  <c r="AA654" i="1"/>
  <c r="V646" i="1"/>
  <c r="AA646" i="1"/>
  <c r="V638" i="1"/>
  <c r="AA638" i="1"/>
  <c r="V630" i="1"/>
  <c r="AA630" i="1"/>
  <c r="V622" i="1"/>
  <c r="AA622" i="1"/>
  <c r="V614" i="1"/>
  <c r="AA614" i="1"/>
  <c r="V606" i="1"/>
  <c r="AA606" i="1"/>
  <c r="V598" i="1"/>
  <c r="AA598" i="1"/>
  <c r="V590" i="1"/>
  <c r="AA590" i="1"/>
  <c r="V582" i="1"/>
  <c r="AA582" i="1"/>
  <c r="V574" i="1"/>
  <c r="AA574" i="1"/>
  <c r="V566" i="1"/>
  <c r="AA566" i="1"/>
  <c r="V558" i="1"/>
  <c r="AA558" i="1"/>
  <c r="V550" i="1"/>
  <c r="AA550" i="1"/>
  <c r="V542" i="1"/>
  <c r="AA542" i="1"/>
  <c r="V534" i="1"/>
  <c r="AA534" i="1"/>
  <c r="V526" i="1"/>
  <c r="AA526" i="1"/>
  <c r="V518" i="1"/>
  <c r="AA518" i="1"/>
  <c r="V510" i="1"/>
  <c r="AA510" i="1"/>
  <c r="V502" i="1"/>
  <c r="AA502" i="1"/>
  <c r="V494" i="1"/>
  <c r="AA494" i="1"/>
  <c r="V486" i="1"/>
  <c r="AA486" i="1"/>
  <c r="V478" i="1"/>
  <c r="AA478" i="1"/>
  <c r="V470" i="1"/>
  <c r="AA470" i="1"/>
  <c r="V462" i="1"/>
  <c r="AA462" i="1"/>
  <c r="V454" i="1"/>
  <c r="AA454" i="1"/>
  <c r="V446" i="1"/>
  <c r="AA446" i="1"/>
  <c r="V438" i="1"/>
  <c r="AA438" i="1"/>
  <c r="V430" i="1"/>
  <c r="AA430" i="1"/>
  <c r="V422" i="1"/>
  <c r="AA422" i="1"/>
  <c r="V414" i="1"/>
  <c r="AA414" i="1"/>
  <c r="V406" i="1"/>
  <c r="AA406" i="1"/>
  <c r="V398" i="1"/>
  <c r="AA398" i="1"/>
  <c r="V390" i="1"/>
  <c r="AA390" i="1"/>
  <c r="V382" i="1"/>
  <c r="AA382" i="1"/>
  <c r="V374" i="1"/>
  <c r="AA374" i="1"/>
  <c r="V366" i="1"/>
  <c r="AA366" i="1"/>
  <c r="V358" i="1"/>
  <c r="AA358" i="1"/>
  <c r="V350" i="1"/>
  <c r="AA350" i="1"/>
  <c r="V342" i="1"/>
  <c r="AA342" i="1"/>
  <c r="V334" i="1"/>
  <c r="AA334" i="1"/>
  <c r="V326" i="1"/>
  <c r="AA326" i="1"/>
  <c r="V318" i="1"/>
  <c r="AA318" i="1"/>
  <c r="V310" i="1"/>
  <c r="AA310" i="1"/>
  <c r="V302" i="1"/>
  <c r="AA302" i="1"/>
  <c r="V294" i="1"/>
  <c r="AA294" i="1"/>
  <c r="V286" i="1"/>
  <c r="AA286" i="1"/>
  <c r="V278" i="1"/>
  <c r="AA278" i="1"/>
  <c r="V270" i="1"/>
  <c r="AA270" i="1"/>
  <c r="V262" i="1"/>
  <c r="AA262" i="1"/>
  <c r="V254" i="1"/>
  <c r="AA254" i="1"/>
  <c r="V246" i="1"/>
  <c r="AA246" i="1"/>
  <c r="V238" i="1"/>
  <c r="AA238" i="1"/>
  <c r="V230" i="1"/>
  <c r="AA230" i="1"/>
  <c r="V222" i="1"/>
  <c r="AA222" i="1"/>
  <c r="V214" i="1"/>
  <c r="AA214" i="1"/>
  <c r="V206" i="1"/>
  <c r="AA206" i="1"/>
  <c r="V197" i="1"/>
  <c r="AA197" i="1"/>
  <c r="V189" i="1"/>
  <c r="AA189" i="1"/>
  <c r="V181" i="1"/>
  <c r="AA181" i="1"/>
  <c r="V173" i="1"/>
  <c r="AA173" i="1"/>
  <c r="V165" i="1"/>
  <c r="AA165" i="1"/>
  <c r="V157" i="1"/>
  <c r="AA157" i="1"/>
  <c r="V149" i="1"/>
  <c r="AA149" i="1"/>
  <c r="V141" i="1"/>
  <c r="AA141" i="1"/>
  <c r="V133" i="1"/>
  <c r="AA133" i="1"/>
  <c r="V125" i="1"/>
  <c r="AA125" i="1"/>
  <c r="V117" i="1"/>
  <c r="AA117" i="1"/>
  <c r="V109" i="1"/>
  <c r="AA109" i="1"/>
  <c r="V101" i="1"/>
  <c r="AA101" i="1"/>
  <c r="V93" i="1"/>
  <c r="AA93" i="1"/>
  <c r="V85" i="1"/>
  <c r="AA85" i="1"/>
  <c r="V77" i="1"/>
  <c r="AA77" i="1"/>
  <c r="V69" i="1"/>
  <c r="AA69" i="1"/>
  <c r="V61" i="1"/>
  <c r="AA61" i="1"/>
  <c r="V53" i="1"/>
  <c r="AA53" i="1"/>
  <c r="V45" i="1"/>
  <c r="AA45" i="1"/>
  <c r="V37" i="1"/>
  <c r="AA37" i="1"/>
  <c r="V29" i="1"/>
  <c r="AA29" i="1"/>
  <c r="V21" i="1"/>
  <c r="AA21" i="1"/>
  <c r="V13" i="1"/>
  <c r="AA13" i="1"/>
  <c r="V5" i="1"/>
  <c r="AA5" i="1"/>
  <c r="V1371" i="1"/>
  <c r="V1339" i="1"/>
  <c r="V1307" i="1"/>
  <c r="V1254" i="1"/>
  <c r="V998" i="1"/>
  <c r="V472" i="1"/>
  <c r="AA1384" i="1"/>
  <c r="AA1359" i="1"/>
  <c r="AA1345" i="1"/>
  <c r="AA1334" i="1"/>
  <c r="AA1320" i="1"/>
  <c r="AA1305" i="1"/>
  <c r="AA1289" i="1"/>
  <c r="AA1247" i="1"/>
  <c r="AA1225" i="1"/>
  <c r="AA1183" i="1"/>
  <c r="AA1161" i="1"/>
  <c r="AA1119" i="1"/>
  <c r="AA1097" i="1"/>
  <c r="AA1065" i="1"/>
  <c r="AA1037" i="1"/>
  <c r="AA951" i="1"/>
  <c r="AA848" i="1"/>
  <c r="AA736" i="1"/>
  <c r="AA536" i="1"/>
  <c r="AA227" i="1"/>
  <c r="V466" i="1"/>
  <c r="AA466" i="1"/>
  <c r="V410" i="1"/>
  <c r="AA410" i="1"/>
  <c r="V370" i="1"/>
  <c r="AA370" i="1"/>
  <c r="V322" i="1"/>
  <c r="AA322" i="1"/>
  <c r="V290" i="1"/>
  <c r="AA290" i="1"/>
  <c r="V242" i="1"/>
  <c r="AA242" i="1"/>
  <c r="V177" i="1"/>
  <c r="AA177" i="1"/>
  <c r="V121" i="1"/>
  <c r="AA121" i="1"/>
  <c r="V73" i="1"/>
  <c r="AA73" i="1"/>
  <c r="V17" i="1"/>
  <c r="AA17" i="1"/>
  <c r="V1071" i="1"/>
  <c r="AA1071" i="1"/>
  <c r="V1047" i="1"/>
  <c r="AA1047" i="1"/>
  <c r="V1031" i="1"/>
  <c r="AA1031" i="1"/>
  <c r="V1007" i="1"/>
  <c r="AA1007" i="1"/>
  <c r="V967" i="1"/>
  <c r="AA967" i="1"/>
  <c r="V927" i="1"/>
  <c r="AA927" i="1"/>
  <c r="V863" i="1"/>
  <c r="AA863" i="1"/>
  <c r="V1302" i="1"/>
  <c r="AA1302" i="1"/>
  <c r="V1381" i="1"/>
  <c r="AA1381" i="1"/>
  <c r="V1373" i="1"/>
  <c r="AA1373" i="1"/>
  <c r="V1365" i="1"/>
  <c r="AA1365" i="1"/>
  <c r="V1357" i="1"/>
  <c r="AA1357" i="1"/>
  <c r="V1349" i="1"/>
  <c r="AA1349" i="1"/>
  <c r="V1341" i="1"/>
  <c r="AA1341" i="1"/>
  <c r="V1333" i="1"/>
  <c r="AA1333" i="1"/>
  <c r="V1325" i="1"/>
  <c r="AA1325" i="1"/>
  <c r="V1317" i="1"/>
  <c r="AA1317" i="1"/>
  <c r="V1309" i="1"/>
  <c r="AA1309" i="1"/>
  <c r="V1301" i="1"/>
  <c r="AA1301" i="1"/>
  <c r="V1293" i="1"/>
  <c r="AA1293" i="1"/>
  <c r="V1285" i="1"/>
  <c r="AA1285" i="1"/>
  <c r="V1277" i="1"/>
  <c r="AA1277" i="1"/>
  <c r="V1269" i="1"/>
  <c r="AA1269" i="1"/>
  <c r="V1261" i="1"/>
  <c r="AA1261" i="1"/>
  <c r="V1253" i="1"/>
  <c r="AA1253" i="1"/>
  <c r="V1245" i="1"/>
  <c r="AA1245" i="1"/>
  <c r="V1237" i="1"/>
  <c r="AA1237" i="1"/>
  <c r="V1229" i="1"/>
  <c r="AA1229" i="1"/>
  <c r="V1221" i="1"/>
  <c r="AA1221" i="1"/>
  <c r="V1213" i="1"/>
  <c r="AA1213" i="1"/>
  <c r="V1205" i="1"/>
  <c r="AA1205" i="1"/>
  <c r="V1197" i="1"/>
  <c r="AA1197" i="1"/>
  <c r="V1189" i="1"/>
  <c r="AA1189" i="1"/>
  <c r="V1181" i="1"/>
  <c r="AA1181" i="1"/>
  <c r="V1173" i="1"/>
  <c r="AA1173" i="1"/>
  <c r="V1165" i="1"/>
  <c r="AA1165" i="1"/>
  <c r="V1157" i="1"/>
  <c r="AA1157" i="1"/>
  <c r="V1149" i="1"/>
  <c r="AA1149" i="1"/>
  <c r="V1141" i="1"/>
  <c r="AA1141" i="1"/>
  <c r="V1133" i="1"/>
  <c r="AA1133" i="1"/>
  <c r="V1125" i="1"/>
  <c r="AA1125" i="1"/>
  <c r="V1117" i="1"/>
  <c r="AA1117" i="1"/>
  <c r="V1109" i="1"/>
  <c r="AA1109" i="1"/>
  <c r="V1101" i="1"/>
  <c r="AA1101" i="1"/>
  <c r="V1093" i="1"/>
  <c r="AA1093" i="1"/>
  <c r="V1085" i="1"/>
  <c r="AA1085" i="1"/>
  <c r="V1077" i="1"/>
  <c r="AA1077" i="1"/>
  <c r="V1069" i="1"/>
  <c r="AA1069" i="1"/>
  <c r="V1061" i="1"/>
  <c r="AA1061" i="1"/>
  <c r="V1045" i="1"/>
  <c r="AA1045" i="1"/>
  <c r="V1021" i="1"/>
  <c r="AA1021" i="1"/>
  <c r="V1013" i="1"/>
  <c r="AA1013" i="1"/>
  <c r="V1005" i="1"/>
  <c r="AA1005" i="1"/>
  <c r="V997" i="1"/>
  <c r="AA997" i="1"/>
  <c r="V989" i="1"/>
  <c r="AA989" i="1"/>
  <c r="V981" i="1"/>
  <c r="AA981" i="1"/>
  <c r="V973" i="1"/>
  <c r="AA973" i="1"/>
  <c r="V957" i="1"/>
  <c r="AA957" i="1"/>
  <c r="V949" i="1"/>
  <c r="AA949" i="1"/>
  <c r="V941" i="1"/>
  <c r="AA941" i="1"/>
  <c r="V933" i="1"/>
  <c r="AA933" i="1"/>
  <c r="V925" i="1"/>
  <c r="AA925" i="1"/>
  <c r="V917" i="1"/>
  <c r="AA917" i="1"/>
  <c r="V909" i="1"/>
  <c r="AA909" i="1"/>
  <c r="V893" i="1"/>
  <c r="AA893" i="1"/>
  <c r="V885" i="1"/>
  <c r="AA885" i="1"/>
  <c r="V877" i="1"/>
  <c r="AA877" i="1"/>
  <c r="V869" i="1"/>
  <c r="AA869" i="1"/>
  <c r="V861" i="1"/>
  <c r="AA861" i="1"/>
  <c r="V853" i="1"/>
  <c r="AA853" i="1"/>
  <c r="V845" i="1"/>
  <c r="AA845" i="1"/>
  <c r="V829" i="1"/>
  <c r="AA829" i="1"/>
  <c r="V821" i="1"/>
  <c r="AA821" i="1"/>
  <c r="V813" i="1"/>
  <c r="AA813" i="1"/>
  <c r="V805" i="1"/>
  <c r="AA805" i="1"/>
  <c r="V797" i="1"/>
  <c r="AA797" i="1"/>
  <c r="V789" i="1"/>
  <c r="AA789" i="1"/>
  <c r="V781" i="1"/>
  <c r="AA781" i="1"/>
  <c r="V773" i="1"/>
  <c r="AA773" i="1"/>
  <c r="V765" i="1"/>
  <c r="AA765" i="1"/>
  <c r="V757" i="1"/>
  <c r="AA757" i="1"/>
  <c r="V749" i="1"/>
  <c r="AA749" i="1"/>
  <c r="V741" i="1"/>
  <c r="AA741" i="1"/>
  <c r="V733" i="1"/>
  <c r="AA733" i="1"/>
  <c r="V725" i="1"/>
  <c r="AA725" i="1"/>
  <c r="V717" i="1"/>
  <c r="AA717" i="1"/>
  <c r="V709" i="1"/>
  <c r="AA709" i="1"/>
  <c r="V701" i="1"/>
  <c r="AA701" i="1"/>
  <c r="V693" i="1"/>
  <c r="AA693" i="1"/>
  <c r="V685" i="1"/>
  <c r="AA685" i="1"/>
  <c r="V677" i="1"/>
  <c r="AA677" i="1"/>
  <c r="V669" i="1"/>
  <c r="AA669" i="1"/>
  <c r="V661" i="1"/>
  <c r="AA661" i="1"/>
  <c r="V653" i="1"/>
  <c r="AA653" i="1"/>
  <c r="V645" i="1"/>
  <c r="AA645" i="1"/>
  <c r="V637" i="1"/>
  <c r="AA637" i="1"/>
  <c r="V629" i="1"/>
  <c r="AA629" i="1"/>
  <c r="V621" i="1"/>
  <c r="AA621" i="1"/>
  <c r="V613" i="1"/>
  <c r="AA613" i="1"/>
  <c r="V605" i="1"/>
  <c r="AA605" i="1"/>
  <c r="V597" i="1"/>
  <c r="AA597" i="1"/>
  <c r="V589" i="1"/>
  <c r="AA589" i="1"/>
  <c r="V581" i="1"/>
  <c r="AA581" i="1"/>
  <c r="V573" i="1"/>
  <c r="AA573" i="1"/>
  <c r="V565" i="1"/>
  <c r="AA565" i="1"/>
  <c r="V557" i="1"/>
  <c r="AA557" i="1"/>
  <c r="V549" i="1"/>
  <c r="AA549" i="1"/>
  <c r="V541" i="1"/>
  <c r="AA541" i="1"/>
  <c r="V533" i="1"/>
  <c r="AA533" i="1"/>
  <c r="V525" i="1"/>
  <c r="AA525" i="1"/>
  <c r="V517" i="1"/>
  <c r="AA517" i="1"/>
  <c r="V509" i="1"/>
  <c r="AA509" i="1"/>
  <c r="V501" i="1"/>
  <c r="AA501" i="1"/>
  <c r="V493" i="1"/>
  <c r="AA493" i="1"/>
  <c r="V485" i="1"/>
  <c r="AA485" i="1"/>
  <c r="V477" i="1"/>
  <c r="AA477" i="1"/>
  <c r="V469" i="1"/>
  <c r="AA469" i="1"/>
  <c r="V461" i="1"/>
  <c r="AA461" i="1"/>
  <c r="V453" i="1"/>
  <c r="AA453" i="1"/>
  <c r="V445" i="1"/>
  <c r="AA445" i="1"/>
  <c r="V437" i="1"/>
  <c r="AA437" i="1"/>
  <c r="V429" i="1"/>
  <c r="AA429" i="1"/>
  <c r="V421" i="1"/>
  <c r="AA421" i="1"/>
  <c r="V413" i="1"/>
  <c r="AA413" i="1"/>
  <c r="V405" i="1"/>
  <c r="AA405" i="1"/>
  <c r="V397" i="1"/>
  <c r="AA397" i="1"/>
  <c r="V389" i="1"/>
  <c r="AA389" i="1"/>
  <c r="V381" i="1"/>
  <c r="AA381" i="1"/>
  <c r="V373" i="1"/>
  <c r="AA373" i="1"/>
  <c r="V365" i="1"/>
  <c r="AA365" i="1"/>
  <c r="V357" i="1"/>
  <c r="AA357" i="1"/>
  <c r="V349" i="1"/>
  <c r="AA349" i="1"/>
  <c r="V341" i="1"/>
  <c r="AA341" i="1"/>
  <c r="V333" i="1"/>
  <c r="AA333" i="1"/>
  <c r="V325" i="1"/>
  <c r="AA325" i="1"/>
  <c r="V317" i="1"/>
  <c r="AA317" i="1"/>
  <c r="V309" i="1"/>
  <c r="AA309" i="1"/>
  <c r="V301" i="1"/>
  <c r="AA301" i="1"/>
  <c r="V293" i="1"/>
  <c r="AA293" i="1"/>
  <c r="V285" i="1"/>
  <c r="AA285" i="1"/>
  <c r="V277" i="1"/>
  <c r="AA277" i="1"/>
  <c r="V269" i="1"/>
  <c r="AA269" i="1"/>
  <c r="V261" i="1"/>
  <c r="AA261" i="1"/>
  <c r="V253" i="1"/>
  <c r="AA253" i="1"/>
  <c r="V245" i="1"/>
  <c r="AA245" i="1"/>
  <c r="V237" i="1"/>
  <c r="AA237" i="1"/>
  <c r="V229" i="1"/>
  <c r="AA229" i="1"/>
  <c r="V221" i="1"/>
  <c r="AA221" i="1"/>
  <c r="V213" i="1"/>
  <c r="AA213" i="1"/>
  <c r="V205" i="1"/>
  <c r="AA205" i="1"/>
  <c r="V196" i="1"/>
  <c r="AA196" i="1"/>
  <c r="V188" i="1"/>
  <c r="AA188" i="1"/>
  <c r="V180" i="1"/>
  <c r="AA180" i="1"/>
  <c r="V172" i="1"/>
  <c r="AA172" i="1"/>
  <c r="V164" i="1"/>
  <c r="AA164" i="1"/>
  <c r="V156" i="1"/>
  <c r="AA156" i="1"/>
  <c r="V148" i="1"/>
  <c r="AA148" i="1"/>
  <c r="V140" i="1"/>
  <c r="AA140" i="1"/>
  <c r="V132" i="1"/>
  <c r="AA132" i="1"/>
  <c r="V124" i="1"/>
  <c r="AA124" i="1"/>
  <c r="V116" i="1"/>
  <c r="AA116" i="1"/>
  <c r="V108" i="1"/>
  <c r="AA108" i="1"/>
  <c r="V100" i="1"/>
  <c r="AA100" i="1"/>
  <c r="V92" i="1"/>
  <c r="AA92" i="1"/>
  <c r="V84" i="1"/>
  <c r="AA84" i="1"/>
  <c r="V76" i="1"/>
  <c r="AA76" i="1"/>
  <c r="V68" i="1"/>
  <c r="AA68" i="1"/>
  <c r="V60" i="1"/>
  <c r="AA60" i="1"/>
  <c r="V52" i="1"/>
  <c r="AA52" i="1"/>
  <c r="V44" i="1"/>
  <c r="AA44" i="1"/>
  <c r="V36" i="1"/>
  <c r="AA36" i="1"/>
  <c r="V28" i="1"/>
  <c r="AA28" i="1"/>
  <c r="V20" i="1"/>
  <c r="AA20" i="1"/>
  <c r="V12" i="1"/>
  <c r="AA12" i="1"/>
  <c r="V4" i="1"/>
  <c r="AA4" i="1"/>
  <c r="V1367" i="1"/>
  <c r="V1303" i="1"/>
  <c r="V977" i="1"/>
  <c r="AA1369" i="1"/>
  <c r="AA1358" i="1"/>
  <c r="AA1344" i="1"/>
  <c r="AA1304" i="1"/>
  <c r="AA1265" i="1"/>
  <c r="AA1223" i="1"/>
  <c r="AA1201" i="1"/>
  <c r="AA1159" i="1"/>
  <c r="AA1137" i="1"/>
  <c r="AA1095" i="1"/>
  <c r="AA1064" i="1"/>
  <c r="AA1029" i="1"/>
  <c r="AA937" i="1"/>
  <c r="AA837" i="1"/>
  <c r="AA720" i="1"/>
  <c r="AA504" i="1"/>
  <c r="AA168" i="1"/>
  <c r="V266" i="1"/>
  <c r="AA266" i="1"/>
  <c r="V210" i="1"/>
  <c r="AA210" i="1"/>
  <c r="V169" i="1"/>
  <c r="AA169" i="1"/>
  <c r="V129" i="1"/>
  <c r="AA129" i="1"/>
  <c r="V89" i="1"/>
  <c r="AA89" i="1"/>
  <c r="V41" i="1"/>
  <c r="AA41" i="1"/>
  <c r="V1057" i="1"/>
  <c r="AA1057" i="1"/>
  <c r="V839" i="1"/>
  <c r="AA839" i="1"/>
  <c r="V1310" i="1"/>
  <c r="AA1310" i="1"/>
  <c r="V1286" i="1"/>
  <c r="AA1286" i="1"/>
  <c r="V1262" i="1"/>
  <c r="AA1262" i="1"/>
  <c r="V1380" i="1"/>
  <c r="AA1380" i="1"/>
  <c r="V1372" i="1"/>
  <c r="AA1372" i="1"/>
  <c r="V1364" i="1"/>
  <c r="AA1364" i="1"/>
  <c r="V1356" i="1"/>
  <c r="AA1356" i="1"/>
  <c r="V1348" i="1"/>
  <c r="AA1348" i="1"/>
  <c r="V1340" i="1"/>
  <c r="AA1340" i="1"/>
  <c r="V1332" i="1"/>
  <c r="AA1332" i="1"/>
  <c r="V1324" i="1"/>
  <c r="AA1324" i="1"/>
  <c r="V1316" i="1"/>
  <c r="AA1316" i="1"/>
  <c r="V1308" i="1"/>
  <c r="AA1308" i="1"/>
  <c r="V1300" i="1"/>
  <c r="AA1300" i="1"/>
  <c r="V1292" i="1"/>
  <c r="AA1292" i="1"/>
  <c r="V1284" i="1"/>
  <c r="AA1284" i="1"/>
  <c r="V1276" i="1"/>
  <c r="AA1276" i="1"/>
  <c r="V1268" i="1"/>
  <c r="AA1268" i="1"/>
  <c r="V1260" i="1"/>
  <c r="AA1260" i="1"/>
  <c r="V1252" i="1"/>
  <c r="AA1252" i="1"/>
  <c r="V1244" i="1"/>
  <c r="AA1244" i="1"/>
  <c r="V1236" i="1"/>
  <c r="AA1236" i="1"/>
  <c r="V1228" i="1"/>
  <c r="AA1228" i="1"/>
  <c r="V1220" i="1"/>
  <c r="AA1220" i="1"/>
  <c r="V1212" i="1"/>
  <c r="AA1212" i="1"/>
  <c r="V1204" i="1"/>
  <c r="AA1204" i="1"/>
  <c r="V1196" i="1"/>
  <c r="AA1196" i="1"/>
  <c r="V1188" i="1"/>
  <c r="AA1188" i="1"/>
  <c r="V1180" i="1"/>
  <c r="AA1180" i="1"/>
  <c r="V1172" i="1"/>
  <c r="AA1172" i="1"/>
  <c r="V1164" i="1"/>
  <c r="AA1164" i="1"/>
  <c r="V1156" i="1"/>
  <c r="AA1156" i="1"/>
  <c r="V1148" i="1"/>
  <c r="AA1148" i="1"/>
  <c r="V1140" i="1"/>
  <c r="AA1140" i="1"/>
  <c r="V1132" i="1"/>
  <c r="AA1132" i="1"/>
  <c r="V1124" i="1"/>
  <c r="AA1124" i="1"/>
  <c r="V1116" i="1"/>
  <c r="AA1116" i="1"/>
  <c r="V1108" i="1"/>
  <c r="AA1108" i="1"/>
  <c r="V1100" i="1"/>
  <c r="AA1100" i="1"/>
  <c r="V1092" i="1"/>
  <c r="AA1092" i="1"/>
  <c r="V1084" i="1"/>
  <c r="AA1084" i="1"/>
  <c r="V1076" i="1"/>
  <c r="AA1076" i="1"/>
  <c r="V1068" i="1"/>
  <c r="AA1068" i="1"/>
  <c r="V1060" i="1"/>
  <c r="AA1060" i="1"/>
  <c r="V1052" i="1"/>
  <c r="AA1052" i="1"/>
  <c r="V1044" i="1"/>
  <c r="AA1044" i="1"/>
  <c r="V1036" i="1"/>
  <c r="AA1036" i="1"/>
  <c r="V1028" i="1"/>
  <c r="AA1028" i="1"/>
  <c r="V1020" i="1"/>
  <c r="AA1020" i="1"/>
  <c r="V1012" i="1"/>
  <c r="AA1012" i="1"/>
  <c r="V1004" i="1"/>
  <c r="AA1004" i="1"/>
  <c r="V996" i="1"/>
  <c r="AA996" i="1"/>
  <c r="V988" i="1"/>
  <c r="AA988" i="1"/>
  <c r="V980" i="1"/>
  <c r="AA980" i="1"/>
  <c r="V972" i="1"/>
  <c r="AA972" i="1"/>
  <c r="V964" i="1"/>
  <c r="AA964" i="1"/>
  <c r="V956" i="1"/>
  <c r="AA956" i="1"/>
  <c r="V948" i="1"/>
  <c r="AA948" i="1"/>
  <c r="V940" i="1"/>
  <c r="AA940" i="1"/>
  <c r="V932" i="1"/>
  <c r="AA932" i="1"/>
  <c r="V924" i="1"/>
  <c r="AA924" i="1"/>
  <c r="V916" i="1"/>
  <c r="AA916" i="1"/>
  <c r="V908" i="1"/>
  <c r="AA908" i="1"/>
  <c r="V900" i="1"/>
  <c r="AA900" i="1"/>
  <c r="V892" i="1"/>
  <c r="AA892" i="1"/>
  <c r="V884" i="1"/>
  <c r="AA884" i="1"/>
  <c r="V876" i="1"/>
  <c r="AA876" i="1"/>
  <c r="V868" i="1"/>
  <c r="AA868" i="1"/>
  <c r="V860" i="1"/>
  <c r="AA860" i="1"/>
  <c r="V852" i="1"/>
  <c r="AA852" i="1"/>
  <c r="V844" i="1"/>
  <c r="AA844" i="1"/>
  <c r="V836" i="1"/>
  <c r="AA836" i="1"/>
  <c r="V828" i="1"/>
  <c r="AA828" i="1"/>
  <c r="V820" i="1"/>
  <c r="AA820" i="1"/>
  <c r="V812" i="1"/>
  <c r="AA812" i="1"/>
  <c r="V804" i="1"/>
  <c r="AA804" i="1"/>
  <c r="V796" i="1"/>
  <c r="AA796" i="1"/>
  <c r="V788" i="1"/>
  <c r="AA788" i="1"/>
  <c r="V780" i="1"/>
  <c r="AA780" i="1"/>
  <c r="V772" i="1"/>
  <c r="AA772" i="1"/>
  <c r="V764" i="1"/>
  <c r="AA764" i="1"/>
  <c r="V756" i="1"/>
  <c r="AA756" i="1"/>
  <c r="V748" i="1"/>
  <c r="AA748" i="1"/>
  <c r="V740" i="1"/>
  <c r="AA740" i="1"/>
  <c r="V732" i="1"/>
  <c r="AA732" i="1"/>
  <c r="V724" i="1"/>
  <c r="AA724" i="1"/>
  <c r="V716" i="1"/>
  <c r="AA716" i="1"/>
  <c r="V708" i="1"/>
  <c r="AA708" i="1"/>
  <c r="V700" i="1"/>
  <c r="AA700" i="1"/>
  <c r="V692" i="1"/>
  <c r="AA692" i="1"/>
  <c r="V684" i="1"/>
  <c r="AA684" i="1"/>
  <c r="V676" i="1"/>
  <c r="AA676" i="1"/>
  <c r="V668" i="1"/>
  <c r="AA668" i="1"/>
  <c r="V660" i="1"/>
  <c r="AA660" i="1"/>
  <c r="V652" i="1"/>
  <c r="AA652" i="1"/>
  <c r="V644" i="1"/>
  <c r="AA644" i="1"/>
  <c r="V636" i="1"/>
  <c r="AA636" i="1"/>
  <c r="V628" i="1"/>
  <c r="AA628" i="1"/>
  <c r="V620" i="1"/>
  <c r="AA620" i="1"/>
  <c r="V612" i="1"/>
  <c r="AA612" i="1"/>
  <c r="V604" i="1"/>
  <c r="AA604" i="1"/>
  <c r="V596" i="1"/>
  <c r="AA596" i="1"/>
  <c r="V588" i="1"/>
  <c r="AA588" i="1"/>
  <c r="V580" i="1"/>
  <c r="AA580" i="1"/>
  <c r="V572" i="1"/>
  <c r="AA572" i="1"/>
  <c r="V564" i="1"/>
  <c r="AA564" i="1"/>
  <c r="V556" i="1"/>
  <c r="AA556" i="1"/>
  <c r="V548" i="1"/>
  <c r="AA548" i="1"/>
  <c r="V540" i="1"/>
  <c r="AA540" i="1"/>
  <c r="V532" i="1"/>
  <c r="AA532" i="1"/>
  <c r="V524" i="1"/>
  <c r="AA524" i="1"/>
  <c r="V516" i="1"/>
  <c r="AA516" i="1"/>
  <c r="V508" i="1"/>
  <c r="AA508" i="1"/>
  <c r="V500" i="1"/>
  <c r="AA500" i="1"/>
  <c r="V492" i="1"/>
  <c r="AA492" i="1"/>
  <c r="V484" i="1"/>
  <c r="AA484" i="1"/>
  <c r="V476" i="1"/>
  <c r="AA476" i="1"/>
  <c r="V468" i="1"/>
  <c r="AA468" i="1"/>
  <c r="V460" i="1"/>
  <c r="AA460" i="1"/>
  <c r="V452" i="1"/>
  <c r="AA452" i="1"/>
  <c r="V444" i="1"/>
  <c r="AA444" i="1"/>
  <c r="V436" i="1"/>
  <c r="AA436" i="1"/>
  <c r="V428" i="1"/>
  <c r="AA428" i="1"/>
  <c r="V420" i="1"/>
  <c r="AA420" i="1"/>
  <c r="V412" i="1"/>
  <c r="AA412" i="1"/>
  <c r="V404" i="1"/>
  <c r="AA404" i="1"/>
  <c r="V396" i="1"/>
  <c r="AA396" i="1"/>
  <c r="V388" i="1"/>
  <c r="AA388" i="1"/>
  <c r="V380" i="1"/>
  <c r="AA380" i="1"/>
  <c r="V372" i="1"/>
  <c r="AA372" i="1"/>
  <c r="V364" i="1"/>
  <c r="AA364" i="1"/>
  <c r="V356" i="1"/>
  <c r="AA356" i="1"/>
  <c r="V348" i="1"/>
  <c r="AA348" i="1"/>
  <c r="V340" i="1"/>
  <c r="AA340" i="1"/>
  <c r="V332" i="1"/>
  <c r="AA332" i="1"/>
  <c r="V324" i="1"/>
  <c r="AA324" i="1"/>
  <c r="V316" i="1"/>
  <c r="AA316" i="1"/>
  <c r="V308" i="1"/>
  <c r="AA308" i="1"/>
  <c r="V300" i="1"/>
  <c r="AA300" i="1"/>
  <c r="V292" i="1"/>
  <c r="AA292" i="1"/>
  <c r="V284" i="1"/>
  <c r="AA284" i="1"/>
  <c r="V276" i="1"/>
  <c r="AA276" i="1"/>
  <c r="V268" i="1"/>
  <c r="AA268" i="1"/>
  <c r="V260" i="1"/>
  <c r="AA260" i="1"/>
  <c r="V252" i="1"/>
  <c r="AA252" i="1"/>
  <c r="V244" i="1"/>
  <c r="AA244" i="1"/>
  <c r="V236" i="1"/>
  <c r="AA236" i="1"/>
  <c r="V228" i="1"/>
  <c r="AA228" i="1"/>
  <c r="V220" i="1"/>
  <c r="AA220" i="1"/>
  <c r="V212" i="1"/>
  <c r="AA212" i="1"/>
  <c r="V204" i="1"/>
  <c r="AA204" i="1"/>
  <c r="V195" i="1"/>
  <c r="AA195" i="1"/>
  <c r="V187" i="1"/>
  <c r="AA187" i="1"/>
  <c r="V179" i="1"/>
  <c r="AA179" i="1"/>
  <c r="V171" i="1"/>
  <c r="AA171" i="1"/>
  <c r="V163" i="1"/>
  <c r="AA163" i="1"/>
  <c r="V155" i="1"/>
  <c r="AA155" i="1"/>
  <c r="V147" i="1"/>
  <c r="AA147" i="1"/>
  <c r="V139" i="1"/>
  <c r="AA139" i="1"/>
  <c r="V131" i="1"/>
  <c r="AA131" i="1"/>
  <c r="V123" i="1"/>
  <c r="AA123" i="1"/>
  <c r="V115" i="1"/>
  <c r="AA115" i="1"/>
  <c r="V107" i="1"/>
  <c r="AA107" i="1"/>
  <c r="V99" i="1"/>
  <c r="AA99" i="1"/>
  <c r="V91" i="1"/>
  <c r="AA91" i="1"/>
  <c r="V83" i="1"/>
  <c r="AA83" i="1"/>
  <c r="V75" i="1"/>
  <c r="AA75" i="1"/>
  <c r="V67" i="1"/>
  <c r="AA67" i="1"/>
  <c r="V59" i="1"/>
  <c r="AA59" i="1"/>
  <c r="V51" i="1"/>
  <c r="AA51" i="1"/>
  <c r="V43" i="1"/>
  <c r="AA43" i="1"/>
  <c r="V35" i="1"/>
  <c r="AA35" i="1"/>
  <c r="V27" i="1"/>
  <c r="AA27" i="1"/>
  <c r="V19" i="1"/>
  <c r="AA19" i="1"/>
  <c r="V11" i="1"/>
  <c r="AA11" i="1"/>
  <c r="V3" i="1"/>
  <c r="AA3" i="1"/>
  <c r="V1363" i="1"/>
  <c r="V1331" i="1"/>
  <c r="V1299" i="1"/>
  <c r="V1190" i="1"/>
  <c r="V934" i="1"/>
  <c r="V312" i="1"/>
  <c r="AA1382" i="1"/>
  <c r="AA1368" i="1"/>
  <c r="AA1329" i="1"/>
  <c r="AA1318" i="1"/>
  <c r="AA1263" i="1"/>
  <c r="AA1241" i="1"/>
  <c r="AA1199" i="1"/>
  <c r="AA1177" i="1"/>
  <c r="AA1135" i="1"/>
  <c r="AA1113" i="1"/>
  <c r="AA1023" i="1"/>
  <c r="AA926" i="1"/>
  <c r="AA823" i="1"/>
  <c r="AA704" i="1"/>
  <c r="AA119" i="1"/>
  <c r="V514" i="1"/>
  <c r="AA514" i="1"/>
  <c r="V482" i="1"/>
  <c r="AA482" i="1"/>
  <c r="V450" i="1"/>
  <c r="AA450" i="1"/>
  <c r="V426" i="1"/>
  <c r="AA426" i="1"/>
  <c r="V394" i="1"/>
  <c r="AA394" i="1"/>
  <c r="V354" i="1"/>
  <c r="AA354" i="1"/>
  <c r="V306" i="1"/>
  <c r="AA306" i="1"/>
  <c r="V274" i="1"/>
  <c r="AA274" i="1"/>
  <c r="V226" i="1"/>
  <c r="AA226" i="1"/>
  <c r="V193" i="1"/>
  <c r="AA193" i="1"/>
  <c r="V153" i="1"/>
  <c r="AA153" i="1"/>
  <c r="V97" i="1"/>
  <c r="AA97" i="1"/>
  <c r="V57" i="1"/>
  <c r="AA57" i="1"/>
  <c r="V25" i="1"/>
  <c r="AA25" i="1"/>
  <c r="V1063" i="1"/>
  <c r="AA1063" i="1"/>
  <c r="V991" i="1"/>
  <c r="AA991" i="1"/>
  <c r="V959" i="1"/>
  <c r="AA959" i="1"/>
  <c r="V943" i="1"/>
  <c r="AA943" i="1"/>
  <c r="V919" i="1"/>
  <c r="AA919" i="1"/>
  <c r="V903" i="1"/>
  <c r="AA903" i="1"/>
  <c r="V895" i="1"/>
  <c r="AA895" i="1"/>
  <c r="V847" i="1"/>
  <c r="AA847" i="1"/>
  <c r="V1275" i="1"/>
  <c r="AA1275" i="1"/>
  <c r="V1267" i="1"/>
  <c r="AA1267" i="1"/>
  <c r="V1259" i="1"/>
  <c r="AA1259" i="1"/>
  <c r="V1251" i="1"/>
  <c r="AA1251" i="1"/>
  <c r="V1243" i="1"/>
  <c r="AA1243" i="1"/>
  <c r="V1235" i="1"/>
  <c r="AA1235" i="1"/>
  <c r="V1227" i="1"/>
  <c r="AA1227" i="1"/>
  <c r="V1219" i="1"/>
  <c r="AA1219" i="1"/>
  <c r="V1211" i="1"/>
  <c r="AA1211" i="1"/>
  <c r="V1203" i="1"/>
  <c r="AA1203" i="1"/>
  <c r="V1195" i="1"/>
  <c r="AA1195" i="1"/>
  <c r="V1187" i="1"/>
  <c r="AA1187" i="1"/>
  <c r="V1179" i="1"/>
  <c r="AA1179" i="1"/>
  <c r="V1171" i="1"/>
  <c r="AA1171" i="1"/>
  <c r="V1163" i="1"/>
  <c r="AA1163" i="1"/>
  <c r="V1155" i="1"/>
  <c r="AA1155" i="1"/>
  <c r="V1147" i="1"/>
  <c r="AA1147" i="1"/>
  <c r="V1139" i="1"/>
  <c r="AA1139" i="1"/>
  <c r="V1131" i="1"/>
  <c r="AA1131" i="1"/>
  <c r="V1123" i="1"/>
  <c r="AA1123" i="1"/>
  <c r="V1115" i="1"/>
  <c r="AA1115" i="1"/>
  <c r="V1107" i="1"/>
  <c r="AA1107" i="1"/>
  <c r="V1099" i="1"/>
  <c r="AA1099" i="1"/>
  <c r="V1091" i="1"/>
  <c r="AA1091" i="1"/>
  <c r="V1083" i="1"/>
  <c r="AA1083" i="1"/>
  <c r="V1075" i="1"/>
  <c r="AA1075" i="1"/>
  <c r="V1067" i="1"/>
  <c r="AA1067" i="1"/>
  <c r="V1059" i="1"/>
  <c r="AA1059" i="1"/>
  <c r="V1051" i="1"/>
  <c r="AA1051" i="1"/>
  <c r="V1043" i="1"/>
  <c r="AA1043" i="1"/>
  <c r="V1035" i="1"/>
  <c r="AA1035" i="1"/>
  <c r="V1027" i="1"/>
  <c r="AA1027" i="1"/>
  <c r="V1019" i="1"/>
  <c r="AA1019" i="1"/>
  <c r="V1011" i="1"/>
  <c r="AA1011" i="1"/>
  <c r="V1003" i="1"/>
  <c r="AA1003" i="1"/>
  <c r="V995" i="1"/>
  <c r="AA995" i="1"/>
  <c r="V987" i="1"/>
  <c r="AA987" i="1"/>
  <c r="V979" i="1"/>
  <c r="AA979" i="1"/>
  <c r="V971" i="1"/>
  <c r="AA971" i="1"/>
  <c r="V963" i="1"/>
  <c r="AA963" i="1"/>
  <c r="V955" i="1"/>
  <c r="AA955" i="1"/>
  <c r="V947" i="1"/>
  <c r="AA947" i="1"/>
  <c r="V939" i="1"/>
  <c r="AA939" i="1"/>
  <c r="V931" i="1"/>
  <c r="AA931" i="1"/>
  <c r="V923" i="1"/>
  <c r="AA923" i="1"/>
  <c r="V915" i="1"/>
  <c r="AA915" i="1"/>
  <c r="V907" i="1"/>
  <c r="AA907" i="1"/>
  <c r="V899" i="1"/>
  <c r="AA899" i="1"/>
  <c r="V891" i="1"/>
  <c r="AA891" i="1"/>
  <c r="V883" i="1"/>
  <c r="AA883" i="1"/>
  <c r="V875" i="1"/>
  <c r="AA875" i="1"/>
  <c r="V867" i="1"/>
  <c r="AA867" i="1"/>
  <c r="V859" i="1"/>
  <c r="AA859" i="1"/>
  <c r="V851" i="1"/>
  <c r="AA851" i="1"/>
  <c r="V843" i="1"/>
  <c r="AA843" i="1"/>
  <c r="V835" i="1"/>
  <c r="AA835" i="1"/>
  <c r="V827" i="1"/>
  <c r="AA827" i="1"/>
  <c r="V819" i="1"/>
  <c r="AA819" i="1"/>
  <c r="V811" i="1"/>
  <c r="AA811" i="1"/>
  <c r="V803" i="1"/>
  <c r="AA803" i="1"/>
  <c r="V795" i="1"/>
  <c r="AA795" i="1"/>
  <c r="V787" i="1"/>
  <c r="AA787" i="1"/>
  <c r="V779" i="1"/>
  <c r="AA779" i="1"/>
  <c r="V771" i="1"/>
  <c r="AA771" i="1"/>
  <c r="V763" i="1"/>
  <c r="AA763" i="1"/>
  <c r="V755" i="1"/>
  <c r="AA755" i="1"/>
  <c r="V747" i="1"/>
  <c r="AA747" i="1"/>
  <c r="V739" i="1"/>
  <c r="AA739" i="1"/>
  <c r="V731" i="1"/>
  <c r="AA731" i="1"/>
  <c r="V723" i="1"/>
  <c r="AA723" i="1"/>
  <c r="V715" i="1"/>
  <c r="AA715" i="1"/>
  <c r="V707" i="1"/>
  <c r="AA707" i="1"/>
  <c r="V699" i="1"/>
  <c r="AA699" i="1"/>
  <c r="V691" i="1"/>
  <c r="AA691" i="1"/>
  <c r="V683" i="1"/>
  <c r="AA683" i="1"/>
  <c r="V675" i="1"/>
  <c r="AA675" i="1"/>
  <c r="V667" i="1"/>
  <c r="AA667" i="1"/>
  <c r="V659" i="1"/>
  <c r="AA659" i="1"/>
  <c r="V651" i="1"/>
  <c r="AA651" i="1"/>
  <c r="V643" i="1"/>
  <c r="AA643" i="1"/>
  <c r="V635" i="1"/>
  <c r="AA635" i="1"/>
  <c r="V627" i="1"/>
  <c r="AA627" i="1"/>
  <c r="V619" i="1"/>
  <c r="AA619" i="1"/>
  <c r="V611" i="1"/>
  <c r="AA611" i="1"/>
  <c r="V603" i="1"/>
  <c r="AA603" i="1"/>
  <c r="V595" i="1"/>
  <c r="AA595" i="1"/>
  <c r="V587" i="1"/>
  <c r="AA587" i="1"/>
  <c r="V579" i="1"/>
  <c r="AA579" i="1"/>
  <c r="V571" i="1"/>
  <c r="AA571" i="1"/>
  <c r="V563" i="1"/>
  <c r="AA563" i="1"/>
  <c r="V555" i="1"/>
  <c r="AA555" i="1"/>
  <c r="V547" i="1"/>
  <c r="AA547" i="1"/>
  <c r="V539" i="1"/>
  <c r="AA539" i="1"/>
  <c r="V531" i="1"/>
  <c r="AA531" i="1"/>
  <c r="V523" i="1"/>
  <c r="AA523" i="1"/>
  <c r="V515" i="1"/>
  <c r="AA515" i="1"/>
  <c r="V507" i="1"/>
  <c r="AA507" i="1"/>
  <c r="V499" i="1"/>
  <c r="AA499" i="1"/>
  <c r="V491" i="1"/>
  <c r="AA491" i="1"/>
  <c r="V483" i="1"/>
  <c r="AA483" i="1"/>
  <c r="V475" i="1"/>
  <c r="AA475" i="1"/>
  <c r="V467" i="1"/>
  <c r="AA467" i="1"/>
  <c r="V459" i="1"/>
  <c r="AA459" i="1"/>
  <c r="V451" i="1"/>
  <c r="AA451" i="1"/>
  <c r="V443" i="1"/>
  <c r="AA443" i="1"/>
  <c r="V435" i="1"/>
  <c r="AA435" i="1"/>
  <c r="V427" i="1"/>
  <c r="AA427" i="1"/>
  <c r="V419" i="1"/>
  <c r="AA419" i="1"/>
  <c r="V411" i="1"/>
  <c r="AA411" i="1"/>
  <c r="V403" i="1"/>
  <c r="AA403" i="1"/>
  <c r="V395" i="1"/>
  <c r="AA395" i="1"/>
  <c r="V387" i="1"/>
  <c r="AA387" i="1"/>
  <c r="V379" i="1"/>
  <c r="AA379" i="1"/>
  <c r="V371" i="1"/>
  <c r="AA371" i="1"/>
  <c r="V363" i="1"/>
  <c r="AA363" i="1"/>
  <c r="V355" i="1"/>
  <c r="AA355" i="1"/>
  <c r="V347" i="1"/>
  <c r="AA347" i="1"/>
  <c r="V331" i="1"/>
  <c r="AA331" i="1"/>
  <c r="V323" i="1"/>
  <c r="AA323" i="1"/>
  <c r="V315" i="1"/>
  <c r="AA315" i="1"/>
  <c r="V307" i="1"/>
  <c r="AA307" i="1"/>
  <c r="V299" i="1"/>
  <c r="AA299" i="1"/>
  <c r="V291" i="1"/>
  <c r="AA291" i="1"/>
  <c r="V283" i="1"/>
  <c r="AA283" i="1"/>
  <c r="V275" i="1"/>
  <c r="AA275" i="1"/>
  <c r="V267" i="1"/>
  <c r="AA267" i="1"/>
  <c r="V259" i="1"/>
  <c r="AA259" i="1"/>
  <c r="V251" i="1"/>
  <c r="AA251" i="1"/>
  <c r="V243" i="1"/>
  <c r="AA243" i="1"/>
  <c r="V235" i="1"/>
  <c r="AA235" i="1"/>
  <c r="V219" i="1"/>
  <c r="AA219" i="1"/>
  <c r="V211" i="1"/>
  <c r="AA211" i="1"/>
  <c r="V203" i="1"/>
  <c r="AA203" i="1"/>
  <c r="V194" i="1"/>
  <c r="AA194" i="1"/>
  <c r="V186" i="1"/>
  <c r="AA186" i="1"/>
  <c r="V178" i="1"/>
  <c r="AA178" i="1"/>
  <c r="V170" i="1"/>
  <c r="AA170" i="1"/>
  <c r="V162" i="1"/>
  <c r="AA162" i="1"/>
  <c r="V154" i="1"/>
  <c r="AA154" i="1"/>
  <c r="V146" i="1"/>
  <c r="AA146" i="1"/>
  <c r="V138" i="1"/>
  <c r="AA138" i="1"/>
  <c r="V130" i="1"/>
  <c r="AA130" i="1"/>
  <c r="V122" i="1"/>
  <c r="AA122" i="1"/>
  <c r="V114" i="1"/>
  <c r="AA114" i="1"/>
  <c r="V106" i="1"/>
  <c r="AA106" i="1"/>
  <c r="V98" i="1"/>
  <c r="AA98" i="1"/>
  <c r="V90" i="1"/>
  <c r="AA90" i="1"/>
  <c r="V82" i="1"/>
  <c r="AA82" i="1"/>
  <c r="V74" i="1"/>
  <c r="AA74" i="1"/>
  <c r="V66" i="1"/>
  <c r="AA66" i="1"/>
  <c r="V58" i="1"/>
  <c r="AA58" i="1"/>
  <c r="V50" i="1"/>
  <c r="AA50" i="1"/>
  <c r="V42" i="1"/>
  <c r="AA42" i="1"/>
  <c r="V34" i="1"/>
  <c r="AA34" i="1"/>
  <c r="V26" i="1"/>
  <c r="AA26" i="1"/>
  <c r="V18" i="1"/>
  <c r="AA18" i="1"/>
  <c r="V10" i="1"/>
  <c r="AA10" i="1"/>
  <c r="V202" i="1"/>
  <c r="AA202" i="1"/>
  <c r="V806" i="1"/>
  <c r="V304" i="1"/>
  <c r="AA1353" i="1"/>
  <c r="AA1342" i="1"/>
  <c r="AA1328" i="1"/>
  <c r="AA1281" i="1"/>
  <c r="AA1239" i="1"/>
  <c r="AA1217" i="1"/>
  <c r="AA1175" i="1"/>
  <c r="AA1153" i="1"/>
  <c r="AA1111" i="1"/>
  <c r="AA1089" i="1"/>
  <c r="AA1054" i="1"/>
  <c r="AA1015" i="1"/>
  <c r="AA912" i="1"/>
  <c r="AA809" i="1"/>
  <c r="AA688" i="1"/>
  <c r="AA440" i="1"/>
  <c r="AB2" i="1"/>
  <c r="V2" i="1"/>
  <c r="N2" i="1" s="1"/>
  <c r="AA2" i="1"/>
  <c r="N102" i="1"/>
  <c r="AD102" i="1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D202" i="1" l="1"/>
  <c r="D671" i="1"/>
  <c r="AH2" i="1"/>
  <c r="D1085" i="1"/>
  <c r="D807" i="1"/>
  <c r="D873" i="1"/>
  <c r="D1365" i="1"/>
  <c r="D1341" i="1"/>
  <c r="D1325" i="1"/>
  <c r="D1293" i="1"/>
  <c r="D1277" i="1"/>
  <c r="D1253" i="1"/>
  <c r="D1237" i="1"/>
  <c r="D1356" i="1"/>
  <c r="D1324" i="1"/>
  <c r="D1308" i="1"/>
  <c r="D1276" i="1"/>
  <c r="D1244" i="1"/>
  <c r="D1220" i="1"/>
  <c r="D1196" i="1"/>
  <c r="D1172" i="1"/>
  <c r="D1156" i="1"/>
  <c r="D1124" i="1"/>
  <c r="D1092" i="1"/>
  <c r="D1068" i="1"/>
  <c r="D1036" i="1"/>
  <c r="D1020" i="1"/>
  <c r="D1379" i="1"/>
  <c r="D1347" i="1"/>
  <c r="D1370" i="1"/>
  <c r="D1346" i="1"/>
  <c r="D1322" i="1"/>
  <c r="D1298" i="1"/>
  <c r="D1226" i="1"/>
  <c r="D1357" i="1"/>
  <c r="D1317" i="1"/>
  <c r="D1285" i="1"/>
  <c r="D1261" i="1"/>
  <c r="D1229" i="1"/>
  <c r="D1372" i="1"/>
  <c r="D1332" i="1"/>
  <c r="D1292" i="1"/>
  <c r="D1260" i="1"/>
  <c r="D1228" i="1"/>
  <c r="D1188" i="1"/>
  <c r="D1116" i="1"/>
  <c r="D1084" i="1"/>
  <c r="D1044" i="1"/>
  <c r="D1004" i="1"/>
  <c r="D1387" i="1"/>
  <c r="D1355" i="1"/>
  <c r="D1386" i="1"/>
  <c r="D1354" i="1"/>
  <c r="D1330" i="1"/>
  <c r="D1306" i="1"/>
  <c r="D1274" i="1"/>
  <c r="D1258" i="1"/>
  <c r="D1242" i="1"/>
  <c r="D1218" i="1"/>
  <c r="D1266" i="1"/>
  <c r="D1373" i="1"/>
  <c r="D1333" i="1"/>
  <c r="D1301" i="1"/>
  <c r="D1213" i="1"/>
  <c r="D1364" i="1"/>
  <c r="D1340" i="1"/>
  <c r="D1300" i="1"/>
  <c r="D1284" i="1"/>
  <c r="D1252" i="1"/>
  <c r="D1204" i="1"/>
  <c r="D1180" i="1"/>
  <c r="D1148" i="1"/>
  <c r="D1108" i="1"/>
  <c r="D1076" i="1"/>
  <c r="D1052" i="1"/>
  <c r="D1028" i="1"/>
  <c r="D1363" i="1"/>
  <c r="D1378" i="1"/>
  <c r="D1290" i="1"/>
  <c r="D1375" i="1"/>
  <c r="D1359" i="1"/>
  <c r="D1343" i="1"/>
  <c r="D1319" i="1"/>
  <c r="D1311" i="1"/>
  <c r="D1295" i="1"/>
  <c r="D1279" i="1"/>
  <c r="D1271" i="1"/>
  <c r="D1255" i="1"/>
  <c r="D1247" i="1"/>
  <c r="D1239" i="1"/>
  <c r="D1231" i="1"/>
  <c r="D1223" i="1"/>
  <c r="D1215" i="1"/>
  <c r="D1207" i="1"/>
  <c r="D1199" i="1"/>
  <c r="D1191" i="1"/>
  <c r="D1175" i="1"/>
  <c r="D1167" i="1"/>
  <c r="D1159" i="1"/>
  <c r="D1151" i="1"/>
  <c r="D1143" i="1"/>
  <c r="D1135" i="1"/>
  <c r="D1127" i="1"/>
  <c r="D1119" i="1"/>
  <c r="D1111" i="1"/>
  <c r="D1103" i="1"/>
  <c r="D1095" i="1"/>
  <c r="D1087" i="1"/>
  <c r="D1079" i="1"/>
  <c r="D1071" i="1"/>
  <c r="D1063" i="1"/>
  <c r="D1055" i="1"/>
  <c r="D1047" i="1"/>
  <c r="D1039" i="1"/>
  <c r="D1383" i="1"/>
  <c r="D1183" i="1"/>
  <c r="D1140" i="1"/>
  <c r="D1381" i="1"/>
  <c r="D1349" i="1"/>
  <c r="D1309" i="1"/>
  <c r="D1269" i="1"/>
  <c r="D1221" i="1"/>
  <c r="D1380" i="1"/>
  <c r="D1348" i="1"/>
  <c r="D1316" i="1"/>
  <c r="D1268" i="1"/>
  <c r="D1236" i="1"/>
  <c r="D1212" i="1"/>
  <c r="D1164" i="1"/>
  <c r="D1132" i="1"/>
  <c r="D1100" i="1"/>
  <c r="D1060" i="1"/>
  <c r="D1012" i="1"/>
  <c r="D1371" i="1"/>
  <c r="D1339" i="1"/>
  <c r="D1362" i="1"/>
  <c r="D1338" i="1"/>
  <c r="D1314" i="1"/>
  <c r="D1282" i="1"/>
  <c r="D1250" i="1"/>
  <c r="D1234" i="1"/>
  <c r="D1367" i="1"/>
  <c r="D1351" i="1"/>
  <c r="D1335" i="1"/>
  <c r="D1327" i="1"/>
  <c r="D1303" i="1"/>
  <c r="D1263" i="1"/>
  <c r="D1374" i="1"/>
  <c r="D1366" i="1"/>
  <c r="D1358" i="1"/>
  <c r="D1350" i="1"/>
  <c r="D1342" i="1"/>
  <c r="D1334" i="1"/>
  <c r="D1326" i="1"/>
  <c r="D1318" i="1"/>
  <c r="D1310" i="1"/>
  <c r="D1302" i="1"/>
  <c r="D1294" i="1"/>
  <c r="D1286" i="1"/>
  <c r="D1278" i="1"/>
  <c r="D1270" i="1"/>
  <c r="D1262" i="1"/>
  <c r="D1254" i="1"/>
  <c r="D1246" i="1"/>
  <c r="D1238" i="1"/>
  <c r="D1230" i="1"/>
  <c r="D1222" i="1"/>
  <c r="D1214" i="1"/>
  <c r="D1206" i="1"/>
  <c r="D1198" i="1"/>
  <c r="D1190" i="1"/>
  <c r="D1174" i="1"/>
  <c r="D1166" i="1"/>
  <c r="D1158" i="1"/>
  <c r="D1150" i="1"/>
  <c r="D1142" i="1"/>
  <c r="D1134" i="1"/>
  <c r="D1126" i="1"/>
  <c r="D1118" i="1"/>
  <c r="D1110" i="1"/>
  <c r="D1102" i="1"/>
  <c r="D1094" i="1"/>
  <c r="D1086" i="1"/>
  <c r="D1078" i="1"/>
  <c r="D1070" i="1"/>
  <c r="D1062" i="1"/>
  <c r="D1054" i="1"/>
  <c r="D1046" i="1"/>
  <c r="D1038" i="1"/>
  <c r="D1030" i="1"/>
  <c r="D1022" i="1"/>
  <c r="D1014" i="1"/>
  <c r="D1006" i="1"/>
  <c r="D1382" i="1"/>
  <c r="D1245" i="1"/>
  <c r="D1182" i="1"/>
  <c r="D1205" i="1"/>
  <c r="D1197" i="1"/>
  <c r="D1189" i="1"/>
  <c r="D1173" i="1"/>
  <c r="D1165" i="1"/>
  <c r="D1157" i="1"/>
  <c r="D1149" i="1"/>
  <c r="D1141" i="1"/>
  <c r="D1133" i="1"/>
  <c r="D1125" i="1"/>
  <c r="D1117" i="1"/>
  <c r="D1109" i="1"/>
  <c r="D1101" i="1"/>
  <c r="D1093" i="1"/>
  <c r="D1287" i="1"/>
  <c r="D1181" i="1"/>
  <c r="D996" i="1"/>
  <c r="D988" i="1"/>
  <c r="D964" i="1"/>
  <c r="D956" i="1"/>
  <c r="D948" i="1"/>
  <c r="D932" i="1"/>
  <c r="D924" i="1"/>
  <c r="D916" i="1"/>
  <c r="D908" i="1"/>
  <c r="D900" i="1"/>
  <c r="D892" i="1"/>
  <c r="D876" i="1"/>
  <c r="D868" i="1"/>
  <c r="D852" i="1"/>
  <c r="D844" i="1"/>
  <c r="D836" i="1"/>
  <c r="D828" i="1"/>
  <c r="D820" i="1"/>
  <c r="D812" i="1"/>
  <c r="D804" i="1"/>
  <c r="D796" i="1"/>
  <c r="D788" i="1"/>
  <c r="D780" i="1"/>
  <c r="D772" i="1"/>
  <c r="D764" i="1"/>
  <c r="D756" i="1"/>
  <c r="D748" i="1"/>
  <c r="D740" i="1"/>
  <c r="D732" i="1"/>
  <c r="D724" i="1"/>
  <c r="D716" i="1"/>
  <c r="D708" i="1"/>
  <c r="D700" i="1"/>
  <c r="D691" i="1"/>
  <c r="D683" i="1"/>
  <c r="D675" i="1"/>
  <c r="D667" i="1"/>
  <c r="D659" i="1"/>
  <c r="D651" i="1"/>
  <c r="D643" i="1"/>
  <c r="D635" i="1"/>
  <c r="D627" i="1"/>
  <c r="D619" i="1"/>
  <c r="D611" i="1"/>
  <c r="D603" i="1"/>
  <c r="D595" i="1"/>
  <c r="D587" i="1"/>
  <c r="D579" i="1"/>
  <c r="D563" i="1"/>
  <c r="D547" i="1"/>
  <c r="D539" i="1"/>
  <c r="D531" i="1"/>
  <c r="D523" i="1"/>
  <c r="D515" i="1"/>
  <c r="D507" i="1"/>
  <c r="D499" i="1"/>
  <c r="D491" i="1"/>
  <c r="D483" i="1"/>
  <c r="D475" i="1"/>
  <c r="D467" i="1"/>
  <c r="D459" i="1"/>
  <c r="D451" i="1"/>
  <c r="D443" i="1"/>
  <c r="D435" i="1"/>
  <c r="D427" i="1"/>
  <c r="D419" i="1"/>
  <c r="D411" i="1"/>
  <c r="D403" i="1"/>
  <c r="D395" i="1"/>
  <c r="D387" i="1"/>
  <c r="D379" i="1"/>
  <c r="D371" i="1"/>
  <c r="D363" i="1"/>
  <c r="D355" i="1"/>
  <c r="D347" i="1"/>
  <c r="D339" i="1"/>
  <c r="D331" i="1"/>
  <c r="D323" i="1"/>
  <c r="D315" i="1"/>
  <c r="D307" i="1"/>
  <c r="D299" i="1"/>
  <c r="D291" i="1"/>
  <c r="D283" i="1"/>
  <c r="D275" i="1"/>
  <c r="D267" i="1"/>
  <c r="D259" i="1"/>
  <c r="D251" i="1"/>
  <c r="D243" i="1"/>
  <c r="D235" i="1"/>
  <c r="D227" i="1"/>
  <c r="D219" i="1"/>
  <c r="D211" i="1"/>
  <c r="D203" i="1"/>
  <c r="D195" i="1"/>
  <c r="D187" i="1"/>
  <c r="D179" i="1"/>
  <c r="D171" i="1"/>
  <c r="D163" i="1"/>
  <c r="D155" i="1"/>
  <c r="D147" i="1"/>
  <c r="D139" i="1"/>
  <c r="D131" i="1"/>
  <c r="D123" i="1"/>
  <c r="D115" i="1"/>
  <c r="D107" i="1"/>
  <c r="D99" i="1"/>
  <c r="D91" i="1"/>
  <c r="D83" i="1"/>
  <c r="D75" i="1"/>
  <c r="D67" i="1"/>
  <c r="D59" i="1"/>
  <c r="D51" i="1"/>
  <c r="D43" i="1"/>
  <c r="D35" i="1"/>
  <c r="D27" i="1"/>
  <c r="D19" i="1"/>
  <c r="D11" i="1"/>
  <c r="D3" i="1"/>
  <c r="D940" i="1"/>
  <c r="D860" i="1"/>
  <c r="D1331" i="1"/>
  <c r="D1323" i="1"/>
  <c r="D1315" i="1"/>
  <c r="D1307" i="1"/>
  <c r="D1299" i="1"/>
  <c r="D1291" i="1"/>
  <c r="D1283" i="1"/>
  <c r="D1275" i="1"/>
  <c r="D1267" i="1"/>
  <c r="D1259" i="1"/>
  <c r="D1251" i="1"/>
  <c r="D1243" i="1"/>
  <c r="D1235" i="1"/>
  <c r="D1227" i="1"/>
  <c r="D1219" i="1"/>
  <c r="D1211" i="1"/>
  <c r="D1203" i="1"/>
  <c r="D1195" i="1"/>
  <c r="D1187" i="1"/>
  <c r="D1179" i="1"/>
  <c r="D1171" i="1"/>
  <c r="D1163" i="1"/>
  <c r="D1155" i="1"/>
  <c r="D1147" i="1"/>
  <c r="D1139" i="1"/>
  <c r="D1131" i="1"/>
  <c r="D1123" i="1"/>
  <c r="D1115" i="1"/>
  <c r="D1107" i="1"/>
  <c r="D1099" i="1"/>
  <c r="D1091" i="1"/>
  <c r="D1083" i="1"/>
  <c r="D1075" i="1"/>
  <c r="D1067" i="1"/>
  <c r="D1059" i="1"/>
  <c r="D1051" i="1"/>
  <c r="D1043" i="1"/>
  <c r="D1035" i="1"/>
  <c r="D1027" i="1"/>
  <c r="D1019" i="1"/>
  <c r="D1011" i="1"/>
  <c r="D1003" i="1"/>
  <c r="D995" i="1"/>
  <c r="D987" i="1"/>
  <c r="D979" i="1"/>
  <c r="D971" i="1"/>
  <c r="D963" i="1"/>
  <c r="D955" i="1"/>
  <c r="D947" i="1"/>
  <c r="D939" i="1"/>
  <c r="D931" i="1"/>
  <c r="D923" i="1"/>
  <c r="D915" i="1"/>
  <c r="D907" i="1"/>
  <c r="D899" i="1"/>
  <c r="D891" i="1"/>
  <c r="D883" i="1"/>
  <c r="D875" i="1"/>
  <c r="D867" i="1"/>
  <c r="D859" i="1"/>
  <c r="D851" i="1"/>
  <c r="D843" i="1"/>
  <c r="D835" i="1"/>
  <c r="D827" i="1"/>
  <c r="D819" i="1"/>
  <c r="D811" i="1"/>
  <c r="D803" i="1"/>
  <c r="D795" i="1"/>
  <c r="D787" i="1"/>
  <c r="D779" i="1"/>
  <c r="D771" i="1"/>
  <c r="D763" i="1"/>
  <c r="D755" i="1"/>
  <c r="D747" i="1"/>
  <c r="D739" i="1"/>
  <c r="D731" i="1"/>
  <c r="D723" i="1"/>
  <c r="D715" i="1"/>
  <c r="D707" i="1"/>
  <c r="D699" i="1"/>
  <c r="D690" i="1"/>
  <c r="D682" i="1"/>
  <c r="D674" i="1"/>
  <c r="D666" i="1"/>
  <c r="D658" i="1"/>
  <c r="D650" i="1"/>
  <c r="D642" i="1"/>
  <c r="D634" i="1"/>
  <c r="D626" i="1"/>
  <c r="D618" i="1"/>
  <c r="D610" i="1"/>
  <c r="D602" i="1"/>
  <c r="D594" i="1"/>
  <c r="D586" i="1"/>
  <c r="D578" i="1"/>
  <c r="D570" i="1"/>
  <c r="D562" i="1"/>
  <c r="D554" i="1"/>
  <c r="D546" i="1"/>
  <c r="D538" i="1"/>
  <c r="D530" i="1"/>
  <c r="D522" i="1"/>
  <c r="D514" i="1"/>
  <c r="D506" i="1"/>
  <c r="D498" i="1"/>
  <c r="D490" i="1"/>
  <c r="D482" i="1"/>
  <c r="D474" i="1"/>
  <c r="D466" i="1"/>
  <c r="D458" i="1"/>
  <c r="D450" i="1"/>
  <c r="D442" i="1"/>
  <c r="D434" i="1"/>
  <c r="D426" i="1"/>
  <c r="D418" i="1"/>
  <c r="D410" i="1"/>
  <c r="D402" i="1"/>
  <c r="D394" i="1"/>
  <c r="D386" i="1"/>
  <c r="D378" i="1"/>
  <c r="D370" i="1"/>
  <c r="D362" i="1"/>
  <c r="D354" i="1"/>
  <c r="D346" i="1"/>
  <c r="D338" i="1"/>
  <c r="D330" i="1"/>
  <c r="D322" i="1"/>
  <c r="D314" i="1"/>
  <c r="D306" i="1"/>
  <c r="D298" i="1"/>
  <c r="D290" i="1"/>
  <c r="D282" i="1"/>
  <c r="D274" i="1"/>
  <c r="D266" i="1"/>
  <c r="D258" i="1"/>
  <c r="D250" i="1"/>
  <c r="D242" i="1"/>
  <c r="D234" i="1"/>
  <c r="D226" i="1"/>
  <c r="D218" i="1"/>
  <c r="D210" i="1"/>
  <c r="D194" i="1"/>
  <c r="D186" i="1"/>
  <c r="D178" i="1"/>
  <c r="D170" i="1"/>
  <c r="D162" i="1"/>
  <c r="D154" i="1"/>
  <c r="D146" i="1"/>
  <c r="D138" i="1"/>
  <c r="D130" i="1"/>
  <c r="D122" i="1"/>
  <c r="D114" i="1"/>
  <c r="D106" i="1"/>
  <c r="D98" i="1"/>
  <c r="D90" i="1"/>
  <c r="D82" i="1"/>
  <c r="D74" i="1"/>
  <c r="D66" i="1"/>
  <c r="D58" i="1"/>
  <c r="D50" i="1"/>
  <c r="D42" i="1"/>
  <c r="D34" i="1"/>
  <c r="D26" i="1"/>
  <c r="D18" i="1"/>
  <c r="D10" i="1"/>
  <c r="D2" i="1"/>
  <c r="D571" i="1"/>
  <c r="D1202" i="1"/>
  <c r="D1130" i="1"/>
  <c r="D1114" i="1"/>
  <c r="D1090" i="1"/>
  <c r="D1066" i="1"/>
  <c r="D1010" i="1"/>
  <c r="D970" i="1"/>
  <c r="D962" i="1"/>
  <c r="D946" i="1"/>
  <c r="D930" i="1"/>
  <c r="D922" i="1"/>
  <c r="D914" i="1"/>
  <c r="D906" i="1"/>
  <c r="D898" i="1"/>
  <c r="D890" i="1"/>
  <c r="D874" i="1"/>
  <c r="D866" i="1"/>
  <c r="D858" i="1"/>
  <c r="D850" i="1"/>
  <c r="D842" i="1"/>
  <c r="D834" i="1"/>
  <c r="D826" i="1"/>
  <c r="D818" i="1"/>
  <c r="D810" i="1"/>
  <c r="D802" i="1"/>
  <c r="D794" i="1"/>
  <c r="D786" i="1"/>
  <c r="D778" i="1"/>
  <c r="D770" i="1"/>
  <c r="D762" i="1"/>
  <c r="D746" i="1"/>
  <c r="D738" i="1"/>
  <c r="D730" i="1"/>
  <c r="D722" i="1"/>
  <c r="D714" i="1"/>
  <c r="D706" i="1"/>
  <c r="D698" i="1"/>
  <c r="D689" i="1"/>
  <c r="D681" i="1"/>
  <c r="D673" i="1"/>
  <c r="D665" i="1"/>
  <c r="D657" i="1"/>
  <c r="D649" i="1"/>
  <c r="D641" i="1"/>
  <c r="D633" i="1"/>
  <c r="D625" i="1"/>
  <c r="D617" i="1"/>
  <c r="D609" i="1"/>
  <c r="D601" i="1"/>
  <c r="D593" i="1"/>
  <c r="D585" i="1"/>
  <c r="D577" i="1"/>
  <c r="D569" i="1"/>
  <c r="D561" i="1"/>
  <c r="D553" i="1"/>
  <c r="D545" i="1"/>
  <c r="D537" i="1"/>
  <c r="D529" i="1"/>
  <c r="D521" i="1"/>
  <c r="D513" i="1"/>
  <c r="D505" i="1"/>
  <c r="D497" i="1"/>
  <c r="D489" i="1"/>
  <c r="D481" i="1"/>
  <c r="D473" i="1"/>
  <c r="D465" i="1"/>
  <c r="D457" i="1"/>
  <c r="D449" i="1"/>
  <c r="D441" i="1"/>
  <c r="D433" i="1"/>
  <c r="D425" i="1"/>
  <c r="D417" i="1"/>
  <c r="D409" i="1"/>
  <c r="D401" i="1"/>
  <c r="D393" i="1"/>
  <c r="D385" i="1"/>
  <c r="D377" i="1"/>
  <c r="D369" i="1"/>
  <c r="D361" i="1"/>
  <c r="D353" i="1"/>
  <c r="D345" i="1"/>
  <c r="D337" i="1"/>
  <c r="D329" i="1"/>
  <c r="D321" i="1"/>
  <c r="D313" i="1"/>
  <c r="D305" i="1"/>
  <c r="D297" i="1"/>
  <c r="D289" i="1"/>
  <c r="D281" i="1"/>
  <c r="D273" i="1"/>
  <c r="D265" i="1"/>
  <c r="D257" i="1"/>
  <c r="D249" i="1"/>
  <c r="D241" i="1"/>
  <c r="D233" i="1"/>
  <c r="D225" i="1"/>
  <c r="D217" i="1"/>
  <c r="D209" i="1"/>
  <c r="D201" i="1"/>
  <c r="D193" i="1"/>
  <c r="D185" i="1"/>
  <c r="D177" i="1"/>
  <c r="D169" i="1"/>
  <c r="D161" i="1"/>
  <c r="D153" i="1"/>
  <c r="D145" i="1"/>
  <c r="D137" i="1"/>
  <c r="D129" i="1"/>
  <c r="D121" i="1"/>
  <c r="D113" i="1"/>
  <c r="D105" i="1"/>
  <c r="D89" i="1"/>
  <c r="D81" i="1"/>
  <c r="D73" i="1"/>
  <c r="D65" i="1"/>
  <c r="D57" i="1"/>
  <c r="D49" i="1"/>
  <c r="D41" i="1"/>
  <c r="D33" i="1"/>
  <c r="D25" i="1"/>
  <c r="D17" i="1"/>
  <c r="D9" i="1"/>
  <c r="D980" i="1"/>
  <c r="D884" i="1"/>
  <c r="D555" i="1"/>
  <c r="D1210" i="1"/>
  <c r="D1186" i="1"/>
  <c r="D1178" i="1"/>
  <c r="D1154" i="1"/>
  <c r="D1138" i="1"/>
  <c r="D1098" i="1"/>
  <c r="D1074" i="1"/>
  <c r="D1050" i="1"/>
  <c r="D1026" i="1"/>
  <c r="D1002" i="1"/>
  <c r="D986" i="1"/>
  <c r="D954" i="1"/>
  <c r="D1289" i="1"/>
  <c r="D1273" i="1"/>
  <c r="D1257" i="1"/>
  <c r="D1241" i="1"/>
  <c r="D1225" i="1"/>
  <c r="D1209" i="1"/>
  <c r="D1193" i="1"/>
  <c r="D1177" i="1"/>
  <c r="D1161" i="1"/>
  <c r="D1145" i="1"/>
  <c r="D1129" i="1"/>
  <c r="D1121" i="1"/>
  <c r="D1105" i="1"/>
  <c r="D1089" i="1"/>
  <c r="D1073" i="1"/>
  <c r="D1057" i="1"/>
  <c r="D1041" i="1"/>
  <c r="D1017" i="1"/>
  <c r="D1001" i="1"/>
  <c r="D993" i="1"/>
  <c r="D977" i="1"/>
  <c r="D961" i="1"/>
  <c r="D945" i="1"/>
  <c r="D929" i="1"/>
  <c r="D921" i="1"/>
  <c r="D905" i="1"/>
  <c r="D889" i="1"/>
  <c r="D857" i="1"/>
  <c r="D825" i="1"/>
  <c r="D809" i="1"/>
  <c r="D801" i="1"/>
  <c r="D785" i="1"/>
  <c r="D769" i="1"/>
  <c r="D753" i="1"/>
  <c r="D737" i="1"/>
  <c r="D729" i="1"/>
  <c r="D721" i="1"/>
  <c r="D713" i="1"/>
  <c r="D697" i="1"/>
  <c r="D688" i="1"/>
  <c r="D680" i="1"/>
  <c r="D672" i="1"/>
  <c r="D664" i="1"/>
  <c r="D656" i="1"/>
  <c r="D648" i="1"/>
  <c r="D640" i="1"/>
  <c r="D632" i="1"/>
  <c r="D624" i="1"/>
  <c r="D616" i="1"/>
  <c r="D608" i="1"/>
  <c r="D600" i="1"/>
  <c r="D592" i="1"/>
  <c r="D584" i="1"/>
  <c r="D576" i="1"/>
  <c r="D568" i="1"/>
  <c r="D560" i="1"/>
  <c r="D552" i="1"/>
  <c r="D544" i="1"/>
  <c r="D536" i="1"/>
  <c r="D528" i="1"/>
  <c r="D520" i="1"/>
  <c r="D512" i="1"/>
  <c r="D504" i="1"/>
  <c r="D496" i="1"/>
  <c r="D488" i="1"/>
  <c r="D480" i="1"/>
  <c r="D472" i="1"/>
  <c r="D464" i="1"/>
  <c r="D456" i="1"/>
  <c r="D448" i="1"/>
  <c r="D440" i="1"/>
  <c r="D432" i="1"/>
  <c r="D424" i="1"/>
  <c r="D416" i="1"/>
  <c r="D408" i="1"/>
  <c r="D400" i="1"/>
  <c r="D392" i="1"/>
  <c r="D384" i="1"/>
  <c r="D368" i="1"/>
  <c r="D360" i="1"/>
  <c r="D352" i="1"/>
  <c r="D344" i="1"/>
  <c r="D336" i="1"/>
  <c r="D328" i="1"/>
  <c r="D320" i="1"/>
  <c r="D312" i="1"/>
  <c r="D304" i="1"/>
  <c r="D296" i="1"/>
  <c r="D288" i="1"/>
  <c r="D280" i="1"/>
  <c r="D272" i="1"/>
  <c r="D264" i="1"/>
  <c r="D256" i="1"/>
  <c r="D248" i="1"/>
  <c r="D240" i="1"/>
  <c r="D232" i="1"/>
  <c r="D224" i="1"/>
  <c r="D216" i="1"/>
  <c r="D208" i="1"/>
  <c r="D200" i="1"/>
  <c r="D192" i="1"/>
  <c r="D184" i="1"/>
  <c r="D176" i="1"/>
  <c r="D168" i="1"/>
  <c r="D160" i="1"/>
  <c r="D152" i="1"/>
  <c r="D144" i="1"/>
  <c r="D136" i="1"/>
  <c r="D128" i="1"/>
  <c r="D120" i="1"/>
  <c r="D112" i="1"/>
  <c r="D104" i="1"/>
  <c r="D96" i="1"/>
  <c r="D88" i="1"/>
  <c r="D80" i="1"/>
  <c r="D72" i="1"/>
  <c r="D64" i="1"/>
  <c r="D56" i="1"/>
  <c r="D48" i="1"/>
  <c r="D40" i="1"/>
  <c r="D32" i="1"/>
  <c r="D24" i="1"/>
  <c r="D16" i="1"/>
  <c r="D8" i="1"/>
  <c r="D1170" i="1"/>
  <c r="D1042" i="1"/>
  <c r="D978" i="1"/>
  <c r="D882" i="1"/>
  <c r="D376" i="1"/>
  <c r="D1194" i="1"/>
  <c r="D1162" i="1"/>
  <c r="D1146" i="1"/>
  <c r="D1122" i="1"/>
  <c r="D1106" i="1"/>
  <c r="D1082" i="1"/>
  <c r="D1058" i="1"/>
  <c r="D1034" i="1"/>
  <c r="D1018" i="1"/>
  <c r="D994" i="1"/>
  <c r="D938" i="1"/>
  <c r="D1377" i="1"/>
  <c r="D1361" i="1"/>
  <c r="D1345" i="1"/>
  <c r="D1329" i="1"/>
  <c r="D1313" i="1"/>
  <c r="D1297" i="1"/>
  <c r="D1281" i="1"/>
  <c r="D1265" i="1"/>
  <c r="D1249" i="1"/>
  <c r="D1233" i="1"/>
  <c r="D1217" i="1"/>
  <c r="D1201" i="1"/>
  <c r="D1185" i="1"/>
  <c r="D1169" i="1"/>
  <c r="D1153" i="1"/>
  <c r="D1137" i="1"/>
  <c r="D1113" i="1"/>
  <c r="D1097" i="1"/>
  <c r="D1081" i="1"/>
  <c r="D1065" i="1"/>
  <c r="D1049" i="1"/>
  <c r="D1033" i="1"/>
  <c r="D1025" i="1"/>
  <c r="D1009" i="1"/>
  <c r="D985" i="1"/>
  <c r="D969" i="1"/>
  <c r="D953" i="1"/>
  <c r="D937" i="1"/>
  <c r="D913" i="1"/>
  <c r="D897" i="1"/>
  <c r="D881" i="1"/>
  <c r="D865" i="1"/>
  <c r="D849" i="1"/>
  <c r="D833" i="1"/>
  <c r="D817" i="1"/>
  <c r="D793" i="1"/>
  <c r="D777" i="1"/>
  <c r="D761" i="1"/>
  <c r="D745" i="1"/>
  <c r="D705" i="1"/>
  <c r="D1384" i="1"/>
  <c r="D1376" i="1"/>
  <c r="D1368" i="1"/>
  <c r="D1360" i="1"/>
  <c r="D1352" i="1"/>
  <c r="D1344" i="1"/>
  <c r="D1336" i="1"/>
  <c r="D1328" i="1"/>
  <c r="D1320" i="1"/>
  <c r="D1312" i="1"/>
  <c r="D1304" i="1"/>
  <c r="D1296" i="1"/>
  <c r="D1288" i="1"/>
  <c r="D1280" i="1"/>
  <c r="D1272" i="1"/>
  <c r="D1264" i="1"/>
  <c r="D1256" i="1"/>
  <c r="D1240" i="1"/>
  <c r="D1232" i="1"/>
  <c r="D1224" i="1"/>
  <c r="D1216" i="1"/>
  <c r="D1208" i="1"/>
  <c r="D1200" i="1"/>
  <c r="D1192" i="1"/>
  <c r="D1176" i="1"/>
  <c r="D1168" i="1"/>
  <c r="D1160" i="1"/>
  <c r="D1152" i="1"/>
  <c r="D1144" i="1"/>
  <c r="D1136" i="1"/>
  <c r="D1128" i="1"/>
  <c r="D1112" i="1"/>
  <c r="D1104" i="1"/>
  <c r="D1096" i="1"/>
  <c r="D1088" i="1"/>
  <c r="D1080" i="1"/>
  <c r="D1072" i="1"/>
  <c r="D1064" i="1"/>
  <c r="D1048" i="1"/>
  <c r="D1040" i="1"/>
  <c r="D1032" i="1"/>
  <c r="D1024" i="1"/>
  <c r="D1016" i="1"/>
  <c r="D1008" i="1"/>
  <c r="D1000" i="1"/>
  <c r="D984" i="1"/>
  <c r="D976" i="1"/>
  <c r="D968" i="1"/>
  <c r="D960" i="1"/>
  <c r="D952" i="1"/>
  <c r="D944" i="1"/>
  <c r="D1385" i="1"/>
  <c r="D1369" i="1"/>
  <c r="D1353" i="1"/>
  <c r="D1337" i="1"/>
  <c r="D1321" i="1"/>
  <c r="D1305" i="1"/>
  <c r="D1248" i="1"/>
  <c r="D1184" i="1"/>
  <c r="D1120" i="1"/>
  <c r="D1056" i="1"/>
  <c r="D992" i="1"/>
  <c r="D972" i="1"/>
  <c r="D841" i="1"/>
  <c r="D754" i="1"/>
  <c r="D97" i="1"/>
  <c r="D936" i="1"/>
  <c r="D928" i="1"/>
  <c r="D920" i="1"/>
  <c r="D912" i="1"/>
  <c r="D904" i="1"/>
  <c r="D896" i="1"/>
  <c r="D888" i="1"/>
  <c r="D880" i="1"/>
  <c r="D872" i="1"/>
  <c r="D864" i="1"/>
  <c r="D856" i="1"/>
  <c r="D848" i="1"/>
  <c r="D840" i="1"/>
  <c r="D832" i="1"/>
  <c r="D816" i="1"/>
  <c r="D800" i="1"/>
  <c r="D792" i="1"/>
  <c r="D784" i="1"/>
  <c r="D776" i="1"/>
  <c r="D768" i="1"/>
  <c r="D752" i="1"/>
  <c r="D736" i="1"/>
  <c r="D728" i="1"/>
  <c r="D720" i="1"/>
  <c r="D712" i="1"/>
  <c r="D704" i="1"/>
  <c r="D687" i="1"/>
  <c r="D679" i="1"/>
  <c r="D663" i="1"/>
  <c r="D655" i="1"/>
  <c r="D647" i="1"/>
  <c r="D639" i="1"/>
  <c r="D631" i="1"/>
  <c r="D623" i="1"/>
  <c r="D615" i="1"/>
  <c r="D607" i="1"/>
  <c r="D599" i="1"/>
  <c r="D591" i="1"/>
  <c r="D583" i="1"/>
  <c r="D575" i="1"/>
  <c r="D567" i="1"/>
  <c r="D559" i="1"/>
  <c r="D551" i="1"/>
  <c r="D543" i="1"/>
  <c r="D535" i="1"/>
  <c r="D527" i="1"/>
  <c r="D519" i="1"/>
  <c r="D511" i="1"/>
  <c r="D503" i="1"/>
  <c r="D495" i="1"/>
  <c r="D487" i="1"/>
  <c r="D479" i="1"/>
  <c r="D471" i="1"/>
  <c r="D463" i="1"/>
  <c r="D455" i="1"/>
  <c r="D447" i="1"/>
  <c r="D439" i="1"/>
  <c r="D431" i="1"/>
  <c r="D423" i="1"/>
  <c r="D415" i="1"/>
  <c r="D407" i="1"/>
  <c r="D399" i="1"/>
  <c r="D391" i="1"/>
  <c r="D383" i="1"/>
  <c r="D375" i="1"/>
  <c r="D367" i="1"/>
  <c r="D359" i="1"/>
  <c r="D351" i="1"/>
  <c r="D343" i="1"/>
  <c r="D335" i="1"/>
  <c r="D327" i="1"/>
  <c r="D319" i="1"/>
  <c r="D311" i="1"/>
  <c r="D303" i="1"/>
  <c r="D295" i="1"/>
  <c r="D287" i="1"/>
  <c r="D279" i="1"/>
  <c r="D271" i="1"/>
  <c r="D263" i="1"/>
  <c r="D255" i="1"/>
  <c r="D247" i="1"/>
  <c r="D239" i="1"/>
  <c r="D231" i="1"/>
  <c r="D223" i="1"/>
  <c r="D215" i="1"/>
  <c r="D207" i="1"/>
  <c r="D199" i="1"/>
  <c r="D191" i="1"/>
  <c r="D183" i="1"/>
  <c r="D175" i="1"/>
  <c r="D167" i="1"/>
  <c r="D159" i="1"/>
  <c r="D151" i="1"/>
  <c r="D143" i="1"/>
  <c r="D135" i="1"/>
  <c r="D127" i="1"/>
  <c r="D119" i="1"/>
  <c r="D111" i="1"/>
  <c r="D103" i="1"/>
  <c r="D95" i="1"/>
  <c r="D87" i="1"/>
  <c r="D79" i="1"/>
  <c r="D71" i="1"/>
  <c r="D63" i="1"/>
  <c r="D55" i="1"/>
  <c r="D47" i="1"/>
  <c r="D39" i="1"/>
  <c r="D31" i="1"/>
  <c r="D23" i="1"/>
  <c r="D15" i="1"/>
  <c r="D7" i="1"/>
  <c r="D998" i="1"/>
  <c r="D1031" i="1"/>
  <c r="D1023" i="1"/>
  <c r="D999" i="1"/>
  <c r="D991" i="1"/>
  <c r="D983" i="1"/>
  <c r="D967" i="1"/>
  <c r="D959" i="1"/>
  <c r="D935" i="1"/>
  <c r="D927" i="1"/>
  <c r="D919" i="1"/>
  <c r="D911" i="1"/>
  <c r="D903" i="1"/>
  <c r="D895" i="1"/>
  <c r="D887" i="1"/>
  <c r="D871" i="1"/>
  <c r="D863" i="1"/>
  <c r="D855" i="1"/>
  <c r="D847" i="1"/>
  <c r="D839" i="1"/>
  <c r="D831" i="1"/>
  <c r="D823" i="1"/>
  <c r="D815" i="1"/>
  <c r="D799" i="1"/>
  <c r="D791" i="1"/>
  <c r="D783" i="1"/>
  <c r="D775" i="1"/>
  <c r="D759" i="1"/>
  <c r="D751" i="1"/>
  <c r="D735" i="1"/>
  <c r="D727" i="1"/>
  <c r="D719" i="1"/>
  <c r="D711" i="1"/>
  <c r="D703" i="1"/>
  <c r="D686" i="1"/>
  <c r="D678" i="1"/>
  <c r="D670" i="1"/>
  <c r="D662" i="1"/>
  <c r="D646" i="1"/>
  <c r="D638" i="1"/>
  <c r="D630" i="1"/>
  <c r="D622" i="1"/>
  <c r="D614" i="1"/>
  <c r="D606" i="1"/>
  <c r="D598" i="1"/>
  <c r="D590" i="1"/>
  <c r="D574" i="1"/>
  <c r="D566" i="1"/>
  <c r="D558" i="1"/>
  <c r="D550" i="1"/>
  <c r="D542" i="1"/>
  <c r="D534" i="1"/>
  <c r="D526" i="1"/>
  <c r="D518" i="1"/>
  <c r="D510" i="1"/>
  <c r="D502" i="1"/>
  <c r="D494" i="1"/>
  <c r="D486" i="1"/>
  <c r="D478" i="1"/>
  <c r="D462" i="1"/>
  <c r="D454" i="1"/>
  <c r="D446" i="1"/>
  <c r="D438" i="1"/>
  <c r="D430" i="1"/>
  <c r="D422" i="1"/>
  <c r="D414" i="1"/>
  <c r="D406" i="1"/>
  <c r="D390" i="1"/>
  <c r="D382" i="1"/>
  <c r="D374" i="1"/>
  <c r="D366" i="1"/>
  <c r="D358" i="1"/>
  <c r="D350" i="1"/>
  <c r="D342" i="1"/>
  <c r="D334" i="1"/>
  <c r="D326" i="1"/>
  <c r="D318" i="1"/>
  <c r="D310" i="1"/>
  <c r="D302" i="1"/>
  <c r="D294" i="1"/>
  <c r="D286" i="1"/>
  <c r="D278" i="1"/>
  <c r="D270" i="1"/>
  <c r="D262" i="1"/>
  <c r="D254" i="1"/>
  <c r="D246" i="1"/>
  <c r="D238" i="1"/>
  <c r="D230" i="1"/>
  <c r="D222" i="1"/>
  <c r="D214" i="1"/>
  <c r="D206" i="1"/>
  <c r="D198" i="1"/>
  <c r="D182" i="1"/>
  <c r="D174" i="1"/>
  <c r="D166" i="1"/>
  <c r="D158" i="1"/>
  <c r="D150" i="1"/>
  <c r="D142" i="1"/>
  <c r="D134" i="1"/>
  <c r="D126" i="1"/>
  <c r="D118" i="1"/>
  <c r="D110" i="1"/>
  <c r="D102" i="1"/>
  <c r="D94" i="1"/>
  <c r="D86" i="1"/>
  <c r="D78" i="1"/>
  <c r="D70" i="1"/>
  <c r="D62" i="1"/>
  <c r="D54" i="1"/>
  <c r="D46" i="1"/>
  <c r="D38" i="1"/>
  <c r="D22" i="1"/>
  <c r="D14" i="1"/>
  <c r="D6" i="1"/>
  <c r="D1007" i="1"/>
  <c r="D975" i="1"/>
  <c r="D943" i="1"/>
  <c r="D879" i="1"/>
  <c r="D808" i="1"/>
  <c r="D767" i="1"/>
  <c r="D744" i="1"/>
  <c r="D696" i="1"/>
  <c r="D990" i="1"/>
  <c r="D982" i="1"/>
  <c r="D966" i="1"/>
  <c r="D958" i="1"/>
  <c r="D950" i="1"/>
  <c r="D934" i="1"/>
  <c r="D926" i="1"/>
  <c r="D910" i="1"/>
  <c r="D902" i="1"/>
  <c r="D894" i="1"/>
  <c r="D886" i="1"/>
  <c r="D878" i="1"/>
  <c r="D870" i="1"/>
  <c r="D862" i="1"/>
  <c r="D854" i="1"/>
  <c r="D846" i="1"/>
  <c r="D838" i="1"/>
  <c r="D830" i="1"/>
  <c r="D822" i="1"/>
  <c r="D814" i="1"/>
  <c r="D806" i="1"/>
  <c r="D798" i="1"/>
  <c r="D790" i="1"/>
  <c r="D782" i="1"/>
  <c r="D774" i="1"/>
  <c r="D766" i="1"/>
  <c r="D758" i="1"/>
  <c r="D750" i="1"/>
  <c r="D742" i="1"/>
  <c r="D734" i="1"/>
  <c r="D726" i="1"/>
  <c r="D718" i="1"/>
  <c r="D710" i="1"/>
  <c r="D702" i="1"/>
  <c r="D693" i="1"/>
  <c r="D685" i="1"/>
  <c r="D677" i="1"/>
  <c r="D669" i="1"/>
  <c r="D661" i="1"/>
  <c r="D653" i="1"/>
  <c r="D645" i="1"/>
  <c r="D637" i="1"/>
  <c r="D629" i="1"/>
  <c r="D621" i="1"/>
  <c r="D613" i="1"/>
  <c r="D605" i="1"/>
  <c r="D597" i="1"/>
  <c r="D589" i="1"/>
  <c r="D581" i="1"/>
  <c r="D573" i="1"/>
  <c r="D565" i="1"/>
  <c r="D557" i="1"/>
  <c r="D549" i="1"/>
  <c r="D541" i="1"/>
  <c r="D533" i="1"/>
  <c r="D525" i="1"/>
  <c r="D517" i="1"/>
  <c r="D509" i="1"/>
  <c r="D501" i="1"/>
  <c r="D493" i="1"/>
  <c r="D485" i="1"/>
  <c r="D477" i="1"/>
  <c r="D469" i="1"/>
  <c r="D461" i="1"/>
  <c r="D453" i="1"/>
  <c r="D445" i="1"/>
  <c r="D437" i="1"/>
  <c r="D429" i="1"/>
  <c r="D421" i="1"/>
  <c r="D413" i="1"/>
  <c r="D405" i="1"/>
  <c r="D397" i="1"/>
  <c r="D389" i="1"/>
  <c r="D381" i="1"/>
  <c r="D373" i="1"/>
  <c r="D365" i="1"/>
  <c r="D357" i="1"/>
  <c r="D349" i="1"/>
  <c r="D341" i="1"/>
  <c r="D333" i="1"/>
  <c r="D325" i="1"/>
  <c r="D317" i="1"/>
  <c r="D309" i="1"/>
  <c r="D301" i="1"/>
  <c r="D293" i="1"/>
  <c r="D285" i="1"/>
  <c r="D277" i="1"/>
  <c r="D269" i="1"/>
  <c r="D261" i="1"/>
  <c r="D253" i="1"/>
  <c r="D245" i="1"/>
  <c r="D237" i="1"/>
  <c r="D229" i="1"/>
  <c r="D221" i="1"/>
  <c r="D213" i="1"/>
  <c r="D205" i="1"/>
  <c r="D197" i="1"/>
  <c r="D189" i="1"/>
  <c r="D181" i="1"/>
  <c r="D173" i="1"/>
  <c r="D165" i="1"/>
  <c r="D157" i="1"/>
  <c r="D149" i="1"/>
  <c r="D141" i="1"/>
  <c r="D133" i="1"/>
  <c r="D125" i="1"/>
  <c r="D117" i="1"/>
  <c r="D109" i="1"/>
  <c r="D101" i="1"/>
  <c r="D93" i="1"/>
  <c r="D85" i="1"/>
  <c r="D77" i="1"/>
  <c r="D69" i="1"/>
  <c r="D61" i="1"/>
  <c r="D53" i="1"/>
  <c r="D45" i="1"/>
  <c r="D37" i="1"/>
  <c r="D29" i="1"/>
  <c r="D21" i="1"/>
  <c r="D13" i="1"/>
  <c r="D5" i="1"/>
  <c r="D974" i="1"/>
  <c r="D942" i="1"/>
  <c r="D743" i="1"/>
  <c r="D695" i="1"/>
  <c r="D654" i="1"/>
  <c r="D470" i="1"/>
  <c r="D398" i="1"/>
  <c r="D190" i="1"/>
  <c r="D1077" i="1"/>
  <c r="D1069" i="1"/>
  <c r="D1061" i="1"/>
  <c r="D1053" i="1"/>
  <c r="D1045" i="1"/>
  <c r="D1029" i="1"/>
  <c r="D1021" i="1"/>
  <c r="D1013" i="1"/>
  <c r="D1005" i="1"/>
  <c r="D997" i="1"/>
  <c r="D989" i="1"/>
  <c r="D981" i="1"/>
  <c r="D965" i="1"/>
  <c r="D957" i="1"/>
  <c r="D949" i="1"/>
  <c r="D941" i="1"/>
  <c r="D933" i="1"/>
  <c r="D925" i="1"/>
  <c r="D917" i="1"/>
  <c r="D909" i="1"/>
  <c r="D901" i="1"/>
  <c r="D893" i="1"/>
  <c r="D885" i="1"/>
  <c r="D877" i="1"/>
  <c r="D869" i="1"/>
  <c r="D861" i="1"/>
  <c r="D853" i="1"/>
  <c r="D845" i="1"/>
  <c r="D837" i="1"/>
  <c r="D829" i="1"/>
  <c r="D821" i="1"/>
  <c r="D813" i="1"/>
  <c r="D805" i="1"/>
  <c r="D797" i="1"/>
  <c r="D789" i="1"/>
  <c r="D781" i="1"/>
  <c r="D773" i="1"/>
  <c r="D765" i="1"/>
  <c r="D757" i="1"/>
  <c r="D749" i="1"/>
  <c r="D741" i="1"/>
  <c r="D733" i="1"/>
  <c r="D725" i="1"/>
  <c r="D717" i="1"/>
  <c r="D709" i="1"/>
  <c r="D701" i="1"/>
  <c r="D692" i="1"/>
  <c r="D684" i="1"/>
  <c r="D676" i="1"/>
  <c r="D668" i="1"/>
  <c r="D660" i="1"/>
  <c r="D652" i="1"/>
  <c r="D636" i="1"/>
  <c r="D628" i="1"/>
  <c r="D620" i="1"/>
  <c r="D612" i="1"/>
  <c r="D604" i="1"/>
  <c r="D596" i="1"/>
  <c r="D588" i="1"/>
  <c r="D580" i="1"/>
  <c r="D572" i="1"/>
  <c r="D564" i="1"/>
  <c r="D556" i="1"/>
  <c r="D548" i="1"/>
  <c r="D540" i="1"/>
  <c r="D532" i="1"/>
  <c r="D524" i="1"/>
  <c r="D516" i="1"/>
  <c r="D508" i="1"/>
  <c r="D500" i="1"/>
  <c r="D492" i="1"/>
  <c r="D484" i="1"/>
  <c r="D476" i="1"/>
  <c r="D468" i="1"/>
  <c r="D452" i="1"/>
  <c r="D444" i="1"/>
  <c r="D436" i="1"/>
  <c r="D428" i="1"/>
  <c r="D420" i="1"/>
  <c r="D412" i="1"/>
  <c r="D404" i="1"/>
  <c r="D396" i="1"/>
  <c r="D388" i="1"/>
  <c r="D380" i="1"/>
  <c r="D372" i="1"/>
  <c r="D364" i="1"/>
  <c r="D356" i="1"/>
  <c r="D348" i="1"/>
  <c r="D340" i="1"/>
  <c r="D332" i="1"/>
  <c r="D324" i="1"/>
  <c r="D316" i="1"/>
  <c r="D308" i="1"/>
  <c r="D300" i="1"/>
  <c r="D292" i="1"/>
  <c r="D284" i="1"/>
  <c r="D276" i="1"/>
  <c r="D268" i="1"/>
  <c r="D260" i="1"/>
  <c r="D252" i="1"/>
  <c r="D244" i="1"/>
  <c r="D236" i="1"/>
  <c r="D228" i="1"/>
  <c r="D220" i="1"/>
  <c r="D212" i="1"/>
  <c r="D204" i="1"/>
  <c r="D196" i="1"/>
  <c r="D188" i="1"/>
  <c r="D180" i="1"/>
  <c r="D172" i="1"/>
  <c r="D164" i="1"/>
  <c r="D156" i="1"/>
  <c r="D148" i="1"/>
  <c r="D140" i="1"/>
  <c r="D132" i="1"/>
  <c r="D124" i="1"/>
  <c r="D116" i="1"/>
  <c r="D108" i="1"/>
  <c r="D100" i="1"/>
  <c r="D92" i="1"/>
  <c r="D84" i="1"/>
  <c r="D76" i="1"/>
  <c r="D68" i="1"/>
  <c r="D60" i="1"/>
  <c r="D52" i="1"/>
  <c r="D44" i="1"/>
  <c r="D36" i="1"/>
  <c r="D28" i="1"/>
  <c r="D20" i="1"/>
  <c r="D12" i="1"/>
  <c r="D4" i="1"/>
  <c r="D1037" i="1"/>
  <c r="D1015" i="1"/>
  <c r="D973" i="1"/>
  <c r="D951" i="1"/>
  <c r="D918" i="1"/>
  <c r="D824" i="1"/>
  <c r="D760" i="1"/>
  <c r="D694" i="1"/>
  <c r="D644" i="1"/>
  <c r="D582" i="1"/>
  <c r="D460" i="1"/>
  <c r="D30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U2" i="1"/>
  <c r="U10" i="1"/>
  <c r="U18" i="1"/>
  <c r="U19" i="1"/>
  <c r="U20" i="1"/>
  <c r="U28" i="1"/>
  <c r="U35" i="1"/>
  <c r="U41" i="1"/>
  <c r="U42" i="1"/>
  <c r="U47" i="1"/>
  <c r="U50" i="1"/>
  <c r="U60" i="1"/>
  <c r="U67" i="1"/>
  <c r="U72" i="1"/>
  <c r="U74" i="1"/>
  <c r="U82" i="1"/>
  <c r="U83" i="1"/>
  <c r="U84" i="1"/>
  <c r="U89" i="1"/>
  <c r="U92" i="1"/>
  <c r="U99" i="1"/>
  <c r="U106" i="1"/>
  <c r="U111" i="1"/>
  <c r="U114" i="1"/>
  <c r="U124" i="1"/>
  <c r="U138" i="1"/>
  <c r="U139" i="1"/>
  <c r="U146" i="1"/>
  <c r="U147" i="1"/>
  <c r="U153" i="1"/>
  <c r="U156" i="1"/>
  <c r="U160" i="1"/>
  <c r="U170" i="1"/>
  <c r="U171" i="1"/>
  <c r="U178" i="1"/>
  <c r="U179" i="1"/>
  <c r="U180" i="1"/>
  <c r="U191" i="1"/>
  <c r="U195" i="1"/>
  <c r="U200" i="1"/>
  <c r="U202" i="1"/>
  <c r="U203" i="1"/>
  <c r="U207" i="1"/>
  <c r="U210" i="1"/>
  <c r="U211" i="1"/>
  <c r="U212" i="1"/>
  <c r="U215" i="1"/>
  <c r="U227" i="1"/>
  <c r="U232" i="1"/>
  <c r="U242" i="1"/>
  <c r="U243" i="1"/>
  <c r="U244" i="1"/>
  <c r="U247" i="1"/>
  <c r="U259" i="1"/>
  <c r="U264" i="1"/>
  <c r="U266" i="1"/>
  <c r="U274" i="1"/>
  <c r="U275" i="1"/>
  <c r="U276" i="1"/>
  <c r="U284" i="1"/>
  <c r="U291" i="1"/>
  <c r="U298" i="1"/>
  <c r="U299" i="1"/>
  <c r="U307" i="1"/>
  <c r="U313" i="1"/>
  <c r="U316" i="1"/>
  <c r="U319" i="1"/>
  <c r="U323" i="1"/>
  <c r="U329" i="1"/>
  <c r="U330" i="1"/>
  <c r="U331" i="1"/>
  <c r="U335" i="1"/>
  <c r="U343" i="1"/>
  <c r="U348" i="1"/>
  <c r="U351" i="1"/>
  <c r="U352" i="1"/>
  <c r="U362" i="1"/>
  <c r="U363" i="1"/>
  <c r="U367" i="1"/>
  <c r="U370" i="1"/>
  <c r="U380" i="1"/>
  <c r="U385" i="1"/>
  <c r="U394" i="1"/>
  <c r="U395" i="1"/>
  <c r="U402" i="1"/>
  <c r="U403" i="1"/>
  <c r="U412" i="1"/>
  <c r="U416" i="1"/>
  <c r="U417" i="1"/>
  <c r="U419" i="1"/>
  <c r="U426" i="1"/>
  <c r="U427" i="1"/>
  <c r="U434" i="1"/>
  <c r="U435" i="1"/>
  <c r="U436" i="1"/>
  <c r="U447" i="1"/>
  <c r="U449" i="1"/>
  <c r="U451" i="1"/>
  <c r="U456" i="1"/>
  <c r="U458" i="1"/>
  <c r="U459" i="1"/>
  <c r="U463" i="1"/>
  <c r="U466" i="1"/>
  <c r="U467" i="1"/>
  <c r="U468" i="1"/>
  <c r="U471" i="1"/>
  <c r="U483" i="1"/>
  <c r="U498" i="1"/>
  <c r="U499" i="1"/>
  <c r="U500" i="1"/>
  <c r="U503" i="1"/>
  <c r="U505" i="1"/>
  <c r="U515" i="1"/>
  <c r="U522" i="1"/>
  <c r="U530" i="1"/>
  <c r="U531" i="1"/>
  <c r="U532" i="1"/>
  <c r="U537" i="1"/>
  <c r="U540" i="1"/>
  <c r="U547" i="1"/>
  <c r="U553" i="1"/>
  <c r="U554" i="1"/>
  <c r="U555" i="1"/>
  <c r="U563" i="1"/>
  <c r="U572" i="1"/>
  <c r="U575" i="1"/>
  <c r="U579" i="1"/>
  <c r="U585" i="1"/>
  <c r="U586" i="1"/>
  <c r="U587" i="1"/>
  <c r="U591" i="1"/>
  <c r="U599" i="1"/>
  <c r="U604" i="1"/>
  <c r="U607" i="1"/>
  <c r="U608" i="1"/>
  <c r="U617" i="1"/>
  <c r="U618" i="1"/>
  <c r="U619" i="1"/>
  <c r="U623" i="1"/>
  <c r="U626" i="1"/>
  <c r="U636" i="1"/>
  <c r="U649" i="1"/>
  <c r="U650" i="1"/>
  <c r="U651" i="1"/>
  <c r="U658" i="1"/>
  <c r="U659" i="1"/>
  <c r="U668" i="1"/>
  <c r="U673" i="1"/>
  <c r="U675" i="1"/>
  <c r="U682" i="1"/>
  <c r="U683" i="1"/>
  <c r="U690" i="1"/>
  <c r="U691" i="1"/>
  <c r="U692" i="1"/>
  <c r="U699" i="1"/>
  <c r="U700" i="1"/>
  <c r="U701" i="1"/>
  <c r="U705" i="1"/>
  <c r="U707" i="1"/>
  <c r="U710" i="1"/>
  <c r="U715" i="1"/>
  <c r="U720" i="1"/>
  <c r="U723" i="1"/>
  <c r="U724" i="1"/>
  <c r="U725" i="1"/>
  <c r="U731" i="1"/>
  <c r="U733" i="1"/>
  <c r="U734" i="1"/>
  <c r="U738" i="1"/>
  <c r="U739" i="1"/>
  <c r="U740" i="1"/>
  <c r="U741" i="1"/>
  <c r="U742" i="1"/>
  <c r="U744" i="1"/>
  <c r="U747" i="1"/>
  <c r="U748" i="1"/>
  <c r="U752" i="1"/>
  <c r="U753" i="1"/>
  <c r="U755" i="1"/>
  <c r="U756" i="1"/>
  <c r="U757" i="1"/>
  <c r="U758" i="1"/>
  <c r="U762" i="1"/>
  <c r="U770" i="1"/>
  <c r="U771" i="1"/>
  <c r="U776" i="1"/>
  <c r="U779" i="1"/>
  <c r="U780" i="1"/>
  <c r="U782" i="1"/>
  <c r="U786" i="1"/>
  <c r="U787" i="1"/>
  <c r="U789" i="1"/>
  <c r="U795" i="1"/>
  <c r="U796" i="1"/>
  <c r="U797" i="1"/>
  <c r="U798" i="1"/>
  <c r="U803" i="1"/>
  <c r="U805" i="1"/>
  <c r="U806" i="1"/>
  <c r="U808" i="1"/>
  <c r="U811" i="1"/>
  <c r="U812" i="1"/>
  <c r="U813" i="1"/>
  <c r="U814" i="1"/>
  <c r="U815" i="1"/>
  <c r="U816" i="1"/>
  <c r="U819" i="1"/>
  <c r="U821" i="1"/>
  <c r="U822" i="1"/>
  <c r="U823" i="1"/>
  <c r="U824" i="1"/>
  <c r="U827" i="1"/>
  <c r="U828" i="1"/>
  <c r="U829" i="1"/>
  <c r="U830" i="1"/>
  <c r="U831" i="1"/>
  <c r="U832" i="1"/>
  <c r="U835" i="1"/>
  <c r="U837" i="1"/>
  <c r="U838" i="1"/>
  <c r="U839" i="1"/>
  <c r="U840" i="1"/>
  <c r="U843" i="1"/>
  <c r="U844" i="1"/>
  <c r="U845" i="1"/>
  <c r="U846" i="1"/>
  <c r="U847" i="1"/>
  <c r="U848" i="1"/>
  <c r="U851" i="1"/>
  <c r="U853" i="1"/>
  <c r="U854" i="1"/>
  <c r="U855" i="1"/>
  <c r="U856" i="1"/>
  <c r="U859" i="1"/>
  <c r="U860" i="1"/>
  <c r="U861" i="1"/>
  <c r="U862" i="1"/>
  <c r="U863" i="1"/>
  <c r="U864" i="1"/>
  <c r="U866" i="1"/>
  <c r="U867" i="1"/>
  <c r="J868" i="1"/>
  <c r="U869" i="1"/>
  <c r="U870" i="1"/>
  <c r="U871" i="1"/>
  <c r="U872" i="1"/>
  <c r="U875" i="1"/>
  <c r="U876" i="1"/>
  <c r="U877" i="1"/>
  <c r="U879" i="1"/>
  <c r="U880" i="1"/>
  <c r="U883" i="1"/>
  <c r="U884" i="1"/>
  <c r="U885" i="1"/>
  <c r="U886" i="1"/>
  <c r="U887" i="1"/>
  <c r="U888" i="1"/>
  <c r="U891" i="1"/>
  <c r="U894" i="1"/>
  <c r="U895" i="1"/>
  <c r="U896" i="1"/>
  <c r="U899" i="1"/>
  <c r="U900" i="1"/>
  <c r="U901" i="1"/>
  <c r="U902" i="1"/>
  <c r="U903" i="1"/>
  <c r="U904" i="1"/>
  <c r="U907" i="1"/>
  <c r="U908" i="1"/>
  <c r="U909" i="1"/>
  <c r="U910" i="1"/>
  <c r="U911" i="1"/>
  <c r="U912" i="1"/>
  <c r="U915" i="1"/>
  <c r="U916" i="1"/>
  <c r="U919" i="1"/>
  <c r="U920" i="1"/>
  <c r="U923" i="1"/>
  <c r="U924" i="1"/>
  <c r="U925" i="1"/>
  <c r="U926" i="1"/>
  <c r="U927" i="1"/>
  <c r="U928" i="1"/>
  <c r="U931" i="1"/>
  <c r="U933" i="1"/>
  <c r="U934" i="1"/>
  <c r="U935" i="1"/>
  <c r="U936" i="1"/>
  <c r="U939" i="1"/>
  <c r="U940" i="1"/>
  <c r="U941" i="1"/>
  <c r="U943" i="1"/>
  <c r="U944" i="1"/>
  <c r="U947" i="1"/>
  <c r="U948" i="1"/>
  <c r="U949" i="1"/>
  <c r="U950" i="1"/>
  <c r="U951" i="1"/>
  <c r="U952" i="1"/>
  <c r="U955" i="1"/>
  <c r="U958" i="1"/>
  <c r="U959" i="1"/>
  <c r="U960" i="1"/>
  <c r="U963" i="1"/>
  <c r="U964" i="1"/>
  <c r="U965" i="1"/>
  <c r="U966" i="1"/>
  <c r="U967" i="1"/>
  <c r="U968" i="1"/>
  <c r="U971" i="1"/>
  <c r="U972" i="1"/>
  <c r="U973" i="1"/>
  <c r="U974" i="1"/>
  <c r="U975" i="1"/>
  <c r="U976" i="1"/>
  <c r="U979" i="1"/>
  <c r="U980" i="1"/>
  <c r="U983" i="1"/>
  <c r="U984" i="1"/>
  <c r="U987" i="1"/>
  <c r="U988" i="1"/>
  <c r="U989" i="1"/>
  <c r="U990" i="1"/>
  <c r="U991" i="1"/>
  <c r="U992" i="1"/>
  <c r="U995" i="1"/>
  <c r="U997" i="1"/>
  <c r="U998" i="1"/>
  <c r="U999" i="1"/>
  <c r="U1000" i="1"/>
  <c r="U1003" i="1"/>
  <c r="U1004" i="1"/>
  <c r="U1005" i="1"/>
  <c r="U1007" i="1"/>
  <c r="U1008" i="1"/>
  <c r="U1011" i="1"/>
  <c r="U1012" i="1"/>
  <c r="U1013" i="1"/>
  <c r="U1014" i="1"/>
  <c r="U1015" i="1"/>
  <c r="U1016" i="1"/>
  <c r="U1019" i="1"/>
  <c r="U1022" i="1"/>
  <c r="U1023" i="1"/>
  <c r="U1024" i="1"/>
  <c r="U1027" i="1"/>
  <c r="U1028" i="1"/>
  <c r="U1029" i="1"/>
  <c r="U1030" i="1"/>
  <c r="U1031" i="1"/>
  <c r="U1032" i="1"/>
  <c r="U1035" i="1"/>
  <c r="U1036" i="1"/>
  <c r="U1037" i="1"/>
  <c r="U1038" i="1"/>
  <c r="U1039" i="1"/>
  <c r="U1040" i="1"/>
  <c r="U1043" i="1"/>
  <c r="U1044" i="1"/>
  <c r="U1047" i="1"/>
  <c r="U1048" i="1"/>
  <c r="U1051" i="1"/>
  <c r="U1052" i="1"/>
  <c r="U1053" i="1"/>
  <c r="U1054" i="1"/>
  <c r="U1055" i="1"/>
  <c r="U1056" i="1"/>
  <c r="U1059" i="1"/>
  <c r="U1061" i="1"/>
  <c r="U1062" i="1"/>
  <c r="U1063" i="1"/>
  <c r="U1064" i="1"/>
  <c r="U1067" i="1"/>
  <c r="U1068" i="1"/>
  <c r="U1069" i="1"/>
  <c r="U1071" i="1"/>
  <c r="U1072" i="1"/>
  <c r="U1075" i="1"/>
  <c r="U1076" i="1"/>
  <c r="U1077" i="1"/>
  <c r="U1078" i="1"/>
  <c r="U1079" i="1"/>
  <c r="U1080" i="1"/>
  <c r="U1083" i="1"/>
  <c r="U1086" i="1"/>
  <c r="U1087" i="1"/>
  <c r="U1088" i="1"/>
  <c r="U1091" i="1"/>
  <c r="U1092" i="1"/>
  <c r="U1093" i="1"/>
  <c r="U1094" i="1"/>
  <c r="U1095" i="1"/>
  <c r="U1096" i="1"/>
  <c r="U1099" i="1"/>
  <c r="U1100" i="1"/>
  <c r="U1101" i="1"/>
  <c r="U1102" i="1"/>
  <c r="U1103" i="1"/>
  <c r="U1104" i="1"/>
  <c r="U1106" i="1"/>
  <c r="U1107" i="1"/>
  <c r="U1108" i="1"/>
  <c r="U1111" i="1"/>
  <c r="U1112" i="1"/>
  <c r="U1115" i="1"/>
  <c r="U1116" i="1"/>
  <c r="U1117" i="1"/>
  <c r="U1118" i="1"/>
  <c r="U1119" i="1"/>
  <c r="U1120" i="1"/>
  <c r="U1123" i="1"/>
  <c r="U1125" i="1"/>
  <c r="U1126" i="1"/>
  <c r="U1127" i="1"/>
  <c r="U1128" i="1"/>
  <c r="U1131" i="1"/>
  <c r="U1132" i="1"/>
  <c r="U1133" i="1"/>
  <c r="U1135" i="1"/>
  <c r="U1136" i="1"/>
  <c r="U1139" i="1"/>
  <c r="U1140" i="1"/>
  <c r="U1141" i="1"/>
  <c r="U1142" i="1"/>
  <c r="U1143" i="1"/>
  <c r="U1144" i="1"/>
  <c r="U1146" i="1"/>
  <c r="U1147" i="1"/>
  <c r="U1150" i="1"/>
  <c r="U1151" i="1"/>
  <c r="U1152" i="1"/>
  <c r="U1155" i="1"/>
  <c r="U1156" i="1"/>
  <c r="U1157" i="1"/>
  <c r="U1158" i="1"/>
  <c r="U1159" i="1"/>
  <c r="U1160" i="1"/>
  <c r="U1163" i="1"/>
  <c r="U1164" i="1"/>
  <c r="U1165" i="1"/>
  <c r="U1166" i="1"/>
  <c r="U1167" i="1"/>
  <c r="U1168" i="1"/>
  <c r="U1171" i="1"/>
  <c r="U1172" i="1"/>
  <c r="U1175" i="1"/>
  <c r="U1176" i="1"/>
  <c r="U1179" i="1"/>
  <c r="U1180" i="1"/>
  <c r="U1181" i="1"/>
  <c r="U1182" i="1"/>
  <c r="U1183" i="1"/>
  <c r="U1184" i="1"/>
  <c r="U1187" i="1"/>
  <c r="U1189" i="1"/>
  <c r="U1190" i="1"/>
  <c r="U1191" i="1"/>
  <c r="U1192" i="1"/>
  <c r="U1195" i="1"/>
  <c r="U1196" i="1"/>
  <c r="U1197" i="1"/>
  <c r="U1199" i="1"/>
  <c r="U1200" i="1"/>
  <c r="U1203" i="1"/>
  <c r="U1204" i="1"/>
  <c r="U1205" i="1"/>
  <c r="U1206" i="1"/>
  <c r="U1207" i="1"/>
  <c r="U1208" i="1"/>
  <c r="U1211" i="1"/>
  <c r="U1214" i="1"/>
  <c r="U1215" i="1"/>
  <c r="U1216" i="1"/>
  <c r="U1219" i="1"/>
  <c r="U1220" i="1"/>
  <c r="U1221" i="1"/>
  <c r="U1222" i="1"/>
  <c r="U1223" i="1"/>
  <c r="U1224" i="1"/>
  <c r="U1227" i="1"/>
  <c r="U1228" i="1"/>
  <c r="U1229" i="1"/>
  <c r="U1230" i="1"/>
  <c r="U1231" i="1"/>
  <c r="U1232" i="1"/>
  <c r="U1237" i="1"/>
  <c r="U1238" i="1"/>
  <c r="U1239" i="1"/>
  <c r="U1240" i="1"/>
  <c r="U1243" i="1"/>
  <c r="U1244" i="1"/>
  <c r="U1247" i="1"/>
  <c r="U1248" i="1"/>
  <c r="U1251" i="1"/>
  <c r="U1252" i="1"/>
  <c r="U1253" i="1"/>
  <c r="U1254" i="1"/>
  <c r="U1255" i="1"/>
  <c r="U1256" i="1"/>
  <c r="U1259" i="1"/>
  <c r="U1260" i="1"/>
  <c r="U1261" i="1"/>
  <c r="U1262" i="1"/>
  <c r="U1263" i="1"/>
  <c r="U1264" i="1"/>
  <c r="U1269" i="1"/>
  <c r="U1270" i="1"/>
  <c r="U1271" i="1"/>
  <c r="U1272" i="1"/>
  <c r="U1274" i="1"/>
  <c r="U1275" i="1"/>
  <c r="U1276" i="1"/>
  <c r="U1279" i="1"/>
  <c r="U1280" i="1"/>
  <c r="U1283" i="1"/>
  <c r="U1284" i="1"/>
  <c r="U1285" i="1"/>
  <c r="U1286" i="1"/>
  <c r="U1287" i="1"/>
  <c r="U1288" i="1"/>
  <c r="U1291" i="1"/>
  <c r="U1292" i="1"/>
  <c r="U1293" i="1"/>
  <c r="U1294" i="1"/>
  <c r="U1295" i="1"/>
  <c r="U1296" i="1"/>
  <c r="U1298" i="1"/>
  <c r="U1301" i="1"/>
  <c r="U1302" i="1"/>
  <c r="U1303" i="1"/>
  <c r="U1304" i="1"/>
  <c r="U1307" i="1"/>
  <c r="U1311" i="1"/>
  <c r="U1312" i="1"/>
  <c r="U1315" i="1"/>
  <c r="U1316" i="1"/>
  <c r="U1317" i="1"/>
  <c r="U1319" i="1"/>
  <c r="U1320" i="1"/>
  <c r="U1323" i="1"/>
  <c r="U1324" i="1"/>
  <c r="U1325" i="1"/>
  <c r="U1326" i="1"/>
  <c r="U1327" i="1"/>
  <c r="U1328" i="1"/>
  <c r="U1333" i="1"/>
  <c r="U1334" i="1"/>
  <c r="U1335" i="1"/>
  <c r="U1336" i="1"/>
  <c r="U1339" i="1"/>
  <c r="U1343" i="1"/>
  <c r="U1344" i="1"/>
  <c r="U1347" i="1"/>
  <c r="U1348" i="1"/>
  <c r="U1349" i="1"/>
  <c r="U1351" i="1"/>
  <c r="U1352" i="1"/>
  <c r="U1355" i="1"/>
  <c r="U1356" i="1"/>
  <c r="U1357" i="1"/>
  <c r="U1358" i="1"/>
  <c r="U1359" i="1"/>
  <c r="U1360" i="1"/>
  <c r="U1365" i="1"/>
  <c r="U1366" i="1"/>
  <c r="U1367" i="1"/>
  <c r="U1368" i="1"/>
  <c r="U1371" i="1"/>
  <c r="U1375" i="1"/>
  <c r="U1376" i="1"/>
  <c r="U1379" i="1"/>
  <c r="U1380" i="1"/>
  <c r="U1381" i="1"/>
  <c r="U1383" i="1"/>
  <c r="U1384" i="1"/>
  <c r="U1387" i="1"/>
  <c r="U1060" i="1" l="1"/>
  <c r="U868" i="1"/>
  <c r="U1188" i="1"/>
  <c r="U996" i="1"/>
  <c r="U1124" i="1"/>
  <c r="U932" i="1"/>
  <c r="U163" i="1"/>
  <c r="U1332" i="1"/>
  <c r="U1268" i="1"/>
  <c r="U820" i="1"/>
  <c r="U1372" i="1"/>
  <c r="U1308" i="1"/>
  <c r="U788" i="1"/>
  <c r="U836" i="1"/>
  <c r="U709" i="1"/>
  <c r="U1364" i="1"/>
  <c r="U1300" i="1"/>
  <c r="U1236" i="1"/>
  <c r="U852" i="1"/>
  <c r="U1340" i="1"/>
  <c r="U1212" i="1"/>
  <c r="U1148" i="1"/>
  <c r="U1084" i="1"/>
  <c r="U1020" i="1"/>
  <c r="U956" i="1"/>
  <c r="U892" i="1"/>
  <c r="U564" i="1"/>
  <c r="U308" i="1"/>
  <c r="M1362" i="1"/>
  <c r="L1362" i="1"/>
  <c r="K1362" i="1"/>
  <c r="J1362" i="1"/>
  <c r="M1226" i="1"/>
  <c r="L1226" i="1"/>
  <c r="K1226" i="1"/>
  <c r="J1226" i="1"/>
  <c r="M1122" i="1"/>
  <c r="L1122" i="1"/>
  <c r="K1122" i="1"/>
  <c r="J1122" i="1"/>
  <c r="M1034" i="1"/>
  <c r="L1034" i="1"/>
  <c r="K1034" i="1"/>
  <c r="J1034" i="1"/>
  <c r="M665" i="1"/>
  <c r="L665" i="1"/>
  <c r="K665" i="1"/>
  <c r="J665" i="1"/>
  <c r="U433" i="1"/>
  <c r="U401" i="1"/>
  <c r="U369" i="1"/>
  <c r="U81" i="1"/>
  <c r="U49" i="1"/>
  <c r="U129" i="1"/>
  <c r="M1385" i="1"/>
  <c r="L1385" i="1"/>
  <c r="K1385" i="1"/>
  <c r="J1385" i="1"/>
  <c r="M1289" i="1"/>
  <c r="L1289" i="1"/>
  <c r="K1289" i="1"/>
  <c r="J1289" i="1"/>
  <c r="M1257" i="1"/>
  <c r="L1257" i="1"/>
  <c r="K1257" i="1"/>
  <c r="J1257" i="1"/>
  <c r="M1201" i="1"/>
  <c r="L1201" i="1"/>
  <c r="K1201" i="1"/>
  <c r="J1201" i="1"/>
  <c r="M1137" i="1"/>
  <c r="L1137" i="1"/>
  <c r="K1137" i="1"/>
  <c r="J1137" i="1"/>
  <c r="M1097" i="1"/>
  <c r="L1097" i="1"/>
  <c r="K1097" i="1"/>
  <c r="J1097" i="1"/>
  <c r="M1033" i="1"/>
  <c r="L1033" i="1"/>
  <c r="K1033" i="1"/>
  <c r="J1033" i="1"/>
  <c r="M969" i="1"/>
  <c r="L969" i="1"/>
  <c r="K969" i="1"/>
  <c r="J969" i="1"/>
  <c r="M881" i="1"/>
  <c r="L881" i="1"/>
  <c r="K881" i="1"/>
  <c r="J881" i="1"/>
  <c r="M849" i="1"/>
  <c r="L849" i="1"/>
  <c r="K849" i="1"/>
  <c r="J849" i="1"/>
  <c r="M817" i="1"/>
  <c r="L817" i="1"/>
  <c r="K817" i="1"/>
  <c r="J817" i="1"/>
  <c r="M785" i="1"/>
  <c r="L785" i="1"/>
  <c r="K785" i="1"/>
  <c r="J785" i="1"/>
  <c r="U713" i="1"/>
  <c r="U688" i="1"/>
  <c r="U656" i="1"/>
  <c r="M616" i="1"/>
  <c r="L616" i="1"/>
  <c r="J616" i="1"/>
  <c r="K616" i="1"/>
  <c r="U592" i="1"/>
  <c r="U560" i="1"/>
  <c r="U536" i="1"/>
  <c r="U528" i="1"/>
  <c r="U504" i="1"/>
  <c r="U472" i="1"/>
  <c r="U440" i="1"/>
  <c r="U400" i="1"/>
  <c r="M360" i="1"/>
  <c r="L360" i="1"/>
  <c r="K360" i="1"/>
  <c r="J360" i="1"/>
  <c r="U336" i="1"/>
  <c r="U304" i="1"/>
  <c r="U272" i="1"/>
  <c r="U240" i="1"/>
  <c r="U208" i="1"/>
  <c r="U152" i="1"/>
  <c r="U112" i="1"/>
  <c r="U80" i="1"/>
  <c r="U48" i="1"/>
  <c r="U16" i="1"/>
  <c r="U521" i="1"/>
  <c r="U265" i="1"/>
  <c r="U161" i="1"/>
  <c r="U128" i="1"/>
  <c r="U704" i="1"/>
  <c r="U679" i="1"/>
  <c r="U647" i="1"/>
  <c r="U615" i="1"/>
  <c r="U583" i="1"/>
  <c r="U551" i="1"/>
  <c r="U519" i="1"/>
  <c r="U487" i="1"/>
  <c r="U455" i="1"/>
  <c r="U423" i="1"/>
  <c r="U391" i="1"/>
  <c r="U359" i="1"/>
  <c r="U327" i="1"/>
  <c r="U295" i="1"/>
  <c r="U263" i="1"/>
  <c r="U231" i="1"/>
  <c r="U199" i="1"/>
  <c r="U167" i="1"/>
  <c r="U135" i="1"/>
  <c r="U103" i="1"/>
  <c r="U87" i="1"/>
  <c r="U71" i="1"/>
  <c r="U55" i="1"/>
  <c r="U39" i="1"/>
  <c r="U23" i="1"/>
  <c r="U15" i="1"/>
  <c r="U7" i="1"/>
  <c r="U1382" i="1"/>
  <c r="U1374" i="1"/>
  <c r="U1350" i="1"/>
  <c r="U1342" i="1"/>
  <c r="U1318" i="1"/>
  <c r="U1310" i="1"/>
  <c r="U1278" i="1"/>
  <c r="U1246" i="1"/>
  <c r="U1198" i="1"/>
  <c r="U1174" i="1"/>
  <c r="U1134" i="1"/>
  <c r="U1110" i="1"/>
  <c r="U1070" i="1"/>
  <c r="U1046" i="1"/>
  <c r="U1006" i="1"/>
  <c r="U982" i="1"/>
  <c r="U942" i="1"/>
  <c r="U918" i="1"/>
  <c r="U878" i="1"/>
  <c r="U778" i="1"/>
  <c r="U769" i="1"/>
  <c r="U760" i="1"/>
  <c r="U750" i="1"/>
  <c r="U732" i="1"/>
  <c r="U712" i="1"/>
  <c r="U672" i="1"/>
  <c r="U655" i="1"/>
  <c r="U639" i="1"/>
  <c r="U569" i="1"/>
  <c r="U535" i="1"/>
  <c r="U520" i="1"/>
  <c r="U399" i="1"/>
  <c r="U383" i="1"/>
  <c r="U297" i="1"/>
  <c r="U279" i="1"/>
  <c r="U193" i="1"/>
  <c r="U143" i="1"/>
  <c r="U127" i="1"/>
  <c r="U64" i="1"/>
  <c r="M1330" i="1"/>
  <c r="L1330" i="1"/>
  <c r="K1330" i="1"/>
  <c r="J1330" i="1"/>
  <c r="M1162" i="1"/>
  <c r="L1162" i="1"/>
  <c r="K1162" i="1"/>
  <c r="J1162" i="1"/>
  <c r="U689" i="1"/>
  <c r="U593" i="1"/>
  <c r="M513" i="1"/>
  <c r="L513" i="1"/>
  <c r="K513" i="1"/>
  <c r="J513" i="1"/>
  <c r="M409" i="1"/>
  <c r="L409" i="1"/>
  <c r="K409" i="1"/>
  <c r="J409" i="1"/>
  <c r="U641" i="1"/>
  <c r="U489" i="1"/>
  <c r="U249" i="1"/>
  <c r="U233" i="1"/>
  <c r="M1353" i="1"/>
  <c r="L1353" i="1"/>
  <c r="K1353" i="1"/>
  <c r="J1353" i="1"/>
  <c r="M1321" i="1"/>
  <c r="L1321" i="1"/>
  <c r="K1321" i="1"/>
  <c r="J1321" i="1"/>
  <c r="M1225" i="1"/>
  <c r="L1225" i="1"/>
  <c r="K1225" i="1"/>
  <c r="J1225" i="1"/>
  <c r="M1161" i="1"/>
  <c r="L1161" i="1"/>
  <c r="K1161" i="1"/>
  <c r="J1161" i="1"/>
  <c r="M1073" i="1"/>
  <c r="L1073" i="1"/>
  <c r="K1073" i="1"/>
  <c r="J1073" i="1"/>
  <c r="M1009" i="1"/>
  <c r="L1009" i="1"/>
  <c r="K1009" i="1"/>
  <c r="J1009" i="1"/>
  <c r="M945" i="1"/>
  <c r="L945" i="1"/>
  <c r="K945" i="1"/>
  <c r="J945" i="1"/>
  <c r="M905" i="1"/>
  <c r="L905" i="1"/>
  <c r="K905" i="1"/>
  <c r="J905" i="1"/>
  <c r="M865" i="1"/>
  <c r="L865" i="1"/>
  <c r="K865" i="1"/>
  <c r="J865" i="1"/>
  <c r="M833" i="1"/>
  <c r="L833" i="1"/>
  <c r="K833" i="1"/>
  <c r="J833" i="1"/>
  <c r="M801" i="1"/>
  <c r="L801" i="1"/>
  <c r="K801" i="1"/>
  <c r="J801" i="1"/>
  <c r="M769" i="1"/>
  <c r="L769" i="1"/>
  <c r="K769" i="1"/>
  <c r="J769" i="1"/>
  <c r="U664" i="1"/>
  <c r="U632" i="1"/>
  <c r="U624" i="1"/>
  <c r="U600" i="1"/>
  <c r="U568" i="1"/>
  <c r="M512" i="1"/>
  <c r="L512" i="1"/>
  <c r="K512" i="1"/>
  <c r="J512" i="1"/>
  <c r="U496" i="1"/>
  <c r="U464" i="1"/>
  <c r="U432" i="1"/>
  <c r="U408" i="1"/>
  <c r="U376" i="1"/>
  <c r="U368" i="1"/>
  <c r="U344" i="1"/>
  <c r="U312" i="1"/>
  <c r="U280" i="1"/>
  <c r="U248" i="1"/>
  <c r="U216" i="1"/>
  <c r="U184" i="1"/>
  <c r="U176" i="1"/>
  <c r="U144" i="1"/>
  <c r="U120" i="1"/>
  <c r="U88" i="1"/>
  <c r="U56" i="1"/>
  <c r="U24" i="1"/>
  <c r="U761" i="1"/>
  <c r="U714" i="1"/>
  <c r="U640" i="1"/>
  <c r="U488" i="1"/>
  <c r="U384" i="1"/>
  <c r="U281" i="1"/>
  <c r="U25" i="1"/>
  <c r="U807" i="1"/>
  <c r="U799" i="1"/>
  <c r="U791" i="1"/>
  <c r="U783" i="1"/>
  <c r="U775" i="1"/>
  <c r="U767" i="1"/>
  <c r="U759" i="1"/>
  <c r="U751" i="1"/>
  <c r="U743" i="1"/>
  <c r="U735" i="1"/>
  <c r="U727" i="1"/>
  <c r="U719" i="1"/>
  <c r="U711" i="1"/>
  <c r="U703" i="1"/>
  <c r="U695" i="1"/>
  <c r="U694" i="1"/>
  <c r="U686" i="1"/>
  <c r="U678" i="1"/>
  <c r="U670" i="1"/>
  <c r="U662" i="1"/>
  <c r="U654" i="1"/>
  <c r="U646" i="1"/>
  <c r="U638" i="1"/>
  <c r="U630" i="1"/>
  <c r="U622" i="1"/>
  <c r="U614" i="1"/>
  <c r="U606" i="1"/>
  <c r="U598" i="1"/>
  <c r="U590" i="1"/>
  <c r="U582" i="1"/>
  <c r="U574" i="1"/>
  <c r="U566" i="1"/>
  <c r="U558" i="1"/>
  <c r="U550" i="1"/>
  <c r="U542" i="1"/>
  <c r="U534" i="1"/>
  <c r="U526" i="1"/>
  <c r="U518" i="1"/>
  <c r="U510" i="1"/>
  <c r="U502" i="1"/>
  <c r="U494" i="1"/>
  <c r="U486" i="1"/>
  <c r="U478" i="1"/>
  <c r="U470" i="1"/>
  <c r="U462" i="1"/>
  <c r="U454" i="1"/>
  <c r="U446" i="1"/>
  <c r="U438" i="1"/>
  <c r="U430" i="1"/>
  <c r="U422" i="1"/>
  <c r="U414" i="1"/>
  <c r="U406" i="1"/>
  <c r="U398" i="1"/>
  <c r="U390" i="1"/>
  <c r="U382" i="1"/>
  <c r="U374" i="1"/>
  <c r="U366" i="1"/>
  <c r="U358" i="1"/>
  <c r="U350" i="1"/>
  <c r="U342" i="1"/>
  <c r="U334" i="1"/>
  <c r="U326" i="1"/>
  <c r="U318" i="1"/>
  <c r="U310" i="1"/>
  <c r="U302" i="1"/>
  <c r="U294" i="1"/>
  <c r="U286" i="1"/>
  <c r="U278" i="1"/>
  <c r="U270" i="1"/>
  <c r="U262" i="1"/>
  <c r="U254" i="1"/>
  <c r="U246" i="1"/>
  <c r="U238" i="1"/>
  <c r="U230" i="1"/>
  <c r="U222" i="1"/>
  <c r="U214" i="1"/>
  <c r="U206" i="1"/>
  <c r="U198" i="1"/>
  <c r="U190" i="1"/>
  <c r="U182" i="1"/>
  <c r="U174" i="1"/>
  <c r="U166" i="1"/>
  <c r="U158" i="1"/>
  <c r="U150" i="1"/>
  <c r="U142" i="1"/>
  <c r="U134" i="1"/>
  <c r="U126" i="1"/>
  <c r="U118" i="1"/>
  <c r="U110" i="1"/>
  <c r="U102" i="1"/>
  <c r="U94" i="1"/>
  <c r="U86" i="1"/>
  <c r="U78" i="1"/>
  <c r="U70" i="1"/>
  <c r="U62" i="1"/>
  <c r="U54" i="1"/>
  <c r="U46" i="1"/>
  <c r="U38" i="1"/>
  <c r="U30" i="1"/>
  <c r="U22" i="1"/>
  <c r="U14" i="1"/>
  <c r="U6" i="1"/>
  <c r="U1373" i="1"/>
  <c r="U1341" i="1"/>
  <c r="U1309" i="1"/>
  <c r="U1277" i="1"/>
  <c r="U1245" i="1"/>
  <c r="U1213" i="1"/>
  <c r="U1173" i="1"/>
  <c r="U1149" i="1"/>
  <c r="U1109" i="1"/>
  <c r="U1085" i="1"/>
  <c r="U1045" i="1"/>
  <c r="U1021" i="1"/>
  <c r="U981" i="1"/>
  <c r="U957" i="1"/>
  <c r="U917" i="1"/>
  <c r="U893" i="1"/>
  <c r="U804" i="1"/>
  <c r="U777" i="1"/>
  <c r="U768" i="1"/>
  <c r="U749" i="1"/>
  <c r="U721" i="1"/>
  <c r="U687" i="1"/>
  <c r="U671" i="1"/>
  <c r="U601" i="1"/>
  <c r="U567" i="1"/>
  <c r="U552" i="1"/>
  <c r="U481" i="1"/>
  <c r="U448" i="1"/>
  <c r="U431" i="1"/>
  <c r="U415" i="1"/>
  <c r="U345" i="1"/>
  <c r="U311" i="1"/>
  <c r="U296" i="1"/>
  <c r="U225" i="1"/>
  <c r="U192" i="1"/>
  <c r="U175" i="1"/>
  <c r="U159" i="1"/>
  <c r="U105" i="1"/>
  <c r="U63" i="1"/>
  <c r="M1258" i="1"/>
  <c r="L1258" i="1"/>
  <c r="K1258" i="1"/>
  <c r="J1258" i="1"/>
  <c r="M1058" i="1"/>
  <c r="L1058" i="1"/>
  <c r="K1058" i="1"/>
  <c r="J1058" i="1"/>
  <c r="M970" i="1"/>
  <c r="L970" i="1"/>
  <c r="J970" i="1"/>
  <c r="K970" i="1"/>
  <c r="M906" i="1"/>
  <c r="L906" i="1"/>
  <c r="K906" i="1"/>
  <c r="J906" i="1"/>
  <c r="U722" i="1"/>
  <c r="U657" i="1"/>
  <c r="U625" i="1"/>
  <c r="U561" i="1"/>
  <c r="U305" i="1"/>
  <c r="U273" i="1"/>
  <c r="U241" i="1"/>
  <c r="U177" i="1"/>
  <c r="U145" i="1"/>
  <c r="U97" i="1"/>
  <c r="U65" i="1"/>
  <c r="U33" i="1"/>
  <c r="M1382" i="1"/>
  <c r="L1382" i="1"/>
  <c r="K1382" i="1"/>
  <c r="J1382" i="1"/>
  <c r="M1350" i="1"/>
  <c r="L1350" i="1"/>
  <c r="K1350" i="1"/>
  <c r="J1350" i="1"/>
  <c r="M1310" i="1"/>
  <c r="L1310" i="1"/>
  <c r="K1310" i="1"/>
  <c r="J1310" i="1"/>
  <c r="M1278" i="1"/>
  <c r="K1278" i="1"/>
  <c r="J1278" i="1"/>
  <c r="L1278" i="1"/>
  <c r="M1174" i="1"/>
  <c r="L1174" i="1"/>
  <c r="K1174" i="1"/>
  <c r="J1174" i="1"/>
  <c r="M1134" i="1"/>
  <c r="K1134" i="1"/>
  <c r="L1134" i="1"/>
  <c r="J1134" i="1"/>
  <c r="M1110" i="1"/>
  <c r="L1110" i="1"/>
  <c r="K1110" i="1"/>
  <c r="J1110" i="1"/>
  <c r="M1070" i="1"/>
  <c r="K1070" i="1"/>
  <c r="J1070" i="1"/>
  <c r="L1070" i="1"/>
  <c r="M1046" i="1"/>
  <c r="L1046" i="1"/>
  <c r="K1046" i="1"/>
  <c r="J1046" i="1"/>
  <c r="M982" i="1"/>
  <c r="L982" i="1"/>
  <c r="K982" i="1"/>
  <c r="J982" i="1"/>
  <c r="M918" i="1"/>
  <c r="L918" i="1"/>
  <c r="K918" i="1"/>
  <c r="J918" i="1"/>
  <c r="M878" i="1"/>
  <c r="L878" i="1"/>
  <c r="K878" i="1"/>
  <c r="J878" i="1"/>
  <c r="M750" i="1"/>
  <c r="L750" i="1"/>
  <c r="K750" i="1"/>
  <c r="J750" i="1"/>
  <c r="U702" i="1"/>
  <c r="U693" i="1"/>
  <c r="U677" i="1"/>
  <c r="U661" i="1"/>
  <c r="U645" i="1"/>
  <c r="U637" i="1"/>
  <c r="U621" i="1"/>
  <c r="U605" i="1"/>
  <c r="U589" i="1"/>
  <c r="U565" i="1"/>
  <c r="U541" i="1"/>
  <c r="U517" i="1"/>
  <c r="U493" i="1"/>
  <c r="U469" i="1"/>
  <c r="U445" i="1"/>
  <c r="U421" i="1"/>
  <c r="U405" i="1"/>
  <c r="U381" i="1"/>
  <c r="U349" i="1"/>
  <c r="U325" i="1"/>
  <c r="U301" i="1"/>
  <c r="U269" i="1"/>
  <c r="U245" i="1"/>
  <c r="U213" i="1"/>
  <c r="U189" i="1"/>
  <c r="U165" i="1"/>
  <c r="U141" i="1"/>
  <c r="U117" i="1"/>
  <c r="U93" i="1"/>
  <c r="U69" i="1"/>
  <c r="U45" i="1"/>
  <c r="U29" i="1"/>
  <c r="U5" i="1"/>
  <c r="U480" i="1"/>
  <c r="U377" i="1"/>
  <c r="U328" i="1"/>
  <c r="M1277" i="1"/>
  <c r="L1277" i="1"/>
  <c r="K1277" i="1"/>
  <c r="J1277" i="1"/>
  <c r="M1245" i="1"/>
  <c r="L1245" i="1"/>
  <c r="K1245" i="1"/>
  <c r="J1245" i="1"/>
  <c r="M1213" i="1"/>
  <c r="L1213" i="1"/>
  <c r="K1213" i="1"/>
  <c r="J1213" i="1"/>
  <c r="M1173" i="1"/>
  <c r="L1173" i="1"/>
  <c r="K1173" i="1"/>
  <c r="J1173" i="1"/>
  <c r="M1149" i="1"/>
  <c r="L1149" i="1"/>
  <c r="K1149" i="1"/>
  <c r="J1149" i="1"/>
  <c r="M1109" i="1"/>
  <c r="L1109" i="1"/>
  <c r="K1109" i="1"/>
  <c r="J1109" i="1"/>
  <c r="M1085" i="1"/>
  <c r="L1085" i="1"/>
  <c r="K1085" i="1"/>
  <c r="J1085" i="1"/>
  <c r="M1045" i="1"/>
  <c r="L1045" i="1"/>
  <c r="K1045" i="1"/>
  <c r="J1045" i="1"/>
  <c r="M1021" i="1"/>
  <c r="L1021" i="1"/>
  <c r="K1021" i="1"/>
  <c r="J1021" i="1"/>
  <c r="M981" i="1"/>
  <c r="L981" i="1"/>
  <c r="K981" i="1"/>
  <c r="J981" i="1"/>
  <c r="M957" i="1"/>
  <c r="L957" i="1"/>
  <c r="K957" i="1"/>
  <c r="J957" i="1"/>
  <c r="M917" i="1"/>
  <c r="L917" i="1"/>
  <c r="K917" i="1"/>
  <c r="J917" i="1"/>
  <c r="L893" i="1"/>
  <c r="M893" i="1"/>
  <c r="K893" i="1"/>
  <c r="J893" i="1"/>
  <c r="M749" i="1"/>
  <c r="L749" i="1"/>
  <c r="J749" i="1"/>
  <c r="K749" i="1"/>
  <c r="M709" i="1"/>
  <c r="L709" i="1"/>
  <c r="K709" i="1"/>
  <c r="J709" i="1"/>
  <c r="U684" i="1"/>
  <c r="U676" i="1"/>
  <c r="U652" i="1"/>
  <c r="U644" i="1"/>
  <c r="U620" i="1"/>
  <c r="U612" i="1"/>
  <c r="U588" i="1"/>
  <c r="U580" i="1"/>
  <c r="M564" i="1"/>
  <c r="L564" i="1"/>
  <c r="K564" i="1"/>
  <c r="J564" i="1"/>
  <c r="U556" i="1"/>
  <c r="U548" i="1"/>
  <c r="U524" i="1"/>
  <c r="U516" i="1"/>
  <c r="U492" i="1"/>
  <c r="U484" i="1"/>
  <c r="U460" i="1"/>
  <c r="U452" i="1"/>
  <c r="U428" i="1"/>
  <c r="U420" i="1"/>
  <c r="U396" i="1"/>
  <c r="U388" i="1"/>
  <c r="U364" i="1"/>
  <c r="U356" i="1"/>
  <c r="U332" i="1"/>
  <c r="U324" i="1"/>
  <c r="M308" i="1"/>
  <c r="L308" i="1"/>
  <c r="K308" i="1"/>
  <c r="J308" i="1"/>
  <c r="U300" i="1"/>
  <c r="U292" i="1"/>
  <c r="U268" i="1"/>
  <c r="U260" i="1"/>
  <c r="U236" i="1"/>
  <c r="U228" i="1"/>
  <c r="U204" i="1"/>
  <c r="U196" i="1"/>
  <c r="U172" i="1"/>
  <c r="U164" i="1"/>
  <c r="U140" i="1"/>
  <c r="U132" i="1"/>
  <c r="U108" i="1"/>
  <c r="U100" i="1"/>
  <c r="U76" i="1"/>
  <c r="U68" i="1"/>
  <c r="U44" i="1"/>
  <c r="U36" i="1"/>
  <c r="U12" i="1"/>
  <c r="U4" i="1"/>
  <c r="U1363" i="1"/>
  <c r="U1331" i="1"/>
  <c r="U1299" i="1"/>
  <c r="U1267" i="1"/>
  <c r="U1235" i="1"/>
  <c r="U802" i="1"/>
  <c r="U793" i="1"/>
  <c r="U784" i="1"/>
  <c r="U774" i="1"/>
  <c r="U765" i="1"/>
  <c r="U729" i="1"/>
  <c r="U718" i="1"/>
  <c r="U708" i="1"/>
  <c r="U697" i="1"/>
  <c r="U665" i="1"/>
  <c r="U631" i="1"/>
  <c r="U616" i="1"/>
  <c r="U596" i="1"/>
  <c r="U545" i="1"/>
  <c r="U512" i="1"/>
  <c r="U495" i="1"/>
  <c r="U479" i="1"/>
  <c r="U444" i="1"/>
  <c r="U409" i="1"/>
  <c r="U393" i="1"/>
  <c r="U375" i="1"/>
  <c r="U360" i="1"/>
  <c r="U340" i="1"/>
  <c r="U289" i="1"/>
  <c r="U256" i="1"/>
  <c r="U239" i="1"/>
  <c r="U223" i="1"/>
  <c r="U188" i="1"/>
  <c r="U137" i="1"/>
  <c r="U119" i="1"/>
  <c r="U79" i="1"/>
  <c r="U57" i="1"/>
  <c r="M1354" i="1"/>
  <c r="L1354" i="1"/>
  <c r="K1354" i="1"/>
  <c r="J1354" i="1"/>
  <c r="M1290" i="1"/>
  <c r="L1290" i="1"/>
  <c r="K1290" i="1"/>
  <c r="J1290" i="1"/>
  <c r="M1098" i="1"/>
  <c r="L1098" i="1"/>
  <c r="K1098" i="1"/>
  <c r="J1098" i="1"/>
  <c r="M930" i="1"/>
  <c r="L930" i="1"/>
  <c r="K930" i="1"/>
  <c r="J930" i="1"/>
  <c r="U529" i="1"/>
  <c r="U497" i="1"/>
  <c r="U465" i="1"/>
  <c r="U337" i="1"/>
  <c r="M249" i="1"/>
  <c r="L249" i="1"/>
  <c r="K249" i="1"/>
  <c r="J249" i="1"/>
  <c r="U209" i="1"/>
  <c r="U113" i="1"/>
  <c r="U17" i="1"/>
  <c r="U573" i="1"/>
  <c r="U549" i="1"/>
  <c r="U525" i="1"/>
  <c r="U501" i="1"/>
  <c r="U477" i="1"/>
  <c r="U453" i="1"/>
  <c r="U437" i="1"/>
  <c r="U413" i="1"/>
  <c r="U389" i="1"/>
  <c r="U365" i="1"/>
  <c r="U341" i="1"/>
  <c r="U317" i="1"/>
  <c r="U293" i="1"/>
  <c r="U277" i="1"/>
  <c r="U253" i="1"/>
  <c r="U229" i="1"/>
  <c r="U205" i="1"/>
  <c r="U181" i="1"/>
  <c r="U157" i="1"/>
  <c r="U133" i="1"/>
  <c r="U101" i="1"/>
  <c r="U77" i="1"/>
  <c r="U53" i="1"/>
  <c r="U21" i="1"/>
  <c r="U785" i="1"/>
  <c r="U730" i="1"/>
  <c r="U698" i="1"/>
  <c r="U633" i="1"/>
  <c r="U513" i="1"/>
  <c r="U257" i="1"/>
  <c r="U104" i="1"/>
  <c r="M1373" i="1"/>
  <c r="L1373" i="1"/>
  <c r="K1373" i="1"/>
  <c r="J1373" i="1"/>
  <c r="M1309" i="1"/>
  <c r="L1309" i="1"/>
  <c r="K1309" i="1"/>
  <c r="J1309" i="1"/>
  <c r="M1372" i="1"/>
  <c r="L1372" i="1"/>
  <c r="K1372" i="1"/>
  <c r="J1372" i="1"/>
  <c r="M1340" i="1"/>
  <c r="L1340" i="1"/>
  <c r="K1340" i="1"/>
  <c r="J1340" i="1"/>
  <c r="M1300" i="1"/>
  <c r="L1300" i="1"/>
  <c r="K1300" i="1"/>
  <c r="J1300" i="1"/>
  <c r="M1212" i="1"/>
  <c r="L1212" i="1"/>
  <c r="K1212" i="1"/>
  <c r="J1212" i="1"/>
  <c r="M1188" i="1"/>
  <c r="L1188" i="1"/>
  <c r="K1188" i="1"/>
  <c r="J1188" i="1"/>
  <c r="M1124" i="1"/>
  <c r="L1124" i="1"/>
  <c r="K1124" i="1"/>
  <c r="J1124" i="1"/>
  <c r="M1084" i="1"/>
  <c r="L1084" i="1"/>
  <c r="K1084" i="1"/>
  <c r="J1084" i="1"/>
  <c r="M1060" i="1"/>
  <c r="L1060" i="1"/>
  <c r="K1060" i="1"/>
  <c r="J1060" i="1"/>
  <c r="M1020" i="1"/>
  <c r="L1020" i="1"/>
  <c r="K1020" i="1"/>
  <c r="J1020" i="1"/>
  <c r="M996" i="1"/>
  <c r="L996" i="1"/>
  <c r="K996" i="1"/>
  <c r="J996" i="1"/>
  <c r="M956" i="1"/>
  <c r="L956" i="1"/>
  <c r="K956" i="1"/>
  <c r="J956" i="1"/>
  <c r="M932" i="1"/>
  <c r="L932" i="1"/>
  <c r="K932" i="1"/>
  <c r="J932" i="1"/>
  <c r="M892" i="1"/>
  <c r="L892" i="1"/>
  <c r="K892" i="1"/>
  <c r="J892" i="1"/>
  <c r="L868" i="1"/>
  <c r="M868" i="1"/>
  <c r="K868" i="1"/>
  <c r="M852" i="1"/>
  <c r="L852" i="1"/>
  <c r="K852" i="1"/>
  <c r="J852" i="1"/>
  <c r="M836" i="1"/>
  <c r="L836" i="1"/>
  <c r="K836" i="1"/>
  <c r="J836" i="1"/>
  <c r="M820" i="1"/>
  <c r="L820" i="1"/>
  <c r="K820" i="1"/>
  <c r="J820" i="1"/>
  <c r="M804" i="1"/>
  <c r="L804" i="1"/>
  <c r="K804" i="1"/>
  <c r="J804" i="1"/>
  <c r="M788" i="1"/>
  <c r="L788" i="1"/>
  <c r="K788" i="1"/>
  <c r="J788" i="1"/>
  <c r="M772" i="1"/>
  <c r="L772" i="1"/>
  <c r="K772" i="1"/>
  <c r="J772" i="1"/>
  <c r="M732" i="1"/>
  <c r="L732" i="1"/>
  <c r="K732" i="1"/>
  <c r="J732" i="1"/>
  <c r="M708" i="1"/>
  <c r="L708" i="1"/>
  <c r="K708" i="1"/>
  <c r="J708" i="1"/>
  <c r="U667" i="1"/>
  <c r="U635" i="1"/>
  <c r="U603" i="1"/>
  <c r="U571" i="1"/>
  <c r="U539" i="1"/>
  <c r="U507" i="1"/>
  <c r="U475" i="1"/>
  <c r="U443" i="1"/>
  <c r="U411" i="1"/>
  <c r="U379" i="1"/>
  <c r="U347" i="1"/>
  <c r="U315" i="1"/>
  <c r="U283" i="1"/>
  <c r="U251" i="1"/>
  <c r="U219" i="1"/>
  <c r="U187" i="1"/>
  <c r="M163" i="1"/>
  <c r="L163" i="1"/>
  <c r="K163" i="1"/>
  <c r="J163" i="1"/>
  <c r="U155" i="1"/>
  <c r="U123" i="1"/>
  <c r="U107" i="1"/>
  <c r="U91" i="1"/>
  <c r="U75" i="1"/>
  <c r="U59" i="1"/>
  <c r="U43" i="1"/>
  <c r="U27" i="1"/>
  <c r="U11" i="1"/>
  <c r="U3" i="1"/>
  <c r="U1386" i="1"/>
  <c r="U1378" i="1"/>
  <c r="U1370" i="1"/>
  <c r="U1362" i="1"/>
  <c r="U1354" i="1"/>
  <c r="U1346" i="1"/>
  <c r="U1338" i="1"/>
  <c r="U1330" i="1"/>
  <c r="U1322" i="1"/>
  <c r="U1314" i="1"/>
  <c r="U1306" i="1"/>
  <c r="U1290" i="1"/>
  <c r="U1282" i="1"/>
  <c r="U1266" i="1"/>
  <c r="U1258" i="1"/>
  <c r="U1250" i="1"/>
  <c r="U1242" i="1"/>
  <c r="U1234" i="1"/>
  <c r="U1226" i="1"/>
  <c r="U1218" i="1"/>
  <c r="U1210" i="1"/>
  <c r="U1202" i="1"/>
  <c r="U1194" i="1"/>
  <c r="U1186" i="1"/>
  <c r="U1178" i="1"/>
  <c r="U1170" i="1"/>
  <c r="U1162" i="1"/>
  <c r="U1154" i="1"/>
  <c r="U1138" i="1"/>
  <c r="U1130" i="1"/>
  <c r="U1122" i="1"/>
  <c r="U1114" i="1"/>
  <c r="U1098" i="1"/>
  <c r="U1090" i="1"/>
  <c r="U1082" i="1"/>
  <c r="U1074" i="1"/>
  <c r="U1066" i="1"/>
  <c r="U1058" i="1"/>
  <c r="U1050" i="1"/>
  <c r="U1042" i="1"/>
  <c r="U1034" i="1"/>
  <c r="U1026" i="1"/>
  <c r="U1018" i="1"/>
  <c r="U1010" i="1"/>
  <c r="U1002" i="1"/>
  <c r="U994" i="1"/>
  <c r="U986" i="1"/>
  <c r="U978" i="1"/>
  <c r="U970" i="1"/>
  <c r="U962" i="1"/>
  <c r="U954" i="1"/>
  <c r="U946" i="1"/>
  <c r="U938" i="1"/>
  <c r="U930" i="1"/>
  <c r="U922" i="1"/>
  <c r="U914" i="1"/>
  <c r="U906" i="1"/>
  <c r="U898" i="1"/>
  <c r="U890" i="1"/>
  <c r="U882" i="1"/>
  <c r="U874" i="1"/>
  <c r="U858" i="1"/>
  <c r="U850" i="1"/>
  <c r="U842" i="1"/>
  <c r="U834" i="1"/>
  <c r="U826" i="1"/>
  <c r="U818" i="1"/>
  <c r="U810" i="1"/>
  <c r="U801" i="1"/>
  <c r="U792" i="1"/>
  <c r="U773" i="1"/>
  <c r="U764" i="1"/>
  <c r="U746" i="1"/>
  <c r="U737" i="1"/>
  <c r="U728" i="1"/>
  <c r="U717" i="1"/>
  <c r="U696" i="1"/>
  <c r="U681" i="1"/>
  <c r="U663" i="1"/>
  <c r="U648" i="1"/>
  <c r="U628" i="1"/>
  <c r="U611" i="1"/>
  <c r="U595" i="1"/>
  <c r="U577" i="1"/>
  <c r="U562" i="1"/>
  <c r="U544" i="1"/>
  <c r="U527" i="1"/>
  <c r="U511" i="1"/>
  <c r="U491" i="1"/>
  <c r="U476" i="1"/>
  <c r="U441" i="1"/>
  <c r="U425" i="1"/>
  <c r="U407" i="1"/>
  <c r="U392" i="1"/>
  <c r="U372" i="1"/>
  <c r="U355" i="1"/>
  <c r="U339" i="1"/>
  <c r="U321" i="1"/>
  <c r="U306" i="1"/>
  <c r="U288" i="1"/>
  <c r="U271" i="1"/>
  <c r="U255" i="1"/>
  <c r="U235" i="1"/>
  <c r="U220" i="1"/>
  <c r="U185" i="1"/>
  <c r="U169" i="1"/>
  <c r="U151" i="1"/>
  <c r="U136" i="1"/>
  <c r="U116" i="1"/>
  <c r="U96" i="1"/>
  <c r="U52" i="1"/>
  <c r="U32" i="1"/>
  <c r="U9" i="1"/>
  <c r="M1386" i="1"/>
  <c r="L1386" i="1"/>
  <c r="K1386" i="1"/>
  <c r="J1386" i="1"/>
  <c r="M1322" i="1"/>
  <c r="L1322" i="1"/>
  <c r="K1322" i="1"/>
  <c r="J1322" i="1"/>
  <c r="M1186" i="1"/>
  <c r="L1186" i="1"/>
  <c r="K1186" i="1"/>
  <c r="J1186" i="1"/>
  <c r="M994" i="1"/>
  <c r="L994" i="1"/>
  <c r="K994" i="1"/>
  <c r="J994" i="1"/>
  <c r="M1374" i="1"/>
  <c r="L1374" i="1"/>
  <c r="K1374" i="1"/>
  <c r="J1374" i="1"/>
  <c r="M1342" i="1"/>
  <c r="K1342" i="1"/>
  <c r="L1342" i="1"/>
  <c r="J1342" i="1"/>
  <c r="M1318" i="1"/>
  <c r="L1318" i="1"/>
  <c r="K1318" i="1"/>
  <c r="J1318" i="1"/>
  <c r="M1246" i="1"/>
  <c r="L1246" i="1"/>
  <c r="K1246" i="1"/>
  <c r="J1246" i="1"/>
  <c r="L1198" i="1"/>
  <c r="M1198" i="1"/>
  <c r="K1198" i="1"/>
  <c r="J1198" i="1"/>
  <c r="M1006" i="1"/>
  <c r="K1006" i="1"/>
  <c r="L1006" i="1"/>
  <c r="J1006" i="1"/>
  <c r="M942" i="1"/>
  <c r="L942" i="1"/>
  <c r="K942" i="1"/>
  <c r="J942" i="1"/>
  <c r="M726" i="1"/>
  <c r="L726" i="1"/>
  <c r="K726" i="1"/>
  <c r="J726" i="1"/>
  <c r="U685" i="1"/>
  <c r="U669" i="1"/>
  <c r="U653" i="1"/>
  <c r="U629" i="1"/>
  <c r="U613" i="1"/>
  <c r="U597" i="1"/>
  <c r="U581" i="1"/>
  <c r="U557" i="1"/>
  <c r="U533" i="1"/>
  <c r="U509" i="1"/>
  <c r="U485" i="1"/>
  <c r="U461" i="1"/>
  <c r="U429" i="1"/>
  <c r="U397" i="1"/>
  <c r="U373" i="1"/>
  <c r="U357" i="1"/>
  <c r="U333" i="1"/>
  <c r="U309" i="1"/>
  <c r="U285" i="1"/>
  <c r="U261" i="1"/>
  <c r="U237" i="1"/>
  <c r="U221" i="1"/>
  <c r="U197" i="1"/>
  <c r="U173" i="1"/>
  <c r="U149" i="1"/>
  <c r="U125" i="1"/>
  <c r="U109" i="1"/>
  <c r="U85" i="1"/>
  <c r="U61" i="1"/>
  <c r="U37" i="1"/>
  <c r="U13" i="1"/>
  <c r="U794" i="1"/>
  <c r="U766" i="1"/>
  <c r="U584" i="1"/>
  <c r="U361" i="1"/>
  <c r="U224" i="1"/>
  <c r="U121" i="1"/>
  <c r="U40" i="1"/>
  <c r="M1341" i="1"/>
  <c r="L1341" i="1"/>
  <c r="K1341" i="1"/>
  <c r="J1341" i="1"/>
  <c r="M1364" i="1"/>
  <c r="L1364" i="1"/>
  <c r="K1364" i="1"/>
  <c r="J1364" i="1"/>
  <c r="M1332" i="1"/>
  <c r="L1332" i="1"/>
  <c r="K1332" i="1"/>
  <c r="J1332" i="1"/>
  <c r="M1308" i="1"/>
  <c r="L1308" i="1"/>
  <c r="K1308" i="1"/>
  <c r="J1308" i="1"/>
  <c r="M1268" i="1"/>
  <c r="L1268" i="1"/>
  <c r="K1268" i="1"/>
  <c r="J1268" i="1"/>
  <c r="M1236" i="1"/>
  <c r="L1236" i="1"/>
  <c r="K1236" i="1"/>
  <c r="J1236" i="1"/>
  <c r="M1148" i="1"/>
  <c r="L1148" i="1"/>
  <c r="K1148" i="1"/>
  <c r="J1148" i="1"/>
  <c r="M1363" i="1"/>
  <c r="L1363" i="1"/>
  <c r="K1363" i="1"/>
  <c r="J1363" i="1"/>
  <c r="M1331" i="1"/>
  <c r="L1331" i="1"/>
  <c r="K1331" i="1"/>
  <c r="J1331" i="1"/>
  <c r="M1299" i="1"/>
  <c r="L1299" i="1"/>
  <c r="K1299" i="1"/>
  <c r="J1299" i="1"/>
  <c r="M1267" i="1"/>
  <c r="L1267" i="1"/>
  <c r="K1267" i="1"/>
  <c r="J1267" i="1"/>
  <c r="M1235" i="1"/>
  <c r="L1235" i="1"/>
  <c r="K1235" i="1"/>
  <c r="J1235" i="1"/>
  <c r="U674" i="1"/>
  <c r="U666" i="1"/>
  <c r="U642" i="1"/>
  <c r="U634" i="1"/>
  <c r="U610" i="1"/>
  <c r="U602" i="1"/>
  <c r="U578" i="1"/>
  <c r="U570" i="1"/>
  <c r="M562" i="1"/>
  <c r="L562" i="1"/>
  <c r="K562" i="1"/>
  <c r="J562" i="1"/>
  <c r="U546" i="1"/>
  <c r="U538" i="1"/>
  <c r="U514" i="1"/>
  <c r="U506" i="1"/>
  <c r="U482" i="1"/>
  <c r="U474" i="1"/>
  <c r="U450" i="1"/>
  <c r="U442" i="1"/>
  <c r="U418" i="1"/>
  <c r="U410" i="1"/>
  <c r="U386" i="1"/>
  <c r="U378" i="1"/>
  <c r="U354" i="1"/>
  <c r="U346" i="1"/>
  <c r="U322" i="1"/>
  <c r="U314" i="1"/>
  <c r="M306" i="1"/>
  <c r="L306" i="1"/>
  <c r="K306" i="1"/>
  <c r="J306" i="1"/>
  <c r="U290" i="1"/>
  <c r="U282" i="1"/>
  <c r="U258" i="1"/>
  <c r="U250" i="1"/>
  <c r="U226" i="1"/>
  <c r="U218" i="1"/>
  <c r="U194" i="1"/>
  <c r="U186" i="1"/>
  <c r="U162" i="1"/>
  <c r="U154" i="1"/>
  <c r="U130" i="1"/>
  <c r="U122" i="1"/>
  <c r="U98" i="1"/>
  <c r="U90" i="1"/>
  <c r="U66" i="1"/>
  <c r="U58" i="1"/>
  <c r="U34" i="1"/>
  <c r="U26" i="1"/>
  <c r="U1385" i="1"/>
  <c r="U1377" i="1"/>
  <c r="U1369" i="1"/>
  <c r="U1361" i="1"/>
  <c r="U1353" i="1"/>
  <c r="U1345" i="1"/>
  <c r="U1337" i="1"/>
  <c r="U1329" i="1"/>
  <c r="U1321" i="1"/>
  <c r="U1313" i="1"/>
  <c r="U1305" i="1"/>
  <c r="U1297" i="1"/>
  <c r="U1289" i="1"/>
  <c r="U1281" i="1"/>
  <c r="U1273" i="1"/>
  <c r="U1265" i="1"/>
  <c r="U1257" i="1"/>
  <c r="U1249" i="1"/>
  <c r="U1241" i="1"/>
  <c r="U1233" i="1"/>
  <c r="U1225" i="1"/>
  <c r="U1217" i="1"/>
  <c r="U1209" i="1"/>
  <c r="U1201" i="1"/>
  <c r="U1193" i="1"/>
  <c r="U1185" i="1"/>
  <c r="U1177" i="1"/>
  <c r="U1169" i="1"/>
  <c r="U1161" i="1"/>
  <c r="U1153" i="1"/>
  <c r="U1145" i="1"/>
  <c r="U1137" i="1"/>
  <c r="U1129" i="1"/>
  <c r="U1121" i="1"/>
  <c r="U1113" i="1"/>
  <c r="U1105" i="1"/>
  <c r="U1097" i="1"/>
  <c r="U1089" i="1"/>
  <c r="U1081" i="1"/>
  <c r="U1073" i="1"/>
  <c r="U1065" i="1"/>
  <c r="U1057" i="1"/>
  <c r="U1049" i="1"/>
  <c r="U1041" i="1"/>
  <c r="U1033" i="1"/>
  <c r="U1025" i="1"/>
  <c r="U1017" i="1"/>
  <c r="U1009" i="1"/>
  <c r="U1001" i="1"/>
  <c r="U993" i="1"/>
  <c r="U985" i="1"/>
  <c r="U977" i="1"/>
  <c r="U969" i="1"/>
  <c r="U961" i="1"/>
  <c r="U953" i="1"/>
  <c r="U945" i="1"/>
  <c r="U937" i="1"/>
  <c r="U929" i="1"/>
  <c r="U921" i="1"/>
  <c r="U913" i="1"/>
  <c r="U905" i="1"/>
  <c r="U897" i="1"/>
  <c r="U889" i="1"/>
  <c r="U881" i="1"/>
  <c r="U873" i="1"/>
  <c r="U865" i="1"/>
  <c r="U857" i="1"/>
  <c r="U849" i="1"/>
  <c r="U841" i="1"/>
  <c r="U833" i="1"/>
  <c r="U825" i="1"/>
  <c r="U817" i="1"/>
  <c r="U809" i="1"/>
  <c r="U800" i="1"/>
  <c r="U790" i="1"/>
  <c r="U781" i="1"/>
  <c r="U772" i="1"/>
  <c r="U763" i="1"/>
  <c r="U754" i="1"/>
  <c r="U745" i="1"/>
  <c r="U736" i="1"/>
  <c r="U726" i="1"/>
  <c r="U716" i="1"/>
  <c r="U706" i="1"/>
  <c r="U680" i="1"/>
  <c r="U660" i="1"/>
  <c r="U643" i="1"/>
  <c r="U627" i="1"/>
  <c r="U609" i="1"/>
  <c r="U594" i="1"/>
  <c r="U576" i="1"/>
  <c r="U559" i="1"/>
  <c r="U543" i="1"/>
  <c r="U523" i="1"/>
  <c r="U508" i="1"/>
  <c r="U490" i="1"/>
  <c r="U473" i="1"/>
  <c r="U457" i="1"/>
  <c r="U439" i="1"/>
  <c r="U424" i="1"/>
  <c r="U404" i="1"/>
  <c r="U387" i="1"/>
  <c r="U371" i="1"/>
  <c r="U353" i="1"/>
  <c r="U338" i="1"/>
  <c r="U320" i="1"/>
  <c r="U303" i="1"/>
  <c r="U287" i="1"/>
  <c r="U267" i="1"/>
  <c r="U252" i="1"/>
  <c r="U234" i="1"/>
  <c r="U217" i="1"/>
  <c r="U201" i="1"/>
  <c r="U183" i="1"/>
  <c r="U168" i="1"/>
  <c r="U148" i="1"/>
  <c r="U131" i="1"/>
  <c r="U115" i="1"/>
  <c r="U95" i="1"/>
  <c r="U73" i="1"/>
  <c r="U51" i="1"/>
  <c r="U31" i="1"/>
  <c r="U8" i="1"/>
  <c r="J2" i="1" l="1"/>
  <c r="M330" i="1"/>
  <c r="L330" i="1"/>
  <c r="K330" i="1"/>
  <c r="J330" i="1"/>
  <c r="M690" i="1"/>
  <c r="L690" i="1"/>
  <c r="K690" i="1"/>
  <c r="J690" i="1"/>
  <c r="M819" i="1"/>
  <c r="L819" i="1"/>
  <c r="K819" i="1"/>
  <c r="J819" i="1"/>
  <c r="M1011" i="1"/>
  <c r="L1011" i="1"/>
  <c r="K1011" i="1"/>
  <c r="J1011" i="1"/>
  <c r="M1203" i="1"/>
  <c r="L1203" i="1"/>
  <c r="K1203" i="1"/>
  <c r="J1203" i="1"/>
  <c r="M1387" i="1"/>
  <c r="L1387" i="1"/>
  <c r="K1387" i="1"/>
  <c r="J1387" i="1"/>
  <c r="M485" i="1"/>
  <c r="L485" i="1"/>
  <c r="K485" i="1"/>
  <c r="J485" i="1"/>
  <c r="M11" i="1"/>
  <c r="L11" i="1"/>
  <c r="K11" i="1"/>
  <c r="J11" i="1"/>
  <c r="M115" i="1"/>
  <c r="L115" i="1"/>
  <c r="K115" i="1"/>
  <c r="J115" i="1"/>
  <c r="M251" i="1"/>
  <c r="L251" i="1"/>
  <c r="K251" i="1"/>
  <c r="J251" i="1"/>
  <c r="M339" i="1"/>
  <c r="L339" i="1"/>
  <c r="K339" i="1"/>
  <c r="J339" i="1"/>
  <c r="M395" i="1"/>
  <c r="L395" i="1"/>
  <c r="K395" i="1"/>
  <c r="J395" i="1"/>
  <c r="M451" i="1"/>
  <c r="L451" i="1"/>
  <c r="K451" i="1"/>
  <c r="J451" i="1"/>
  <c r="M507" i="1"/>
  <c r="L507" i="1"/>
  <c r="K507" i="1"/>
  <c r="J507" i="1"/>
  <c r="M595" i="1"/>
  <c r="L595" i="1"/>
  <c r="K595" i="1"/>
  <c r="J595" i="1"/>
  <c r="M651" i="1"/>
  <c r="L651" i="1"/>
  <c r="J651" i="1"/>
  <c r="K651" i="1"/>
  <c r="M700" i="1"/>
  <c r="L700" i="1"/>
  <c r="K700" i="1"/>
  <c r="J700" i="1"/>
  <c r="M724" i="1"/>
  <c r="L724" i="1"/>
  <c r="K724" i="1"/>
  <c r="J724" i="1"/>
  <c r="M748" i="1"/>
  <c r="L748" i="1"/>
  <c r="K748" i="1"/>
  <c r="J748" i="1"/>
  <c r="M796" i="1"/>
  <c r="L796" i="1"/>
  <c r="K796" i="1"/>
  <c r="J796" i="1"/>
  <c r="M860" i="1"/>
  <c r="L860" i="1"/>
  <c r="K860" i="1"/>
  <c r="J860" i="1"/>
  <c r="M77" i="1"/>
  <c r="L77" i="1"/>
  <c r="K77" i="1"/>
  <c r="J77" i="1"/>
  <c r="M277" i="1"/>
  <c r="L277" i="1"/>
  <c r="K277" i="1"/>
  <c r="J277" i="1"/>
  <c r="M453" i="1"/>
  <c r="L453" i="1"/>
  <c r="K453" i="1"/>
  <c r="J453" i="1"/>
  <c r="M73" i="1"/>
  <c r="L73" i="1"/>
  <c r="K73" i="1"/>
  <c r="J73" i="1"/>
  <c r="M529" i="1"/>
  <c r="L529" i="1"/>
  <c r="K529" i="1"/>
  <c r="J529" i="1"/>
  <c r="M649" i="1"/>
  <c r="L649" i="1"/>
  <c r="K649" i="1"/>
  <c r="J649" i="1"/>
  <c r="M810" i="1"/>
  <c r="L810" i="1"/>
  <c r="K810" i="1"/>
  <c r="J810" i="1"/>
  <c r="M1002" i="1"/>
  <c r="L1002" i="1"/>
  <c r="K1002" i="1"/>
  <c r="J1002" i="1"/>
  <c r="M1266" i="1"/>
  <c r="L1266" i="1"/>
  <c r="K1266" i="1"/>
  <c r="J1266" i="1"/>
  <c r="M68" i="1"/>
  <c r="L68" i="1"/>
  <c r="K68" i="1"/>
  <c r="J68" i="1"/>
  <c r="M196" i="1"/>
  <c r="L196" i="1"/>
  <c r="K196" i="1"/>
  <c r="J196" i="1"/>
  <c r="M420" i="1"/>
  <c r="L420" i="1"/>
  <c r="K420" i="1"/>
  <c r="J420" i="1"/>
  <c r="M476" i="1"/>
  <c r="L476" i="1"/>
  <c r="K476" i="1"/>
  <c r="J476" i="1"/>
  <c r="M500" i="1"/>
  <c r="L500" i="1"/>
  <c r="K500" i="1"/>
  <c r="J500" i="1"/>
  <c r="M524" i="1"/>
  <c r="L524" i="1"/>
  <c r="K524" i="1"/>
  <c r="J524" i="1"/>
  <c r="M572" i="1"/>
  <c r="L572" i="1"/>
  <c r="K572" i="1"/>
  <c r="J572" i="1"/>
  <c r="M596" i="1"/>
  <c r="L596" i="1"/>
  <c r="K596" i="1"/>
  <c r="J596" i="1"/>
  <c r="M620" i="1"/>
  <c r="L620" i="1"/>
  <c r="K620" i="1"/>
  <c r="J620" i="1"/>
  <c r="M93" i="1"/>
  <c r="L93" i="1"/>
  <c r="K93" i="1"/>
  <c r="J93" i="1"/>
  <c r="M301" i="1"/>
  <c r="L301" i="1"/>
  <c r="K301" i="1"/>
  <c r="J301" i="1"/>
  <c r="M493" i="1"/>
  <c r="L493" i="1"/>
  <c r="K493" i="1"/>
  <c r="J493" i="1"/>
  <c r="M645" i="1"/>
  <c r="L645" i="1"/>
  <c r="K645" i="1"/>
  <c r="J645" i="1"/>
  <c r="M33" i="1"/>
  <c r="L33" i="1"/>
  <c r="K33" i="1"/>
  <c r="J33" i="1"/>
  <c r="M54" i="1"/>
  <c r="L54" i="1"/>
  <c r="K54" i="1"/>
  <c r="J54" i="1"/>
  <c r="M78" i="1"/>
  <c r="L78" i="1"/>
  <c r="K78" i="1"/>
  <c r="J78" i="1"/>
  <c r="M142" i="1"/>
  <c r="L142" i="1"/>
  <c r="K142" i="1"/>
  <c r="J142" i="1"/>
  <c r="M166" i="1"/>
  <c r="L166" i="1"/>
  <c r="K166" i="1"/>
  <c r="J166" i="1"/>
  <c r="M230" i="1"/>
  <c r="K230" i="1"/>
  <c r="L230" i="1"/>
  <c r="J230" i="1"/>
  <c r="M294" i="1"/>
  <c r="L294" i="1"/>
  <c r="K294" i="1"/>
  <c r="J294" i="1"/>
  <c r="M382" i="1"/>
  <c r="L382" i="1"/>
  <c r="K382" i="1"/>
  <c r="J382" i="1"/>
  <c r="M446" i="1"/>
  <c r="L446" i="1"/>
  <c r="K446" i="1"/>
  <c r="J446" i="1"/>
  <c r="M470" i="1"/>
  <c r="L470" i="1"/>
  <c r="J470" i="1"/>
  <c r="K470" i="1"/>
  <c r="M534" i="1"/>
  <c r="L534" i="1"/>
  <c r="J534" i="1"/>
  <c r="K534" i="1"/>
  <c r="M598" i="1"/>
  <c r="L598" i="1"/>
  <c r="K598" i="1"/>
  <c r="J598" i="1"/>
  <c r="M622" i="1"/>
  <c r="L622" i="1"/>
  <c r="K622" i="1"/>
  <c r="J622" i="1"/>
  <c r="M686" i="1"/>
  <c r="L686" i="1"/>
  <c r="K686" i="1"/>
  <c r="J686" i="1"/>
  <c r="M735" i="1"/>
  <c r="L735" i="1"/>
  <c r="K735" i="1"/>
  <c r="J735" i="1"/>
  <c r="M799" i="1"/>
  <c r="L799" i="1"/>
  <c r="K799" i="1"/>
  <c r="J799" i="1"/>
  <c r="M72" i="1"/>
  <c r="L72" i="1"/>
  <c r="K72" i="1"/>
  <c r="J72" i="1"/>
  <c r="M120" i="1"/>
  <c r="L120" i="1"/>
  <c r="K120" i="1"/>
  <c r="J120" i="1"/>
  <c r="M176" i="1"/>
  <c r="L176" i="1"/>
  <c r="K176" i="1"/>
  <c r="J176" i="1"/>
  <c r="M216" i="1"/>
  <c r="L216" i="1"/>
  <c r="K216" i="1"/>
  <c r="J216" i="1"/>
  <c r="M448" i="1"/>
  <c r="L448" i="1"/>
  <c r="K448" i="1"/>
  <c r="J448" i="1"/>
  <c r="M496" i="1"/>
  <c r="L496" i="1"/>
  <c r="K496" i="1"/>
  <c r="J496" i="1"/>
  <c r="M648" i="1"/>
  <c r="L648" i="1"/>
  <c r="K648" i="1"/>
  <c r="J648" i="1"/>
  <c r="M705" i="1"/>
  <c r="L705" i="1"/>
  <c r="K705" i="1"/>
  <c r="J705" i="1"/>
  <c r="M857" i="1"/>
  <c r="L857" i="1"/>
  <c r="K857" i="1"/>
  <c r="J857" i="1"/>
  <c r="M897" i="1"/>
  <c r="L897" i="1"/>
  <c r="K897" i="1"/>
  <c r="J897" i="1"/>
  <c r="M1057" i="1"/>
  <c r="L1057" i="1"/>
  <c r="K1057" i="1"/>
  <c r="J1057" i="1"/>
  <c r="M1105" i="1"/>
  <c r="L1105" i="1"/>
  <c r="K1105" i="1"/>
  <c r="J1105" i="1"/>
  <c r="M1153" i="1"/>
  <c r="L1153" i="1"/>
  <c r="K1153" i="1"/>
  <c r="J1153" i="1"/>
  <c r="M1209" i="1"/>
  <c r="L1209" i="1"/>
  <c r="K1209" i="1"/>
  <c r="J1209" i="1"/>
  <c r="M1249" i="1"/>
  <c r="L1249" i="1"/>
  <c r="K1249" i="1"/>
  <c r="J1249" i="1"/>
  <c r="M1297" i="1"/>
  <c r="L1297" i="1"/>
  <c r="K1297" i="1"/>
  <c r="J1297" i="1"/>
  <c r="M7" i="1"/>
  <c r="L7" i="1"/>
  <c r="K7" i="1"/>
  <c r="J7" i="1"/>
  <c r="M31" i="1"/>
  <c r="L31" i="1"/>
  <c r="K31" i="1"/>
  <c r="J31" i="1"/>
  <c r="M55" i="1"/>
  <c r="L55" i="1"/>
  <c r="K55" i="1"/>
  <c r="J55" i="1"/>
  <c r="M135" i="1"/>
  <c r="L135" i="1"/>
  <c r="K135" i="1"/>
  <c r="J135" i="1"/>
  <c r="M223" i="1"/>
  <c r="L223" i="1"/>
  <c r="K223" i="1"/>
  <c r="J223" i="1"/>
  <c r="M279" i="1"/>
  <c r="L279" i="1"/>
  <c r="K279" i="1"/>
  <c r="J279" i="1"/>
  <c r="M335" i="1"/>
  <c r="L335" i="1"/>
  <c r="K335" i="1"/>
  <c r="J335" i="1"/>
  <c r="M391" i="1"/>
  <c r="L391" i="1"/>
  <c r="K391" i="1"/>
  <c r="J391" i="1"/>
  <c r="M479" i="1"/>
  <c r="L479" i="1"/>
  <c r="K479" i="1"/>
  <c r="J479" i="1"/>
  <c r="M535" i="1"/>
  <c r="L535" i="1"/>
  <c r="K535" i="1"/>
  <c r="J535" i="1"/>
  <c r="M591" i="1"/>
  <c r="L591" i="1"/>
  <c r="K591" i="1"/>
  <c r="J591" i="1"/>
  <c r="M647" i="1"/>
  <c r="L647" i="1"/>
  <c r="K647" i="1"/>
  <c r="J647" i="1"/>
  <c r="M152" i="1"/>
  <c r="L152" i="1"/>
  <c r="K152" i="1"/>
  <c r="J152" i="1"/>
  <c r="M320" i="1"/>
  <c r="L320" i="1"/>
  <c r="K320" i="1"/>
  <c r="J320" i="1"/>
  <c r="M488" i="1"/>
  <c r="L488" i="1"/>
  <c r="J488" i="1"/>
  <c r="K488" i="1"/>
  <c r="M528" i="1"/>
  <c r="L528" i="1"/>
  <c r="K528" i="1"/>
  <c r="J528" i="1"/>
  <c r="M560" i="1"/>
  <c r="L560" i="1"/>
  <c r="K560" i="1"/>
  <c r="J560" i="1"/>
  <c r="M672" i="1"/>
  <c r="L672" i="1"/>
  <c r="K672" i="1"/>
  <c r="J672" i="1"/>
  <c r="M721" i="1"/>
  <c r="L721" i="1"/>
  <c r="K721" i="1"/>
  <c r="J721" i="1"/>
  <c r="M873" i="1"/>
  <c r="L873" i="1"/>
  <c r="K873" i="1"/>
  <c r="J873" i="1"/>
  <c r="M921" i="1"/>
  <c r="L921" i="1"/>
  <c r="K921" i="1"/>
  <c r="J921" i="1"/>
  <c r="M961" i="1"/>
  <c r="L961" i="1"/>
  <c r="K961" i="1"/>
  <c r="J961" i="1"/>
  <c r="M1017" i="1"/>
  <c r="L1017" i="1"/>
  <c r="K1017" i="1"/>
  <c r="J1017" i="1"/>
  <c r="M1081" i="1"/>
  <c r="L1081" i="1"/>
  <c r="K1081" i="1"/>
  <c r="J1081" i="1"/>
  <c r="M1121" i="1"/>
  <c r="L1121" i="1"/>
  <c r="K1121" i="1"/>
  <c r="J1121" i="1"/>
  <c r="M1177" i="1"/>
  <c r="L1177" i="1"/>
  <c r="K1177" i="1"/>
  <c r="J1177" i="1"/>
  <c r="M1233" i="1"/>
  <c r="L1233" i="1"/>
  <c r="K1233" i="1"/>
  <c r="J1233" i="1"/>
  <c r="M1345" i="1"/>
  <c r="L1345" i="1"/>
  <c r="K1345" i="1"/>
  <c r="J1345" i="1"/>
  <c r="M9" i="1"/>
  <c r="L9" i="1"/>
  <c r="K9" i="1"/>
  <c r="J9" i="1"/>
  <c r="M433" i="1"/>
  <c r="L433" i="1"/>
  <c r="K433" i="1"/>
  <c r="J433" i="1"/>
  <c r="M545" i="1"/>
  <c r="L545" i="1"/>
  <c r="K545" i="1"/>
  <c r="J545" i="1"/>
  <c r="M58" i="1"/>
  <c r="L58" i="1"/>
  <c r="K58" i="1"/>
  <c r="J58" i="1"/>
  <c r="M186" i="1"/>
  <c r="L186" i="1"/>
  <c r="K186" i="1"/>
  <c r="J186" i="1"/>
  <c r="M466" i="1"/>
  <c r="L466" i="1"/>
  <c r="K466" i="1"/>
  <c r="J466" i="1"/>
  <c r="M490" i="1"/>
  <c r="L490" i="1"/>
  <c r="K490" i="1"/>
  <c r="J490" i="1"/>
  <c r="M514" i="1"/>
  <c r="L514" i="1"/>
  <c r="K514" i="1"/>
  <c r="J514" i="1"/>
  <c r="M586" i="1"/>
  <c r="L586" i="1"/>
  <c r="K586" i="1"/>
  <c r="J586" i="1"/>
  <c r="M610" i="1"/>
  <c r="L610" i="1"/>
  <c r="K610" i="1"/>
  <c r="J610" i="1"/>
  <c r="M666" i="1"/>
  <c r="L666" i="1"/>
  <c r="K666" i="1"/>
  <c r="J666" i="1"/>
  <c r="M173" i="1"/>
  <c r="L173" i="1"/>
  <c r="K173" i="1"/>
  <c r="J173" i="1"/>
  <c r="M357" i="1"/>
  <c r="L357" i="1"/>
  <c r="K357" i="1"/>
  <c r="J357" i="1"/>
  <c r="M557" i="1"/>
  <c r="L557" i="1"/>
  <c r="K557" i="1"/>
  <c r="J557" i="1"/>
  <c r="M758" i="1"/>
  <c r="L758" i="1"/>
  <c r="K758" i="1"/>
  <c r="J758" i="1"/>
  <c r="M806" i="1"/>
  <c r="L806" i="1"/>
  <c r="K806" i="1"/>
  <c r="J806" i="1"/>
  <c r="M870" i="1"/>
  <c r="L870" i="1"/>
  <c r="K870" i="1"/>
  <c r="J870" i="1"/>
  <c r="M910" i="1"/>
  <c r="L910" i="1"/>
  <c r="K910" i="1"/>
  <c r="J910" i="1"/>
  <c r="M1166" i="1"/>
  <c r="K1166" i="1"/>
  <c r="L1166" i="1"/>
  <c r="J1166" i="1"/>
  <c r="M1286" i="1"/>
  <c r="L1286" i="1"/>
  <c r="K1286" i="1"/>
  <c r="J1286" i="1"/>
  <c r="M67" i="1"/>
  <c r="L67" i="1"/>
  <c r="K67" i="1"/>
  <c r="J67" i="1"/>
  <c r="M91" i="1"/>
  <c r="L91" i="1"/>
  <c r="K91" i="1"/>
  <c r="J91" i="1"/>
  <c r="M147" i="1"/>
  <c r="L147" i="1"/>
  <c r="K147" i="1"/>
  <c r="J147" i="1"/>
  <c r="M195" i="1"/>
  <c r="L195" i="1"/>
  <c r="K195" i="1"/>
  <c r="J195" i="1"/>
  <c r="M283" i="1"/>
  <c r="L283" i="1"/>
  <c r="K283" i="1"/>
  <c r="J283" i="1"/>
  <c r="M371" i="1"/>
  <c r="K371" i="1"/>
  <c r="L371" i="1"/>
  <c r="J371" i="1"/>
  <c r="M427" i="1"/>
  <c r="L427" i="1"/>
  <c r="K427" i="1"/>
  <c r="J427" i="1"/>
  <c r="M483" i="1"/>
  <c r="L483" i="1"/>
  <c r="K483" i="1"/>
  <c r="J483" i="1"/>
  <c r="M539" i="1"/>
  <c r="L539" i="1"/>
  <c r="K539" i="1"/>
  <c r="J539" i="1"/>
  <c r="M627" i="1"/>
  <c r="L627" i="1"/>
  <c r="K627" i="1"/>
  <c r="J627" i="1"/>
  <c r="M683" i="1"/>
  <c r="L683" i="1"/>
  <c r="J683" i="1"/>
  <c r="K683" i="1"/>
  <c r="M916" i="1"/>
  <c r="L916" i="1"/>
  <c r="K916" i="1"/>
  <c r="J916" i="1"/>
  <c r="M940" i="1"/>
  <c r="L940" i="1"/>
  <c r="K940" i="1"/>
  <c r="J940" i="1"/>
  <c r="M964" i="1"/>
  <c r="L964" i="1"/>
  <c r="K964" i="1"/>
  <c r="J964" i="1"/>
  <c r="M1044" i="1"/>
  <c r="L1044" i="1"/>
  <c r="K1044" i="1"/>
  <c r="J1044" i="1"/>
  <c r="M1068" i="1"/>
  <c r="L1068" i="1"/>
  <c r="K1068" i="1"/>
  <c r="J1068" i="1"/>
  <c r="M1092" i="1"/>
  <c r="L1092" i="1"/>
  <c r="K1092" i="1"/>
  <c r="J1092" i="1"/>
  <c r="M1172" i="1"/>
  <c r="L1172" i="1"/>
  <c r="K1172" i="1"/>
  <c r="J1172" i="1"/>
  <c r="M1276" i="1"/>
  <c r="L1276" i="1"/>
  <c r="K1276" i="1"/>
  <c r="J1276" i="1"/>
  <c r="M1356" i="1"/>
  <c r="L1356" i="1"/>
  <c r="K1356" i="1"/>
  <c r="J1356" i="1"/>
  <c r="M157" i="1"/>
  <c r="L157" i="1"/>
  <c r="K157" i="1"/>
  <c r="J157" i="1"/>
  <c r="M341" i="1"/>
  <c r="L341" i="1"/>
  <c r="K341" i="1"/>
  <c r="J341" i="1"/>
  <c r="M525" i="1"/>
  <c r="L525" i="1"/>
  <c r="K525" i="1"/>
  <c r="J525" i="1"/>
  <c r="M1326" i="1"/>
  <c r="L1326" i="1"/>
  <c r="K1326" i="1"/>
  <c r="J1326" i="1"/>
  <c r="M337" i="1"/>
  <c r="L337" i="1"/>
  <c r="K337" i="1"/>
  <c r="J337" i="1"/>
  <c r="M20" i="1"/>
  <c r="L20" i="1"/>
  <c r="K20" i="1"/>
  <c r="J20" i="1"/>
  <c r="M44" i="1"/>
  <c r="L44" i="1"/>
  <c r="K44" i="1"/>
  <c r="J44" i="1"/>
  <c r="M124" i="1"/>
  <c r="L124" i="1"/>
  <c r="K124" i="1"/>
  <c r="J124" i="1"/>
  <c r="M148" i="1"/>
  <c r="L148" i="1"/>
  <c r="K148" i="1"/>
  <c r="J148" i="1"/>
  <c r="M172" i="1"/>
  <c r="L172" i="1"/>
  <c r="K172" i="1"/>
  <c r="J172" i="1"/>
  <c r="M252" i="1"/>
  <c r="L252" i="1"/>
  <c r="K252" i="1"/>
  <c r="J252" i="1"/>
  <c r="M276" i="1"/>
  <c r="L276" i="1"/>
  <c r="K276" i="1"/>
  <c r="J276" i="1"/>
  <c r="M300" i="1"/>
  <c r="L300" i="1"/>
  <c r="K300" i="1"/>
  <c r="J300" i="1"/>
  <c r="M348" i="1"/>
  <c r="L348" i="1"/>
  <c r="K348" i="1"/>
  <c r="J348" i="1"/>
  <c r="M372" i="1"/>
  <c r="L372" i="1"/>
  <c r="K372" i="1"/>
  <c r="J372" i="1"/>
  <c r="M396" i="1"/>
  <c r="L396" i="1"/>
  <c r="K396" i="1"/>
  <c r="J396" i="1"/>
  <c r="M676" i="1"/>
  <c r="L676" i="1"/>
  <c r="J676" i="1"/>
  <c r="K676" i="1"/>
  <c r="M701" i="1"/>
  <c r="L701" i="1"/>
  <c r="K701" i="1"/>
  <c r="J701" i="1"/>
  <c r="M725" i="1"/>
  <c r="L725" i="1"/>
  <c r="K725" i="1"/>
  <c r="J725" i="1"/>
  <c r="M781" i="1"/>
  <c r="L781" i="1"/>
  <c r="K781" i="1"/>
  <c r="J781" i="1"/>
  <c r="L813" i="1"/>
  <c r="M813" i="1"/>
  <c r="K813" i="1"/>
  <c r="J813" i="1"/>
  <c r="M845" i="1"/>
  <c r="L845" i="1"/>
  <c r="K845" i="1"/>
  <c r="J845" i="1"/>
  <c r="M877" i="1"/>
  <c r="L877" i="1"/>
  <c r="K877" i="1"/>
  <c r="J877" i="1"/>
  <c r="L901" i="1"/>
  <c r="M901" i="1"/>
  <c r="K901" i="1"/>
  <c r="J901" i="1"/>
  <c r="M925" i="1"/>
  <c r="L925" i="1"/>
  <c r="K925" i="1"/>
  <c r="J925" i="1"/>
  <c r="M1005" i="1"/>
  <c r="L1005" i="1"/>
  <c r="K1005" i="1"/>
  <c r="J1005" i="1"/>
  <c r="M1029" i="1"/>
  <c r="L1029" i="1"/>
  <c r="K1029" i="1"/>
  <c r="J1029" i="1"/>
  <c r="M1053" i="1"/>
  <c r="L1053" i="1"/>
  <c r="K1053" i="1"/>
  <c r="J1053" i="1"/>
  <c r="M1133" i="1"/>
  <c r="L1133" i="1"/>
  <c r="K1133" i="1"/>
  <c r="J1133" i="1"/>
  <c r="M1157" i="1"/>
  <c r="L1157" i="1"/>
  <c r="K1157" i="1"/>
  <c r="J1157" i="1"/>
  <c r="M1181" i="1"/>
  <c r="L1181" i="1"/>
  <c r="K1181" i="1"/>
  <c r="J1181" i="1"/>
  <c r="M1237" i="1"/>
  <c r="L1237" i="1"/>
  <c r="K1237" i="1"/>
  <c r="J1237" i="1"/>
  <c r="M1261" i="1"/>
  <c r="L1261" i="1"/>
  <c r="K1261" i="1"/>
  <c r="J1261" i="1"/>
  <c r="M1285" i="1"/>
  <c r="L1285" i="1"/>
  <c r="K1285" i="1"/>
  <c r="J1285" i="1"/>
  <c r="M1333" i="1"/>
  <c r="L1333" i="1"/>
  <c r="K1333" i="1"/>
  <c r="J1333" i="1"/>
  <c r="M165" i="1"/>
  <c r="L165" i="1"/>
  <c r="K165" i="1"/>
  <c r="J165" i="1"/>
  <c r="M381" i="1"/>
  <c r="L381" i="1"/>
  <c r="K381" i="1"/>
  <c r="J381" i="1"/>
  <c r="M565" i="1"/>
  <c r="L565" i="1"/>
  <c r="K565" i="1"/>
  <c r="J565" i="1"/>
  <c r="M693" i="1"/>
  <c r="L693" i="1"/>
  <c r="K693" i="1"/>
  <c r="J693" i="1"/>
  <c r="M734" i="1"/>
  <c r="L734" i="1"/>
  <c r="K734" i="1"/>
  <c r="J734" i="1"/>
  <c r="M774" i="1"/>
  <c r="L774" i="1"/>
  <c r="K774" i="1"/>
  <c r="J774" i="1"/>
  <c r="M846" i="1"/>
  <c r="L846" i="1"/>
  <c r="K846" i="1"/>
  <c r="J846" i="1"/>
  <c r="M966" i="1"/>
  <c r="L966" i="1"/>
  <c r="K966" i="1"/>
  <c r="J966" i="1"/>
  <c r="M1022" i="1"/>
  <c r="L1022" i="1"/>
  <c r="K1022" i="1"/>
  <c r="J1022" i="1"/>
  <c r="M1054" i="1"/>
  <c r="L1054" i="1"/>
  <c r="K1054" i="1"/>
  <c r="J1054" i="1"/>
  <c r="M1078" i="1"/>
  <c r="L1078" i="1"/>
  <c r="K1078" i="1"/>
  <c r="J1078" i="1"/>
  <c r="M1222" i="1"/>
  <c r="L1222" i="1"/>
  <c r="K1222" i="1"/>
  <c r="J1222" i="1"/>
  <c r="M1262" i="1"/>
  <c r="L1262" i="1"/>
  <c r="K1262" i="1"/>
  <c r="J1262" i="1"/>
  <c r="M1366" i="1"/>
  <c r="L1366" i="1"/>
  <c r="K1366" i="1"/>
  <c r="J1366" i="1"/>
  <c r="M145" i="1"/>
  <c r="L145" i="1"/>
  <c r="K145" i="1"/>
  <c r="J145" i="1"/>
  <c r="M241" i="1"/>
  <c r="L241" i="1"/>
  <c r="K241" i="1"/>
  <c r="J241" i="1"/>
  <c r="M305" i="1"/>
  <c r="L305" i="1"/>
  <c r="K305" i="1"/>
  <c r="J305" i="1"/>
  <c r="M425" i="1"/>
  <c r="L425" i="1"/>
  <c r="K425" i="1"/>
  <c r="J425" i="1"/>
  <c r="M537" i="1"/>
  <c r="L537" i="1"/>
  <c r="K537" i="1"/>
  <c r="J537" i="1"/>
  <c r="M625" i="1"/>
  <c r="L625" i="1"/>
  <c r="K625" i="1"/>
  <c r="J625" i="1"/>
  <c r="M722" i="1"/>
  <c r="L722" i="1"/>
  <c r="K722" i="1"/>
  <c r="J722" i="1"/>
  <c r="M842" i="1"/>
  <c r="L842" i="1"/>
  <c r="K842" i="1"/>
  <c r="J842" i="1"/>
  <c r="M1130" i="1"/>
  <c r="L1130" i="1"/>
  <c r="K1130" i="1"/>
  <c r="J1130" i="1"/>
  <c r="M1234" i="1"/>
  <c r="L1234" i="1"/>
  <c r="K1234" i="1"/>
  <c r="J1234" i="1"/>
  <c r="M1370" i="1"/>
  <c r="L1370" i="1"/>
  <c r="K1370" i="1"/>
  <c r="J1370" i="1"/>
  <c r="M14" i="1"/>
  <c r="L14" i="1"/>
  <c r="K14" i="1"/>
  <c r="J14" i="1"/>
  <c r="M102" i="1"/>
  <c r="L102" i="1"/>
  <c r="K102" i="1"/>
  <c r="J102" i="1"/>
  <c r="M190" i="1"/>
  <c r="L190" i="1"/>
  <c r="K190" i="1"/>
  <c r="J190" i="1"/>
  <c r="M254" i="1"/>
  <c r="L254" i="1"/>
  <c r="K254" i="1"/>
  <c r="J254" i="1"/>
  <c r="M318" i="1"/>
  <c r="L318" i="1"/>
  <c r="K318" i="1"/>
  <c r="J318" i="1"/>
  <c r="M406" i="1"/>
  <c r="L406" i="1"/>
  <c r="K406" i="1"/>
  <c r="J406" i="1"/>
  <c r="M494" i="1"/>
  <c r="L494" i="1"/>
  <c r="K494" i="1"/>
  <c r="J494" i="1"/>
  <c r="M558" i="1"/>
  <c r="L558" i="1"/>
  <c r="K558" i="1"/>
  <c r="J558" i="1"/>
  <c r="M646" i="1"/>
  <c r="L646" i="1"/>
  <c r="K646" i="1"/>
  <c r="J646" i="1"/>
  <c r="M695" i="1"/>
  <c r="L695" i="1"/>
  <c r="K695" i="1"/>
  <c r="J695" i="1"/>
  <c r="M759" i="1"/>
  <c r="L759" i="1"/>
  <c r="K759" i="1"/>
  <c r="J759" i="1"/>
  <c r="M831" i="1"/>
  <c r="L831" i="1"/>
  <c r="K831" i="1"/>
  <c r="J831" i="1"/>
  <c r="L863" i="1"/>
  <c r="M863" i="1"/>
  <c r="K863" i="1"/>
  <c r="J863" i="1"/>
  <c r="M895" i="1"/>
  <c r="L895" i="1"/>
  <c r="K895" i="1"/>
  <c r="J895" i="1"/>
  <c r="L927" i="1"/>
  <c r="M927" i="1"/>
  <c r="K927" i="1"/>
  <c r="J927" i="1"/>
  <c r="M959" i="1"/>
  <c r="L959" i="1"/>
  <c r="K959" i="1"/>
  <c r="J959" i="1"/>
  <c r="M991" i="1"/>
  <c r="L991" i="1"/>
  <c r="K991" i="1"/>
  <c r="J991" i="1"/>
  <c r="M1023" i="1"/>
  <c r="L1023" i="1"/>
  <c r="K1023" i="1"/>
  <c r="J1023" i="1"/>
  <c r="M1055" i="1"/>
  <c r="L1055" i="1"/>
  <c r="K1055" i="1"/>
  <c r="J1055" i="1"/>
  <c r="M1087" i="1"/>
  <c r="L1087" i="1"/>
  <c r="K1087" i="1"/>
  <c r="J1087" i="1"/>
  <c r="M1119" i="1"/>
  <c r="L1119" i="1"/>
  <c r="K1119" i="1"/>
  <c r="J1119" i="1"/>
  <c r="M1151" i="1"/>
  <c r="L1151" i="1"/>
  <c r="K1151" i="1"/>
  <c r="J1151" i="1"/>
  <c r="M1183" i="1"/>
  <c r="L1183" i="1"/>
  <c r="K1183" i="1"/>
  <c r="J1183" i="1"/>
  <c r="M1215" i="1"/>
  <c r="L1215" i="1"/>
  <c r="K1215" i="1"/>
  <c r="J1215" i="1"/>
  <c r="M1247" i="1"/>
  <c r="L1247" i="1"/>
  <c r="K1247" i="1"/>
  <c r="J1247" i="1"/>
  <c r="M1279" i="1"/>
  <c r="L1279" i="1"/>
  <c r="K1279" i="1"/>
  <c r="J1279" i="1"/>
  <c r="M1311" i="1"/>
  <c r="L1311" i="1"/>
  <c r="K1311" i="1"/>
  <c r="J1311" i="1"/>
  <c r="M1343" i="1"/>
  <c r="L1343" i="1"/>
  <c r="K1343" i="1"/>
  <c r="J1343" i="1"/>
  <c r="M1375" i="1"/>
  <c r="L1375" i="1"/>
  <c r="K1375" i="1"/>
  <c r="J1375" i="1"/>
  <c r="M24" i="1"/>
  <c r="L24" i="1"/>
  <c r="K24" i="1"/>
  <c r="J24" i="1"/>
  <c r="M328" i="1"/>
  <c r="L328" i="1"/>
  <c r="K328" i="1"/>
  <c r="J328" i="1"/>
  <c r="M408" i="1"/>
  <c r="K408" i="1"/>
  <c r="L408" i="1"/>
  <c r="J408" i="1"/>
  <c r="M568" i="1"/>
  <c r="L568" i="1"/>
  <c r="K568" i="1"/>
  <c r="J568" i="1"/>
  <c r="M624" i="1"/>
  <c r="L624" i="1"/>
  <c r="K624" i="1"/>
  <c r="J624" i="1"/>
  <c r="M57" i="1"/>
  <c r="L57" i="1"/>
  <c r="K57" i="1"/>
  <c r="J57" i="1"/>
  <c r="M169" i="1"/>
  <c r="L169" i="1"/>
  <c r="K169" i="1"/>
  <c r="J169" i="1"/>
  <c r="M281" i="1"/>
  <c r="L281" i="1"/>
  <c r="K281" i="1"/>
  <c r="J281" i="1"/>
  <c r="M689" i="1"/>
  <c r="L689" i="1"/>
  <c r="K689" i="1"/>
  <c r="J689" i="1"/>
  <c r="M698" i="1"/>
  <c r="L698" i="1"/>
  <c r="K698" i="1"/>
  <c r="J698" i="1"/>
  <c r="M834" i="1"/>
  <c r="L834" i="1"/>
  <c r="K834" i="1"/>
  <c r="J834" i="1"/>
  <c r="M938" i="1"/>
  <c r="L938" i="1"/>
  <c r="K938" i="1"/>
  <c r="J938" i="1"/>
  <c r="M1026" i="1"/>
  <c r="L1026" i="1"/>
  <c r="K1026" i="1"/>
  <c r="J1026" i="1"/>
  <c r="M1114" i="1"/>
  <c r="L1114" i="1"/>
  <c r="K1114" i="1"/>
  <c r="J1114" i="1"/>
  <c r="M1218" i="1"/>
  <c r="L1218" i="1"/>
  <c r="K1218" i="1"/>
  <c r="J1218" i="1"/>
  <c r="M111" i="1"/>
  <c r="L111" i="1"/>
  <c r="K111" i="1"/>
  <c r="J111" i="1"/>
  <c r="M167" i="1"/>
  <c r="L167" i="1"/>
  <c r="K167" i="1"/>
  <c r="J167" i="1"/>
  <c r="M255" i="1"/>
  <c r="L255" i="1"/>
  <c r="K255" i="1"/>
  <c r="J255" i="1"/>
  <c r="M311" i="1"/>
  <c r="L311" i="1"/>
  <c r="K311" i="1"/>
  <c r="J311" i="1"/>
  <c r="M367" i="1"/>
  <c r="L367" i="1"/>
  <c r="K367" i="1"/>
  <c r="J367" i="1"/>
  <c r="M423" i="1"/>
  <c r="L423" i="1"/>
  <c r="K423" i="1"/>
  <c r="J423" i="1"/>
  <c r="M511" i="1"/>
  <c r="L511" i="1"/>
  <c r="K511" i="1"/>
  <c r="J511" i="1"/>
  <c r="M567" i="1"/>
  <c r="L567" i="1"/>
  <c r="K567" i="1"/>
  <c r="J567" i="1"/>
  <c r="M623" i="1"/>
  <c r="L623" i="1"/>
  <c r="K623" i="1"/>
  <c r="J623" i="1"/>
  <c r="M679" i="1"/>
  <c r="K679" i="1"/>
  <c r="L679" i="1"/>
  <c r="J679" i="1"/>
  <c r="M704" i="1"/>
  <c r="L704" i="1"/>
  <c r="K704" i="1"/>
  <c r="J704" i="1"/>
  <c r="M736" i="1"/>
  <c r="L736" i="1"/>
  <c r="K736" i="1"/>
  <c r="J736" i="1"/>
  <c r="M768" i="1"/>
  <c r="L768" i="1"/>
  <c r="K768" i="1"/>
  <c r="J768" i="1"/>
  <c r="M800" i="1"/>
  <c r="L800" i="1"/>
  <c r="K800" i="1"/>
  <c r="J800" i="1"/>
  <c r="M832" i="1"/>
  <c r="L832" i="1"/>
  <c r="K832" i="1"/>
  <c r="J832" i="1"/>
  <c r="L864" i="1"/>
  <c r="M864" i="1"/>
  <c r="K864" i="1"/>
  <c r="J864" i="1"/>
  <c r="M896" i="1"/>
  <c r="L896" i="1"/>
  <c r="K896" i="1"/>
  <c r="J896" i="1"/>
  <c r="L928" i="1"/>
  <c r="M928" i="1"/>
  <c r="K928" i="1"/>
  <c r="J928" i="1"/>
  <c r="M960" i="1"/>
  <c r="L960" i="1"/>
  <c r="K960" i="1"/>
  <c r="J960" i="1"/>
  <c r="M992" i="1"/>
  <c r="L992" i="1"/>
  <c r="K992" i="1"/>
  <c r="J992" i="1"/>
  <c r="M1024" i="1"/>
  <c r="L1024" i="1"/>
  <c r="K1024" i="1"/>
  <c r="J1024" i="1"/>
  <c r="M1056" i="1"/>
  <c r="L1056" i="1"/>
  <c r="K1056" i="1"/>
  <c r="J1056" i="1"/>
  <c r="M1088" i="1"/>
  <c r="L1088" i="1"/>
  <c r="K1088" i="1"/>
  <c r="J1088" i="1"/>
  <c r="M1120" i="1"/>
  <c r="L1120" i="1"/>
  <c r="K1120" i="1"/>
  <c r="J1120" i="1"/>
  <c r="M1152" i="1"/>
  <c r="L1152" i="1"/>
  <c r="K1152" i="1"/>
  <c r="J1152" i="1"/>
  <c r="M1184" i="1"/>
  <c r="L1184" i="1"/>
  <c r="K1184" i="1"/>
  <c r="J1184" i="1"/>
  <c r="M1216" i="1"/>
  <c r="L1216" i="1"/>
  <c r="K1216" i="1"/>
  <c r="J1216" i="1"/>
  <c r="M1248" i="1"/>
  <c r="L1248" i="1"/>
  <c r="K1248" i="1"/>
  <c r="J1248" i="1"/>
  <c r="M1280" i="1"/>
  <c r="L1280" i="1"/>
  <c r="K1280" i="1"/>
  <c r="J1280" i="1"/>
  <c r="L1312" i="1"/>
  <c r="M1312" i="1"/>
  <c r="K1312" i="1"/>
  <c r="J1312" i="1"/>
  <c r="M1344" i="1"/>
  <c r="L1344" i="1"/>
  <c r="K1344" i="1"/>
  <c r="J1344" i="1"/>
  <c r="M1376" i="1"/>
  <c r="L1376" i="1"/>
  <c r="K1376" i="1"/>
  <c r="J1376" i="1"/>
  <c r="M64" i="1"/>
  <c r="L64" i="1"/>
  <c r="K64" i="1"/>
  <c r="J64" i="1"/>
  <c r="M112" i="1"/>
  <c r="L112" i="1"/>
  <c r="K112" i="1"/>
  <c r="J112" i="1"/>
  <c r="M224" i="1"/>
  <c r="L224" i="1"/>
  <c r="K224" i="1"/>
  <c r="J224" i="1"/>
  <c r="M272" i="1"/>
  <c r="L272" i="1"/>
  <c r="K272" i="1"/>
  <c r="J272" i="1"/>
  <c r="M440" i="1"/>
  <c r="L440" i="1"/>
  <c r="K440" i="1"/>
  <c r="J440" i="1"/>
  <c r="M129" i="1"/>
  <c r="L129" i="1"/>
  <c r="K129" i="1"/>
  <c r="J129" i="1"/>
  <c r="M265" i="1"/>
  <c r="L265" i="1"/>
  <c r="K265" i="1"/>
  <c r="J265" i="1"/>
  <c r="M714" i="1"/>
  <c r="L714" i="1"/>
  <c r="K714" i="1"/>
  <c r="J714" i="1"/>
  <c r="M826" i="1"/>
  <c r="L826" i="1"/>
  <c r="K826" i="1"/>
  <c r="J826" i="1"/>
  <c r="M946" i="1"/>
  <c r="L946" i="1"/>
  <c r="K946" i="1"/>
  <c r="J946" i="1"/>
  <c r="M1314" i="1"/>
  <c r="L1314" i="1"/>
  <c r="K1314" i="1"/>
  <c r="J1314" i="1"/>
  <c r="M2" i="1"/>
  <c r="L2" i="1"/>
  <c r="K2" i="1"/>
  <c r="M234" i="1"/>
  <c r="L234" i="1"/>
  <c r="K234" i="1"/>
  <c r="J234" i="1"/>
  <c r="M538" i="1"/>
  <c r="L538" i="1"/>
  <c r="K538" i="1"/>
  <c r="J538" i="1"/>
  <c r="M851" i="1"/>
  <c r="L851" i="1"/>
  <c r="K851" i="1"/>
  <c r="J851" i="1"/>
  <c r="M979" i="1"/>
  <c r="L979" i="1"/>
  <c r="K979" i="1"/>
  <c r="J979" i="1"/>
  <c r="M1107" i="1"/>
  <c r="L1107" i="1"/>
  <c r="K1107" i="1"/>
  <c r="J1107" i="1"/>
  <c r="M1259" i="1"/>
  <c r="L1259" i="1"/>
  <c r="K1259" i="1"/>
  <c r="J1259" i="1"/>
  <c r="M1220" i="1"/>
  <c r="L1220" i="1"/>
  <c r="K1220" i="1"/>
  <c r="J1220" i="1"/>
  <c r="M109" i="1"/>
  <c r="L109" i="1"/>
  <c r="K109" i="1"/>
  <c r="J109" i="1"/>
  <c r="M10" i="1"/>
  <c r="L10" i="1"/>
  <c r="K10" i="1"/>
  <c r="J10" i="1"/>
  <c r="M138" i="1"/>
  <c r="L138" i="1"/>
  <c r="K138" i="1"/>
  <c r="J138" i="1"/>
  <c r="M290" i="1"/>
  <c r="L290" i="1"/>
  <c r="K290" i="1"/>
  <c r="J290" i="1"/>
  <c r="M362" i="1"/>
  <c r="L362" i="1"/>
  <c r="K362" i="1"/>
  <c r="J362" i="1"/>
  <c r="M442" i="1"/>
  <c r="L442" i="1"/>
  <c r="K442" i="1"/>
  <c r="J442" i="1"/>
  <c r="M731" i="1"/>
  <c r="L731" i="1"/>
  <c r="K731" i="1"/>
  <c r="J731" i="1"/>
  <c r="M827" i="1"/>
  <c r="L827" i="1"/>
  <c r="K827" i="1"/>
  <c r="J827" i="1"/>
  <c r="M923" i="1"/>
  <c r="L923" i="1"/>
  <c r="K923" i="1"/>
  <c r="J923" i="1"/>
  <c r="M987" i="1"/>
  <c r="L987" i="1"/>
  <c r="K987" i="1"/>
  <c r="J987" i="1"/>
  <c r="M1115" i="1"/>
  <c r="L1115" i="1"/>
  <c r="K1115" i="1"/>
  <c r="J1115" i="1"/>
  <c r="M1339" i="1"/>
  <c r="L1339" i="1"/>
  <c r="K1339" i="1"/>
  <c r="J1339" i="1"/>
  <c r="M1228" i="1"/>
  <c r="L1228" i="1"/>
  <c r="K1228" i="1"/>
  <c r="J1228" i="1"/>
  <c r="M61" i="1"/>
  <c r="L61" i="1"/>
  <c r="K61" i="1"/>
  <c r="J61" i="1"/>
  <c r="M429" i="1"/>
  <c r="L429" i="1"/>
  <c r="K429" i="1"/>
  <c r="J429" i="1"/>
  <c r="M19" i="1"/>
  <c r="L19" i="1"/>
  <c r="K19" i="1"/>
  <c r="J19" i="1"/>
  <c r="M403" i="1"/>
  <c r="L403" i="1"/>
  <c r="K403" i="1"/>
  <c r="J403" i="1"/>
  <c r="M756" i="1"/>
  <c r="L756" i="1"/>
  <c r="K756" i="1"/>
  <c r="J756" i="1"/>
  <c r="M229" i="1"/>
  <c r="L229" i="1"/>
  <c r="K229" i="1"/>
  <c r="J229" i="1"/>
  <c r="M465" i="1"/>
  <c r="L465" i="1"/>
  <c r="K465" i="1"/>
  <c r="J465" i="1"/>
  <c r="M1042" i="1"/>
  <c r="L1042" i="1"/>
  <c r="J1042" i="1"/>
  <c r="K1042" i="1"/>
  <c r="M228" i="1"/>
  <c r="L228" i="1"/>
  <c r="K228" i="1"/>
  <c r="J228" i="1"/>
  <c r="M508" i="1"/>
  <c r="L508" i="1"/>
  <c r="J508" i="1"/>
  <c r="K508" i="1"/>
  <c r="M604" i="1"/>
  <c r="L604" i="1"/>
  <c r="K604" i="1"/>
  <c r="J604" i="1"/>
  <c r="M445" i="1"/>
  <c r="L445" i="1"/>
  <c r="K445" i="1"/>
  <c r="J445" i="1"/>
  <c r="M38" i="1"/>
  <c r="L38" i="1"/>
  <c r="K38" i="1"/>
  <c r="J38" i="1"/>
  <c r="M126" i="1"/>
  <c r="L126" i="1"/>
  <c r="K126" i="1"/>
  <c r="J126" i="1"/>
  <c r="M214" i="1"/>
  <c r="L214" i="1"/>
  <c r="K214" i="1"/>
  <c r="J214" i="1"/>
  <c r="M278" i="1"/>
  <c r="L278" i="1"/>
  <c r="K278" i="1"/>
  <c r="J278" i="1"/>
  <c r="M342" i="1"/>
  <c r="L342" i="1"/>
  <c r="K342" i="1"/>
  <c r="J342" i="1"/>
  <c r="M366" i="1"/>
  <c r="L366" i="1"/>
  <c r="K366" i="1"/>
  <c r="J366" i="1"/>
  <c r="M430" i="1"/>
  <c r="L430" i="1"/>
  <c r="K430" i="1"/>
  <c r="J430" i="1"/>
  <c r="M518" i="1"/>
  <c r="L518" i="1"/>
  <c r="K518" i="1"/>
  <c r="J518" i="1"/>
  <c r="M582" i="1"/>
  <c r="L582" i="1"/>
  <c r="K582" i="1"/>
  <c r="J582" i="1"/>
  <c r="M670" i="1"/>
  <c r="L670" i="1"/>
  <c r="K670" i="1"/>
  <c r="J670" i="1"/>
  <c r="M719" i="1"/>
  <c r="L719" i="1"/>
  <c r="K719" i="1"/>
  <c r="J719" i="1"/>
  <c r="M783" i="1"/>
  <c r="L783" i="1"/>
  <c r="K783" i="1"/>
  <c r="J783" i="1"/>
  <c r="M232" i="1"/>
  <c r="L232" i="1"/>
  <c r="K232" i="1"/>
  <c r="J232" i="1"/>
  <c r="M280" i="1"/>
  <c r="L280" i="1"/>
  <c r="K280" i="1"/>
  <c r="J280" i="1"/>
  <c r="M376" i="1"/>
  <c r="L376" i="1"/>
  <c r="K376" i="1"/>
  <c r="J376" i="1"/>
  <c r="M729" i="1"/>
  <c r="L729" i="1"/>
  <c r="K729" i="1"/>
  <c r="J729" i="1"/>
  <c r="M825" i="1"/>
  <c r="L825" i="1"/>
  <c r="K825" i="1"/>
  <c r="J825" i="1"/>
  <c r="M977" i="1"/>
  <c r="L977" i="1"/>
  <c r="K977" i="1"/>
  <c r="J977" i="1"/>
  <c r="M1065" i="1"/>
  <c r="L1065" i="1"/>
  <c r="K1065" i="1"/>
  <c r="J1065" i="1"/>
  <c r="M1113" i="1"/>
  <c r="L1113" i="1"/>
  <c r="K1113" i="1"/>
  <c r="J1113" i="1"/>
  <c r="M1217" i="1"/>
  <c r="L1217" i="1"/>
  <c r="K1217" i="1"/>
  <c r="J1217" i="1"/>
  <c r="M1265" i="1"/>
  <c r="L1265" i="1"/>
  <c r="K1265" i="1"/>
  <c r="J1265" i="1"/>
  <c r="M1305" i="1"/>
  <c r="L1305" i="1"/>
  <c r="K1305" i="1"/>
  <c r="J1305" i="1"/>
  <c r="M63" i="1"/>
  <c r="L63" i="1"/>
  <c r="K63" i="1"/>
  <c r="J63" i="1"/>
  <c r="M87" i="1"/>
  <c r="L87" i="1"/>
  <c r="K87" i="1"/>
  <c r="J87" i="1"/>
  <c r="M143" i="1"/>
  <c r="L143" i="1"/>
  <c r="K143" i="1"/>
  <c r="J143" i="1"/>
  <c r="M199" i="1"/>
  <c r="L199" i="1"/>
  <c r="K199" i="1"/>
  <c r="J199" i="1"/>
  <c r="M287" i="1"/>
  <c r="L287" i="1"/>
  <c r="K287" i="1"/>
  <c r="J287" i="1"/>
  <c r="M343" i="1"/>
  <c r="L343" i="1"/>
  <c r="K343" i="1"/>
  <c r="J343" i="1"/>
  <c r="M399" i="1"/>
  <c r="L399" i="1"/>
  <c r="K399" i="1"/>
  <c r="J399" i="1"/>
  <c r="M455" i="1"/>
  <c r="L455" i="1"/>
  <c r="K455" i="1"/>
  <c r="J455" i="1"/>
  <c r="M543" i="1"/>
  <c r="L543" i="1"/>
  <c r="J543" i="1"/>
  <c r="K543" i="1"/>
  <c r="M599" i="1"/>
  <c r="L599" i="1"/>
  <c r="K599" i="1"/>
  <c r="J599" i="1"/>
  <c r="M655" i="1"/>
  <c r="L655" i="1"/>
  <c r="K655" i="1"/>
  <c r="J655" i="1"/>
  <c r="M16" i="1"/>
  <c r="L16" i="1"/>
  <c r="K16" i="1"/>
  <c r="J16" i="1"/>
  <c r="M168" i="1"/>
  <c r="L168" i="1"/>
  <c r="K168" i="1"/>
  <c r="J168" i="1"/>
  <c r="M576" i="1"/>
  <c r="L576" i="1"/>
  <c r="K576" i="1"/>
  <c r="J576" i="1"/>
  <c r="M737" i="1"/>
  <c r="L737" i="1"/>
  <c r="K737" i="1"/>
  <c r="J737" i="1"/>
  <c r="M841" i="1"/>
  <c r="L841" i="1"/>
  <c r="K841" i="1"/>
  <c r="J841" i="1"/>
  <c r="M929" i="1"/>
  <c r="L929" i="1"/>
  <c r="K929" i="1"/>
  <c r="J929" i="1"/>
  <c r="M1025" i="1"/>
  <c r="L1025" i="1"/>
  <c r="K1025" i="1"/>
  <c r="J1025" i="1"/>
  <c r="M1089" i="1"/>
  <c r="L1089" i="1"/>
  <c r="K1089" i="1"/>
  <c r="J1089" i="1"/>
  <c r="M1185" i="1"/>
  <c r="L1185" i="1"/>
  <c r="K1185" i="1"/>
  <c r="J1185" i="1"/>
  <c r="M1241" i="1"/>
  <c r="L1241" i="1"/>
  <c r="K1241" i="1"/>
  <c r="J1241" i="1"/>
  <c r="M1361" i="1"/>
  <c r="L1361" i="1"/>
  <c r="K1361" i="1"/>
  <c r="J1361" i="1"/>
  <c r="M369" i="1"/>
  <c r="L369" i="1"/>
  <c r="K369" i="1"/>
  <c r="J369" i="1"/>
  <c r="M457" i="1"/>
  <c r="L457" i="1"/>
  <c r="K457" i="1"/>
  <c r="J457" i="1"/>
  <c r="M569" i="1"/>
  <c r="L569" i="1"/>
  <c r="K569" i="1"/>
  <c r="J569" i="1"/>
  <c r="M90" i="1"/>
  <c r="L90" i="1"/>
  <c r="K90" i="1"/>
  <c r="J90" i="1"/>
  <c r="M218" i="1"/>
  <c r="L218" i="1"/>
  <c r="K218" i="1"/>
  <c r="J218" i="1"/>
  <c r="M314" i="1"/>
  <c r="L314" i="1"/>
  <c r="K314" i="1"/>
  <c r="J314" i="1"/>
  <c r="M418" i="1"/>
  <c r="L418" i="1"/>
  <c r="K418" i="1"/>
  <c r="J418" i="1"/>
  <c r="M498" i="1"/>
  <c r="L498" i="1"/>
  <c r="K498" i="1"/>
  <c r="J498" i="1"/>
  <c r="M522" i="1"/>
  <c r="L522" i="1"/>
  <c r="K522" i="1"/>
  <c r="J522" i="1"/>
  <c r="M546" i="1"/>
  <c r="L546" i="1"/>
  <c r="K546" i="1"/>
  <c r="J546" i="1"/>
  <c r="M594" i="1"/>
  <c r="L594" i="1"/>
  <c r="K594" i="1"/>
  <c r="J594" i="1"/>
  <c r="M618" i="1"/>
  <c r="L618" i="1"/>
  <c r="K618" i="1"/>
  <c r="J618" i="1"/>
  <c r="M642" i="1"/>
  <c r="L642" i="1"/>
  <c r="K642" i="1"/>
  <c r="J642" i="1"/>
  <c r="M125" i="1"/>
  <c r="L125" i="1"/>
  <c r="K125" i="1"/>
  <c r="J125" i="1"/>
  <c r="M309" i="1"/>
  <c r="L309" i="1"/>
  <c r="K309" i="1"/>
  <c r="J309" i="1"/>
  <c r="M509" i="1"/>
  <c r="L509" i="1"/>
  <c r="K509" i="1"/>
  <c r="J509" i="1"/>
  <c r="M669" i="1"/>
  <c r="L669" i="1"/>
  <c r="K669" i="1"/>
  <c r="J669" i="1"/>
  <c r="M710" i="1"/>
  <c r="L710" i="1"/>
  <c r="K710" i="1"/>
  <c r="J710" i="1"/>
  <c r="M766" i="1"/>
  <c r="L766" i="1"/>
  <c r="K766" i="1"/>
  <c r="J766" i="1"/>
  <c r="M822" i="1"/>
  <c r="L822" i="1"/>
  <c r="K822" i="1"/>
  <c r="J822" i="1"/>
  <c r="M886" i="1"/>
  <c r="L886" i="1"/>
  <c r="K886" i="1"/>
  <c r="J886" i="1"/>
  <c r="M926" i="1"/>
  <c r="K926" i="1"/>
  <c r="L926" i="1"/>
  <c r="J926" i="1"/>
  <c r="L974" i="1"/>
  <c r="M974" i="1"/>
  <c r="K974" i="1"/>
  <c r="J974" i="1"/>
  <c r="M1182" i="1"/>
  <c r="L1182" i="1"/>
  <c r="K1182" i="1"/>
  <c r="J1182" i="1"/>
  <c r="M1294" i="1"/>
  <c r="K1294" i="1"/>
  <c r="L1294" i="1"/>
  <c r="J1294" i="1"/>
  <c r="M99" i="1"/>
  <c r="L99" i="1"/>
  <c r="K99" i="1"/>
  <c r="J99" i="1"/>
  <c r="M123" i="1"/>
  <c r="L123" i="1"/>
  <c r="K123" i="1"/>
  <c r="J123" i="1"/>
  <c r="M203" i="1"/>
  <c r="K203" i="1"/>
  <c r="L203" i="1"/>
  <c r="J203" i="1"/>
  <c r="M291" i="1"/>
  <c r="L291" i="1"/>
  <c r="K291" i="1"/>
  <c r="J291" i="1"/>
  <c r="M347" i="1"/>
  <c r="L347" i="1"/>
  <c r="K347" i="1"/>
  <c r="J347" i="1"/>
  <c r="M435" i="1"/>
  <c r="L435" i="1"/>
  <c r="K435" i="1"/>
  <c r="J435" i="1"/>
  <c r="M491" i="1"/>
  <c r="L491" i="1"/>
  <c r="K491" i="1"/>
  <c r="J491" i="1"/>
  <c r="M547" i="1"/>
  <c r="L547" i="1"/>
  <c r="K547" i="1"/>
  <c r="J547" i="1"/>
  <c r="M603" i="1"/>
  <c r="L603" i="1"/>
  <c r="K603" i="1"/>
  <c r="J603" i="1"/>
  <c r="M691" i="1"/>
  <c r="L691" i="1"/>
  <c r="J691" i="1"/>
  <c r="K691" i="1"/>
  <c r="M924" i="1"/>
  <c r="L924" i="1"/>
  <c r="K924" i="1"/>
  <c r="J924" i="1"/>
  <c r="M948" i="1"/>
  <c r="L948" i="1"/>
  <c r="K948" i="1"/>
  <c r="J948" i="1"/>
  <c r="M972" i="1"/>
  <c r="L972" i="1"/>
  <c r="K972" i="1"/>
  <c r="J972" i="1"/>
  <c r="M1052" i="1"/>
  <c r="L1052" i="1"/>
  <c r="K1052" i="1"/>
  <c r="J1052" i="1"/>
  <c r="M1076" i="1"/>
  <c r="L1076" i="1"/>
  <c r="K1076" i="1"/>
  <c r="J1076" i="1"/>
  <c r="M1100" i="1"/>
  <c r="L1100" i="1"/>
  <c r="K1100" i="1"/>
  <c r="J1100" i="1"/>
  <c r="M1140" i="1"/>
  <c r="L1140" i="1"/>
  <c r="K1140" i="1"/>
  <c r="J1140" i="1"/>
  <c r="M1244" i="1"/>
  <c r="L1244" i="1"/>
  <c r="K1244" i="1"/>
  <c r="J1244" i="1"/>
  <c r="M1284" i="1"/>
  <c r="L1284" i="1"/>
  <c r="K1284" i="1"/>
  <c r="J1284" i="1"/>
  <c r="M1316" i="1"/>
  <c r="L1316" i="1"/>
  <c r="J1316" i="1"/>
  <c r="K1316" i="1"/>
  <c r="M101" i="1"/>
  <c r="L101" i="1"/>
  <c r="K101" i="1"/>
  <c r="J101" i="1"/>
  <c r="M293" i="1"/>
  <c r="L293" i="1"/>
  <c r="K293" i="1"/>
  <c r="J293" i="1"/>
  <c r="M477" i="1"/>
  <c r="L477" i="1"/>
  <c r="K477" i="1"/>
  <c r="J477" i="1"/>
  <c r="M113" i="1"/>
  <c r="L113" i="1"/>
  <c r="K113" i="1"/>
  <c r="J113" i="1"/>
  <c r="M385" i="1"/>
  <c r="L385" i="1"/>
  <c r="K385" i="1"/>
  <c r="J385" i="1"/>
  <c r="M28" i="1"/>
  <c r="L28" i="1"/>
  <c r="K28" i="1"/>
  <c r="J28" i="1"/>
  <c r="M52" i="1"/>
  <c r="L52" i="1"/>
  <c r="K52" i="1"/>
  <c r="J52" i="1"/>
  <c r="M76" i="1"/>
  <c r="L76" i="1"/>
  <c r="K76" i="1"/>
  <c r="J76" i="1"/>
  <c r="M156" i="1"/>
  <c r="L156" i="1"/>
  <c r="K156" i="1"/>
  <c r="J156" i="1"/>
  <c r="M180" i="1"/>
  <c r="L180" i="1"/>
  <c r="K180" i="1"/>
  <c r="J180" i="1"/>
  <c r="M204" i="1"/>
  <c r="L204" i="1"/>
  <c r="K204" i="1"/>
  <c r="J204" i="1"/>
  <c r="M284" i="1"/>
  <c r="L284" i="1"/>
  <c r="K284" i="1"/>
  <c r="J284" i="1"/>
  <c r="M380" i="1"/>
  <c r="L380" i="1"/>
  <c r="J380" i="1"/>
  <c r="K380" i="1"/>
  <c r="M404" i="1"/>
  <c r="L404" i="1"/>
  <c r="K404" i="1"/>
  <c r="J404" i="1"/>
  <c r="M428" i="1"/>
  <c r="L428" i="1"/>
  <c r="K428" i="1"/>
  <c r="J428" i="1"/>
  <c r="M484" i="1"/>
  <c r="L484" i="1"/>
  <c r="K484" i="1"/>
  <c r="J484" i="1"/>
  <c r="M580" i="1"/>
  <c r="L580" i="1"/>
  <c r="J580" i="1"/>
  <c r="K580" i="1"/>
  <c r="M733" i="1"/>
  <c r="L733" i="1"/>
  <c r="K733" i="1"/>
  <c r="J733" i="1"/>
  <c r="M757" i="1"/>
  <c r="L757" i="1"/>
  <c r="K757" i="1"/>
  <c r="J757" i="1"/>
  <c r="M789" i="1"/>
  <c r="L789" i="1"/>
  <c r="K789" i="1"/>
  <c r="J789" i="1"/>
  <c r="M821" i="1"/>
  <c r="L821" i="1"/>
  <c r="K821" i="1"/>
  <c r="J821" i="1"/>
  <c r="M853" i="1"/>
  <c r="L853" i="1"/>
  <c r="K853" i="1"/>
  <c r="J853" i="1"/>
  <c r="M885" i="1"/>
  <c r="L885" i="1"/>
  <c r="K885" i="1"/>
  <c r="J885" i="1"/>
  <c r="M909" i="1"/>
  <c r="L909" i="1"/>
  <c r="K909" i="1"/>
  <c r="J909" i="1"/>
  <c r="M933" i="1"/>
  <c r="L933" i="1"/>
  <c r="K933" i="1"/>
  <c r="J933" i="1"/>
  <c r="M1013" i="1"/>
  <c r="L1013" i="1"/>
  <c r="K1013" i="1"/>
  <c r="J1013" i="1"/>
  <c r="M1037" i="1"/>
  <c r="L1037" i="1"/>
  <c r="K1037" i="1"/>
  <c r="J1037" i="1"/>
  <c r="M1061" i="1"/>
  <c r="L1061" i="1"/>
  <c r="K1061" i="1"/>
  <c r="J1061" i="1"/>
  <c r="M1141" i="1"/>
  <c r="L1141" i="1"/>
  <c r="K1141" i="1"/>
  <c r="J1141" i="1"/>
  <c r="M1165" i="1"/>
  <c r="L1165" i="1"/>
  <c r="K1165" i="1"/>
  <c r="J1165" i="1"/>
  <c r="M1189" i="1"/>
  <c r="L1189" i="1"/>
  <c r="K1189" i="1"/>
  <c r="J1189" i="1"/>
  <c r="M1269" i="1"/>
  <c r="K1269" i="1"/>
  <c r="L1269" i="1"/>
  <c r="J1269" i="1"/>
  <c r="M1293" i="1"/>
  <c r="L1293" i="1"/>
  <c r="K1293" i="1"/>
  <c r="J1293" i="1"/>
  <c r="M1349" i="1"/>
  <c r="L1349" i="1"/>
  <c r="K1349" i="1"/>
  <c r="J1349" i="1"/>
  <c r="M117" i="1"/>
  <c r="L117" i="1"/>
  <c r="K117" i="1"/>
  <c r="J117" i="1"/>
  <c r="M325" i="1"/>
  <c r="L325" i="1"/>
  <c r="K325" i="1"/>
  <c r="J325" i="1"/>
  <c r="M517" i="1"/>
  <c r="L517" i="1"/>
  <c r="J517" i="1"/>
  <c r="K517" i="1"/>
  <c r="M661" i="1"/>
  <c r="L661" i="1"/>
  <c r="K661" i="1"/>
  <c r="J661" i="1"/>
  <c r="M742" i="1"/>
  <c r="L742" i="1"/>
  <c r="K742" i="1"/>
  <c r="J742" i="1"/>
  <c r="M790" i="1"/>
  <c r="L790" i="1"/>
  <c r="K790" i="1"/>
  <c r="J790" i="1"/>
  <c r="M862" i="1"/>
  <c r="K862" i="1"/>
  <c r="L862" i="1"/>
  <c r="J862" i="1"/>
  <c r="M1038" i="1"/>
  <c r="K1038" i="1"/>
  <c r="L1038" i="1"/>
  <c r="J1038" i="1"/>
  <c r="M1062" i="1"/>
  <c r="K1062" i="1"/>
  <c r="L1062" i="1"/>
  <c r="J1062" i="1"/>
  <c r="M1086" i="1"/>
  <c r="L1086" i="1"/>
  <c r="K1086" i="1"/>
  <c r="J1086" i="1"/>
  <c r="M1230" i="1"/>
  <c r="L1230" i="1"/>
  <c r="K1230" i="1"/>
  <c r="J1230" i="1"/>
  <c r="M1334" i="1"/>
  <c r="L1334" i="1"/>
  <c r="K1334" i="1"/>
  <c r="J1334" i="1"/>
  <c r="M65" i="1"/>
  <c r="L65" i="1"/>
  <c r="K65" i="1"/>
  <c r="J65" i="1"/>
  <c r="M329" i="1"/>
  <c r="L329" i="1"/>
  <c r="K329" i="1"/>
  <c r="J329" i="1"/>
  <c r="M449" i="1"/>
  <c r="L449" i="1"/>
  <c r="K449" i="1"/>
  <c r="J449" i="1"/>
  <c r="M754" i="1"/>
  <c r="L754" i="1"/>
  <c r="K754" i="1"/>
  <c r="J754" i="1"/>
  <c r="M874" i="1"/>
  <c r="L874" i="1"/>
  <c r="K874" i="1"/>
  <c r="J874" i="1"/>
  <c r="M1154" i="1"/>
  <c r="L1154" i="1"/>
  <c r="K1154" i="1"/>
  <c r="J1154" i="1"/>
  <c r="M1378" i="1"/>
  <c r="L1378" i="1"/>
  <c r="K1378" i="1"/>
  <c r="J1378" i="1"/>
  <c r="M62" i="1"/>
  <c r="L62" i="1"/>
  <c r="K62" i="1"/>
  <c r="J62" i="1"/>
  <c r="M86" i="1"/>
  <c r="K86" i="1"/>
  <c r="L86" i="1"/>
  <c r="J86" i="1"/>
  <c r="M150" i="1"/>
  <c r="L150" i="1"/>
  <c r="K150" i="1"/>
  <c r="J150" i="1"/>
  <c r="M174" i="1"/>
  <c r="L174" i="1"/>
  <c r="K174" i="1"/>
  <c r="J174" i="1"/>
  <c r="M238" i="1"/>
  <c r="L238" i="1"/>
  <c r="K238" i="1"/>
  <c r="J238" i="1"/>
  <c r="M302" i="1"/>
  <c r="L302" i="1"/>
  <c r="K302" i="1"/>
  <c r="J302" i="1"/>
  <c r="M390" i="1"/>
  <c r="L390" i="1"/>
  <c r="K390" i="1"/>
  <c r="J390" i="1"/>
  <c r="M454" i="1"/>
  <c r="L454" i="1"/>
  <c r="K454" i="1"/>
  <c r="J454" i="1"/>
  <c r="M478" i="1"/>
  <c r="L478" i="1"/>
  <c r="K478" i="1"/>
  <c r="J478" i="1"/>
  <c r="M542" i="1"/>
  <c r="L542" i="1"/>
  <c r="J542" i="1"/>
  <c r="K542" i="1"/>
  <c r="M606" i="1"/>
  <c r="L606" i="1"/>
  <c r="K606" i="1"/>
  <c r="J606" i="1"/>
  <c r="M630" i="1"/>
  <c r="L630" i="1"/>
  <c r="K630" i="1"/>
  <c r="J630" i="1"/>
  <c r="M694" i="1"/>
  <c r="L694" i="1"/>
  <c r="K694" i="1"/>
  <c r="J694" i="1"/>
  <c r="L743" i="1"/>
  <c r="M743" i="1"/>
  <c r="K743" i="1"/>
  <c r="J743" i="1"/>
  <c r="M807" i="1"/>
  <c r="L807" i="1"/>
  <c r="K807" i="1"/>
  <c r="J807" i="1"/>
  <c r="M839" i="1"/>
  <c r="L839" i="1"/>
  <c r="K839" i="1"/>
  <c r="J839" i="1"/>
  <c r="M871" i="1"/>
  <c r="L871" i="1"/>
  <c r="K871" i="1"/>
  <c r="J871" i="1"/>
  <c r="L903" i="1"/>
  <c r="M903" i="1"/>
  <c r="K903" i="1"/>
  <c r="J903" i="1"/>
  <c r="M935" i="1"/>
  <c r="L935" i="1"/>
  <c r="K935" i="1"/>
  <c r="J935" i="1"/>
  <c r="M967" i="1"/>
  <c r="L967" i="1"/>
  <c r="K967" i="1"/>
  <c r="J967" i="1"/>
  <c r="M999" i="1"/>
  <c r="L999" i="1"/>
  <c r="K999" i="1"/>
  <c r="J999" i="1"/>
  <c r="M1031" i="1"/>
  <c r="L1031" i="1"/>
  <c r="K1031" i="1"/>
  <c r="J1031" i="1"/>
  <c r="M1063" i="1"/>
  <c r="L1063" i="1"/>
  <c r="K1063" i="1"/>
  <c r="J1063" i="1"/>
  <c r="M1095" i="1"/>
  <c r="L1095" i="1"/>
  <c r="K1095" i="1"/>
  <c r="J1095" i="1"/>
  <c r="M1127" i="1"/>
  <c r="L1127" i="1"/>
  <c r="K1127" i="1"/>
  <c r="J1127" i="1"/>
  <c r="M1159" i="1"/>
  <c r="L1159" i="1"/>
  <c r="K1159" i="1"/>
  <c r="J1159" i="1"/>
  <c r="M1191" i="1"/>
  <c r="L1191" i="1"/>
  <c r="K1191" i="1"/>
  <c r="J1191" i="1"/>
  <c r="M1223" i="1"/>
  <c r="L1223" i="1"/>
  <c r="K1223" i="1"/>
  <c r="J1223" i="1"/>
  <c r="M1255" i="1"/>
  <c r="L1255" i="1"/>
  <c r="K1255" i="1"/>
  <c r="J1255" i="1"/>
  <c r="M1287" i="1"/>
  <c r="L1287" i="1"/>
  <c r="J1287" i="1"/>
  <c r="K1287" i="1"/>
  <c r="M1319" i="1"/>
  <c r="L1319" i="1"/>
  <c r="K1319" i="1"/>
  <c r="J1319" i="1"/>
  <c r="M1351" i="1"/>
  <c r="L1351" i="1"/>
  <c r="K1351" i="1"/>
  <c r="J1351" i="1"/>
  <c r="M1383" i="1"/>
  <c r="L1383" i="1"/>
  <c r="K1383" i="1"/>
  <c r="J1383" i="1"/>
  <c r="M40" i="1"/>
  <c r="L40" i="1"/>
  <c r="K40" i="1"/>
  <c r="J40" i="1"/>
  <c r="M88" i="1"/>
  <c r="L88" i="1"/>
  <c r="K88" i="1"/>
  <c r="J88" i="1"/>
  <c r="M144" i="1"/>
  <c r="L144" i="1"/>
  <c r="K144" i="1"/>
  <c r="J144" i="1"/>
  <c r="M184" i="1"/>
  <c r="L184" i="1"/>
  <c r="K184" i="1"/>
  <c r="J184" i="1"/>
  <c r="M416" i="1"/>
  <c r="L416" i="1"/>
  <c r="K416" i="1"/>
  <c r="J416" i="1"/>
  <c r="M464" i="1"/>
  <c r="L464" i="1"/>
  <c r="K464" i="1"/>
  <c r="J464" i="1"/>
  <c r="M584" i="1"/>
  <c r="L584" i="1"/>
  <c r="K584" i="1"/>
  <c r="J584" i="1"/>
  <c r="M664" i="1"/>
  <c r="L664" i="1"/>
  <c r="K664" i="1"/>
  <c r="J664" i="1"/>
  <c r="M89" i="1"/>
  <c r="L89" i="1"/>
  <c r="K89" i="1"/>
  <c r="J89" i="1"/>
  <c r="M201" i="1"/>
  <c r="L201" i="1"/>
  <c r="K201" i="1"/>
  <c r="J201" i="1"/>
  <c r="M313" i="1"/>
  <c r="L313" i="1"/>
  <c r="K313" i="1"/>
  <c r="J313" i="1"/>
  <c r="M730" i="1"/>
  <c r="L730" i="1"/>
  <c r="K730" i="1"/>
  <c r="J730" i="1"/>
  <c r="M858" i="1"/>
  <c r="L858" i="1"/>
  <c r="K858" i="1"/>
  <c r="J858" i="1"/>
  <c r="M954" i="1"/>
  <c r="L954" i="1"/>
  <c r="K954" i="1"/>
  <c r="J954" i="1"/>
  <c r="M1050" i="1"/>
  <c r="L1050" i="1"/>
  <c r="K1050" i="1"/>
  <c r="J1050" i="1"/>
  <c r="M1138" i="1"/>
  <c r="L1138" i="1"/>
  <c r="J1138" i="1"/>
  <c r="K1138" i="1"/>
  <c r="M1250" i="1"/>
  <c r="L1250" i="1"/>
  <c r="K1250" i="1"/>
  <c r="J1250" i="1"/>
  <c r="M15" i="1"/>
  <c r="L15" i="1"/>
  <c r="K15" i="1"/>
  <c r="J15" i="1"/>
  <c r="M39" i="1"/>
  <c r="L39" i="1"/>
  <c r="K39" i="1"/>
  <c r="J39" i="1"/>
  <c r="M119" i="1"/>
  <c r="L119" i="1"/>
  <c r="K119" i="1"/>
  <c r="J119" i="1"/>
  <c r="M175" i="1"/>
  <c r="L175" i="1"/>
  <c r="K175" i="1"/>
  <c r="J175" i="1"/>
  <c r="M231" i="1"/>
  <c r="L231" i="1"/>
  <c r="K231" i="1"/>
  <c r="J231" i="1"/>
  <c r="M319" i="1"/>
  <c r="L319" i="1"/>
  <c r="K319" i="1"/>
  <c r="J319" i="1"/>
  <c r="M375" i="1"/>
  <c r="L375" i="1"/>
  <c r="K375" i="1"/>
  <c r="J375" i="1"/>
  <c r="M431" i="1"/>
  <c r="L431" i="1"/>
  <c r="K431" i="1"/>
  <c r="J431" i="1"/>
  <c r="M487" i="1"/>
  <c r="L487" i="1"/>
  <c r="K487" i="1"/>
  <c r="J487" i="1"/>
  <c r="M575" i="1"/>
  <c r="L575" i="1"/>
  <c r="K575" i="1"/>
  <c r="J575" i="1"/>
  <c r="M631" i="1"/>
  <c r="L631" i="1"/>
  <c r="K631" i="1"/>
  <c r="J631" i="1"/>
  <c r="M687" i="1"/>
  <c r="L687" i="1"/>
  <c r="K687" i="1"/>
  <c r="J687" i="1"/>
  <c r="M712" i="1"/>
  <c r="L712" i="1"/>
  <c r="K712" i="1"/>
  <c r="J712" i="1"/>
  <c r="M744" i="1"/>
  <c r="L744" i="1"/>
  <c r="K744" i="1"/>
  <c r="J744" i="1"/>
  <c r="M776" i="1"/>
  <c r="L776" i="1"/>
  <c r="K776" i="1"/>
  <c r="J776" i="1"/>
  <c r="M808" i="1"/>
  <c r="L808" i="1"/>
  <c r="K808" i="1"/>
  <c r="J808" i="1"/>
  <c r="M840" i="1"/>
  <c r="L840" i="1"/>
  <c r="K840" i="1"/>
  <c r="J840" i="1"/>
  <c r="M872" i="1"/>
  <c r="L872" i="1"/>
  <c r="K872" i="1"/>
  <c r="J872" i="1"/>
  <c r="M904" i="1"/>
  <c r="L904" i="1"/>
  <c r="K904" i="1"/>
  <c r="J904" i="1"/>
  <c r="M936" i="1"/>
  <c r="L936" i="1"/>
  <c r="K936" i="1"/>
  <c r="J936" i="1"/>
  <c r="L968" i="1"/>
  <c r="M968" i="1"/>
  <c r="K968" i="1"/>
  <c r="J968" i="1"/>
  <c r="M1000" i="1"/>
  <c r="L1000" i="1"/>
  <c r="K1000" i="1"/>
  <c r="J1000" i="1"/>
  <c r="M1032" i="1"/>
  <c r="L1032" i="1"/>
  <c r="K1032" i="1"/>
  <c r="J1032" i="1"/>
  <c r="M1064" i="1"/>
  <c r="L1064" i="1"/>
  <c r="K1064" i="1"/>
  <c r="J1064" i="1"/>
  <c r="M1096" i="1"/>
  <c r="L1096" i="1"/>
  <c r="K1096" i="1"/>
  <c r="J1096" i="1"/>
  <c r="M1128" i="1"/>
  <c r="L1128" i="1"/>
  <c r="K1128" i="1"/>
  <c r="J1128" i="1"/>
  <c r="M1160" i="1"/>
  <c r="L1160" i="1"/>
  <c r="K1160" i="1"/>
  <c r="J1160" i="1"/>
  <c r="M1192" i="1"/>
  <c r="L1192" i="1"/>
  <c r="K1192" i="1"/>
  <c r="J1192" i="1"/>
  <c r="M1224" i="1"/>
  <c r="L1224" i="1"/>
  <c r="K1224" i="1"/>
  <c r="J1224" i="1"/>
  <c r="M1256" i="1"/>
  <c r="L1256" i="1"/>
  <c r="K1256" i="1"/>
  <c r="J1256" i="1"/>
  <c r="M1288" i="1"/>
  <c r="L1288" i="1"/>
  <c r="K1288" i="1"/>
  <c r="J1288" i="1"/>
  <c r="M1320" i="1"/>
  <c r="L1320" i="1"/>
  <c r="K1320" i="1"/>
  <c r="J1320" i="1"/>
  <c r="M1352" i="1"/>
  <c r="L1352" i="1"/>
  <c r="K1352" i="1"/>
  <c r="J1352" i="1"/>
  <c r="M1384" i="1"/>
  <c r="L1384" i="1"/>
  <c r="K1384" i="1"/>
  <c r="J1384" i="1"/>
  <c r="M128" i="1"/>
  <c r="L128" i="1"/>
  <c r="K128" i="1"/>
  <c r="J128" i="1"/>
  <c r="M288" i="1"/>
  <c r="L288" i="1"/>
  <c r="K288" i="1"/>
  <c r="J288" i="1"/>
  <c r="M336" i="1"/>
  <c r="L336" i="1"/>
  <c r="K336" i="1"/>
  <c r="J336" i="1"/>
  <c r="M456" i="1"/>
  <c r="L456" i="1"/>
  <c r="K456" i="1"/>
  <c r="J456" i="1"/>
  <c r="M504" i="1"/>
  <c r="L504" i="1"/>
  <c r="K504" i="1"/>
  <c r="J504" i="1"/>
  <c r="M536" i="1"/>
  <c r="L536" i="1"/>
  <c r="K536" i="1"/>
  <c r="J536" i="1"/>
  <c r="M688" i="1"/>
  <c r="L688" i="1"/>
  <c r="K688" i="1"/>
  <c r="J688" i="1"/>
  <c r="M697" i="1"/>
  <c r="L697" i="1"/>
  <c r="K697" i="1"/>
  <c r="J697" i="1"/>
  <c r="M49" i="1"/>
  <c r="L49" i="1"/>
  <c r="K49" i="1"/>
  <c r="J49" i="1"/>
  <c r="M161" i="1"/>
  <c r="L161" i="1"/>
  <c r="K161" i="1"/>
  <c r="J161" i="1"/>
  <c r="M297" i="1"/>
  <c r="L297" i="1"/>
  <c r="K297" i="1"/>
  <c r="J297" i="1"/>
  <c r="M746" i="1"/>
  <c r="L746" i="1"/>
  <c r="K746" i="1"/>
  <c r="J746" i="1"/>
  <c r="M850" i="1"/>
  <c r="L850" i="1"/>
  <c r="K850" i="1"/>
  <c r="J850" i="1"/>
  <c r="M962" i="1"/>
  <c r="L962" i="1"/>
  <c r="K962" i="1"/>
  <c r="J962" i="1"/>
  <c r="M1194" i="1"/>
  <c r="L1194" i="1"/>
  <c r="K1194" i="1"/>
  <c r="J1194" i="1"/>
  <c r="M1346" i="1"/>
  <c r="L1346" i="1"/>
  <c r="K1346" i="1"/>
  <c r="J1346" i="1"/>
  <c r="M561" i="1"/>
  <c r="L561" i="1"/>
  <c r="K561" i="1"/>
  <c r="J561" i="1"/>
  <c r="M657" i="1"/>
  <c r="L657" i="1"/>
  <c r="K657" i="1"/>
  <c r="J657" i="1"/>
  <c r="M22" i="1"/>
  <c r="L22" i="1"/>
  <c r="K22" i="1"/>
  <c r="J22" i="1"/>
  <c r="M110" i="1"/>
  <c r="L110" i="1"/>
  <c r="K110" i="1"/>
  <c r="J110" i="1"/>
  <c r="M198" i="1"/>
  <c r="L198" i="1"/>
  <c r="K198" i="1"/>
  <c r="J198" i="1"/>
  <c r="M262" i="1"/>
  <c r="L262" i="1"/>
  <c r="K262" i="1"/>
  <c r="J262" i="1"/>
  <c r="M326" i="1"/>
  <c r="L326" i="1"/>
  <c r="K326" i="1"/>
  <c r="J326" i="1"/>
  <c r="M414" i="1"/>
  <c r="L414" i="1"/>
  <c r="J414" i="1"/>
  <c r="K414" i="1"/>
  <c r="M502" i="1"/>
  <c r="L502" i="1"/>
  <c r="K502" i="1"/>
  <c r="J502" i="1"/>
  <c r="M566" i="1"/>
  <c r="L566" i="1"/>
  <c r="K566" i="1"/>
  <c r="J566" i="1"/>
  <c r="M654" i="1"/>
  <c r="L654" i="1"/>
  <c r="K654" i="1"/>
  <c r="J654" i="1"/>
  <c r="M703" i="1"/>
  <c r="L703" i="1"/>
  <c r="K703" i="1"/>
  <c r="J703" i="1"/>
  <c r="M767" i="1"/>
  <c r="L767" i="1"/>
  <c r="K767" i="1"/>
  <c r="J767" i="1"/>
  <c r="M296" i="1"/>
  <c r="L296" i="1"/>
  <c r="K296" i="1"/>
  <c r="J296" i="1"/>
  <c r="M344" i="1"/>
  <c r="L344" i="1"/>
  <c r="K344" i="1"/>
  <c r="J344" i="1"/>
  <c r="M384" i="1"/>
  <c r="L384" i="1"/>
  <c r="K384" i="1"/>
  <c r="J384" i="1"/>
  <c r="M632" i="1"/>
  <c r="L632" i="1"/>
  <c r="K632" i="1"/>
  <c r="J632" i="1"/>
  <c r="M745" i="1"/>
  <c r="L745" i="1"/>
  <c r="K745" i="1"/>
  <c r="J745" i="1"/>
  <c r="M793" i="1"/>
  <c r="L793" i="1"/>
  <c r="K793" i="1"/>
  <c r="J793" i="1"/>
  <c r="M985" i="1"/>
  <c r="L985" i="1"/>
  <c r="K985" i="1"/>
  <c r="J985" i="1"/>
  <c r="M1041" i="1"/>
  <c r="L1041" i="1"/>
  <c r="K1041" i="1"/>
  <c r="J1041" i="1"/>
  <c r="M1129" i="1"/>
  <c r="L1129" i="1"/>
  <c r="K1129" i="1"/>
  <c r="J1129" i="1"/>
  <c r="M1273" i="1"/>
  <c r="L1273" i="1"/>
  <c r="K1273" i="1"/>
  <c r="J1273" i="1"/>
  <c r="M1313" i="1"/>
  <c r="K1313" i="1"/>
  <c r="L1313" i="1"/>
  <c r="J1313" i="1"/>
  <c r="M593" i="1"/>
  <c r="L593" i="1"/>
  <c r="K593" i="1"/>
  <c r="J593" i="1"/>
  <c r="M95" i="1"/>
  <c r="L95" i="1"/>
  <c r="K95" i="1"/>
  <c r="J95" i="1"/>
  <c r="M151" i="1"/>
  <c r="L151" i="1"/>
  <c r="K151" i="1"/>
  <c r="J151" i="1"/>
  <c r="M207" i="1"/>
  <c r="L207" i="1"/>
  <c r="K207" i="1"/>
  <c r="J207" i="1"/>
  <c r="M263" i="1"/>
  <c r="L263" i="1"/>
  <c r="K263" i="1"/>
  <c r="J263" i="1"/>
  <c r="M351" i="1"/>
  <c r="L351" i="1"/>
  <c r="K351" i="1"/>
  <c r="J351" i="1"/>
  <c r="M407" i="1"/>
  <c r="L407" i="1"/>
  <c r="K407" i="1"/>
  <c r="J407" i="1"/>
  <c r="M463" i="1"/>
  <c r="L463" i="1"/>
  <c r="K463" i="1"/>
  <c r="J463" i="1"/>
  <c r="M519" i="1"/>
  <c r="L519" i="1"/>
  <c r="K519" i="1"/>
  <c r="J519" i="1"/>
  <c r="M607" i="1"/>
  <c r="L607" i="1"/>
  <c r="K607" i="1"/>
  <c r="J607" i="1"/>
  <c r="M663" i="1"/>
  <c r="L663" i="1"/>
  <c r="K663" i="1"/>
  <c r="J663" i="1"/>
  <c r="M32" i="1"/>
  <c r="L32" i="1"/>
  <c r="K32" i="1"/>
  <c r="J32" i="1"/>
  <c r="M80" i="1"/>
  <c r="L80" i="1"/>
  <c r="K80" i="1"/>
  <c r="J80" i="1"/>
  <c r="M192" i="1"/>
  <c r="L192" i="1"/>
  <c r="K192" i="1"/>
  <c r="J192" i="1"/>
  <c r="M240" i="1"/>
  <c r="L240" i="1"/>
  <c r="K240" i="1"/>
  <c r="J240" i="1"/>
  <c r="M400" i="1"/>
  <c r="L400" i="1"/>
  <c r="K400" i="1"/>
  <c r="J400" i="1"/>
  <c r="M761" i="1"/>
  <c r="L761" i="1"/>
  <c r="K761" i="1"/>
  <c r="J761" i="1"/>
  <c r="M809" i="1"/>
  <c r="L809" i="1"/>
  <c r="K809" i="1"/>
  <c r="J809" i="1"/>
  <c r="L937" i="1"/>
  <c r="M937" i="1"/>
  <c r="K937" i="1"/>
  <c r="J937" i="1"/>
  <c r="M1329" i="1"/>
  <c r="L1329" i="1"/>
  <c r="K1329" i="1"/>
  <c r="J1329" i="1"/>
  <c r="M1369" i="1"/>
  <c r="L1369" i="1"/>
  <c r="J1369" i="1"/>
  <c r="K1369" i="1"/>
  <c r="M489" i="1"/>
  <c r="L489" i="1"/>
  <c r="K489" i="1"/>
  <c r="J489" i="1"/>
  <c r="M601" i="1"/>
  <c r="L601" i="1"/>
  <c r="K601" i="1"/>
  <c r="J601" i="1"/>
  <c r="M82" i="1"/>
  <c r="L82" i="1"/>
  <c r="K82" i="1"/>
  <c r="J82" i="1"/>
  <c r="M258" i="1"/>
  <c r="L258" i="1"/>
  <c r="K258" i="1"/>
  <c r="J258" i="1"/>
  <c r="M634" i="1"/>
  <c r="L634" i="1"/>
  <c r="K634" i="1"/>
  <c r="J634" i="1"/>
  <c r="M723" i="1"/>
  <c r="L723" i="1"/>
  <c r="K723" i="1"/>
  <c r="J723" i="1"/>
  <c r="M915" i="1"/>
  <c r="L915" i="1"/>
  <c r="K915" i="1"/>
  <c r="J915" i="1"/>
  <c r="M1075" i="1"/>
  <c r="L1075" i="1"/>
  <c r="K1075" i="1"/>
  <c r="J1075" i="1"/>
  <c r="M1307" i="1"/>
  <c r="L1307" i="1"/>
  <c r="K1307" i="1"/>
  <c r="J1307" i="1"/>
  <c r="M653" i="1"/>
  <c r="L653" i="1"/>
  <c r="K653" i="1"/>
  <c r="J653" i="1"/>
  <c r="M1083" i="1"/>
  <c r="L1083" i="1"/>
  <c r="J1083" i="1"/>
  <c r="K1083" i="1"/>
  <c r="M1211" i="1"/>
  <c r="L1211" i="1"/>
  <c r="K1211" i="1"/>
  <c r="J1211" i="1"/>
  <c r="M237" i="1"/>
  <c r="L237" i="1"/>
  <c r="K237" i="1"/>
  <c r="J237" i="1"/>
  <c r="M613" i="1"/>
  <c r="L613" i="1"/>
  <c r="K613" i="1"/>
  <c r="J613" i="1"/>
  <c r="M227" i="1"/>
  <c r="L227" i="1"/>
  <c r="K227" i="1"/>
  <c r="J227" i="1"/>
  <c r="M515" i="1"/>
  <c r="L515" i="1"/>
  <c r="K515" i="1"/>
  <c r="J515" i="1"/>
  <c r="M1170" i="1"/>
  <c r="L1170" i="1"/>
  <c r="J1170" i="1"/>
  <c r="K1170" i="1"/>
  <c r="M100" i="1"/>
  <c r="L100" i="1"/>
  <c r="K100" i="1"/>
  <c r="J100" i="1"/>
  <c r="M532" i="1"/>
  <c r="L532" i="1"/>
  <c r="K532" i="1"/>
  <c r="J532" i="1"/>
  <c r="M66" i="1"/>
  <c r="L66" i="1"/>
  <c r="K66" i="1"/>
  <c r="J66" i="1"/>
  <c r="M170" i="1"/>
  <c r="L170" i="1"/>
  <c r="K170" i="1"/>
  <c r="J170" i="1"/>
  <c r="M298" i="1"/>
  <c r="L298" i="1"/>
  <c r="K298" i="1"/>
  <c r="J298" i="1"/>
  <c r="M474" i="1"/>
  <c r="L474" i="1"/>
  <c r="K474" i="1"/>
  <c r="J474" i="1"/>
  <c r="M674" i="1"/>
  <c r="L674" i="1"/>
  <c r="K674" i="1"/>
  <c r="J674" i="1"/>
  <c r="M707" i="1"/>
  <c r="L707" i="1"/>
  <c r="K707" i="1"/>
  <c r="J707" i="1"/>
  <c r="M803" i="1"/>
  <c r="L803" i="1"/>
  <c r="K803" i="1"/>
  <c r="J803" i="1"/>
  <c r="M899" i="1"/>
  <c r="L899" i="1"/>
  <c r="K899" i="1"/>
  <c r="J899" i="1"/>
  <c r="M995" i="1"/>
  <c r="L995" i="1"/>
  <c r="K995" i="1"/>
  <c r="J995" i="1"/>
  <c r="M1091" i="1"/>
  <c r="L1091" i="1"/>
  <c r="K1091" i="1"/>
  <c r="J1091" i="1"/>
  <c r="M1243" i="1"/>
  <c r="L1243" i="1"/>
  <c r="K1243" i="1"/>
  <c r="J1243" i="1"/>
  <c r="M1347" i="1"/>
  <c r="L1347" i="1"/>
  <c r="K1347" i="1"/>
  <c r="J1347" i="1"/>
  <c r="M1196" i="1"/>
  <c r="L1196" i="1"/>
  <c r="K1196" i="1"/>
  <c r="J1196" i="1"/>
  <c r="M13" i="1"/>
  <c r="L13" i="1"/>
  <c r="K13" i="1"/>
  <c r="J13" i="1"/>
  <c r="M267" i="1"/>
  <c r="L267" i="1"/>
  <c r="K267" i="1"/>
  <c r="J267" i="1"/>
  <c r="M379" i="1"/>
  <c r="L379" i="1"/>
  <c r="K379" i="1"/>
  <c r="J379" i="1"/>
  <c r="M549" i="1"/>
  <c r="L549" i="1"/>
  <c r="K549" i="1"/>
  <c r="J549" i="1"/>
  <c r="M1074" i="1"/>
  <c r="L1074" i="1"/>
  <c r="K1074" i="1"/>
  <c r="J1074" i="1"/>
  <c r="M356" i="1"/>
  <c r="L356" i="1"/>
  <c r="K356" i="1"/>
  <c r="J356" i="1"/>
  <c r="M684" i="1"/>
  <c r="L684" i="1"/>
  <c r="K684" i="1"/>
  <c r="J684" i="1"/>
  <c r="M189" i="1"/>
  <c r="L189" i="1"/>
  <c r="K189" i="1"/>
  <c r="J189" i="1"/>
  <c r="M122" i="1"/>
  <c r="L122" i="1"/>
  <c r="K122" i="1"/>
  <c r="J122" i="1"/>
  <c r="M250" i="1"/>
  <c r="L250" i="1"/>
  <c r="K250" i="1"/>
  <c r="J250" i="1"/>
  <c r="M346" i="1"/>
  <c r="L346" i="1"/>
  <c r="K346" i="1"/>
  <c r="J346" i="1"/>
  <c r="M426" i="1"/>
  <c r="L426" i="1"/>
  <c r="K426" i="1"/>
  <c r="J426" i="1"/>
  <c r="M450" i="1"/>
  <c r="L450" i="1"/>
  <c r="K450" i="1"/>
  <c r="J450" i="1"/>
  <c r="M530" i="1"/>
  <c r="L530" i="1"/>
  <c r="K530" i="1"/>
  <c r="J530" i="1"/>
  <c r="M554" i="1"/>
  <c r="L554" i="1"/>
  <c r="K554" i="1"/>
  <c r="J554" i="1"/>
  <c r="M626" i="1"/>
  <c r="L626" i="1"/>
  <c r="K626" i="1"/>
  <c r="J626" i="1"/>
  <c r="M650" i="1"/>
  <c r="L650" i="1"/>
  <c r="K650" i="1"/>
  <c r="J650" i="1"/>
  <c r="M85" i="1"/>
  <c r="L85" i="1"/>
  <c r="K85" i="1"/>
  <c r="J85" i="1"/>
  <c r="M261" i="1"/>
  <c r="L261" i="1"/>
  <c r="K261" i="1"/>
  <c r="J261" i="1"/>
  <c r="M461" i="1"/>
  <c r="L461" i="1"/>
  <c r="J461" i="1"/>
  <c r="K461" i="1"/>
  <c r="M629" i="1"/>
  <c r="L629" i="1"/>
  <c r="K629" i="1"/>
  <c r="J629" i="1"/>
  <c r="M782" i="1"/>
  <c r="L782" i="1"/>
  <c r="K782" i="1"/>
  <c r="J782" i="1"/>
  <c r="M838" i="1"/>
  <c r="L838" i="1"/>
  <c r="K838" i="1"/>
  <c r="J838" i="1"/>
  <c r="M894" i="1"/>
  <c r="L894" i="1"/>
  <c r="K894" i="1"/>
  <c r="J894" i="1"/>
  <c r="M934" i="1"/>
  <c r="L934" i="1"/>
  <c r="K934" i="1"/>
  <c r="J934" i="1"/>
  <c r="M990" i="1"/>
  <c r="L990" i="1"/>
  <c r="K990" i="1"/>
  <c r="J990" i="1"/>
  <c r="M1030" i="1"/>
  <c r="K1030" i="1"/>
  <c r="L1030" i="1"/>
  <c r="J1030" i="1"/>
  <c r="M1190" i="1"/>
  <c r="K1190" i="1"/>
  <c r="L1190" i="1"/>
  <c r="J1190" i="1"/>
  <c r="M1302" i="1"/>
  <c r="L1302" i="1"/>
  <c r="K1302" i="1"/>
  <c r="J1302" i="1"/>
  <c r="M609" i="1"/>
  <c r="L609" i="1"/>
  <c r="K609" i="1"/>
  <c r="J609" i="1"/>
  <c r="M1106" i="1"/>
  <c r="L1106" i="1"/>
  <c r="K1106" i="1"/>
  <c r="J1106" i="1"/>
  <c r="M1274" i="1"/>
  <c r="L1274" i="1"/>
  <c r="K1274" i="1"/>
  <c r="J1274" i="1"/>
  <c r="M3" i="1"/>
  <c r="L3" i="1"/>
  <c r="K3" i="1"/>
  <c r="J3" i="1"/>
  <c r="M27" i="1"/>
  <c r="L27" i="1"/>
  <c r="K27" i="1"/>
  <c r="J27" i="1"/>
  <c r="M131" i="1"/>
  <c r="L131" i="1"/>
  <c r="K131" i="1"/>
  <c r="J131" i="1"/>
  <c r="M211" i="1"/>
  <c r="L211" i="1"/>
  <c r="K211" i="1"/>
  <c r="J211" i="1"/>
  <c r="M299" i="1"/>
  <c r="L299" i="1"/>
  <c r="K299" i="1"/>
  <c r="J299" i="1"/>
  <c r="M355" i="1"/>
  <c r="L355" i="1"/>
  <c r="K355" i="1"/>
  <c r="J355" i="1"/>
  <c r="M411" i="1"/>
  <c r="L411" i="1"/>
  <c r="K411" i="1"/>
  <c r="J411" i="1"/>
  <c r="M499" i="1"/>
  <c r="K499" i="1"/>
  <c r="L499" i="1"/>
  <c r="J499" i="1"/>
  <c r="M555" i="1"/>
  <c r="L555" i="1"/>
  <c r="K555" i="1"/>
  <c r="J555" i="1"/>
  <c r="M611" i="1"/>
  <c r="L611" i="1"/>
  <c r="K611" i="1"/>
  <c r="J611" i="1"/>
  <c r="M667" i="1"/>
  <c r="L667" i="1"/>
  <c r="J667" i="1"/>
  <c r="K667" i="1"/>
  <c r="M876" i="1"/>
  <c r="L876" i="1"/>
  <c r="K876" i="1"/>
  <c r="J876" i="1"/>
  <c r="M900" i="1"/>
  <c r="L900" i="1"/>
  <c r="K900" i="1"/>
  <c r="J900" i="1"/>
  <c r="M980" i="1"/>
  <c r="L980" i="1"/>
  <c r="K980" i="1"/>
  <c r="J980" i="1"/>
  <c r="M1004" i="1"/>
  <c r="L1004" i="1"/>
  <c r="K1004" i="1"/>
  <c r="J1004" i="1"/>
  <c r="M1028" i="1"/>
  <c r="L1028" i="1"/>
  <c r="K1028" i="1"/>
  <c r="J1028" i="1"/>
  <c r="M1108" i="1"/>
  <c r="L1108" i="1"/>
  <c r="K1108" i="1"/>
  <c r="J1108" i="1"/>
  <c r="M1156" i="1"/>
  <c r="L1156" i="1"/>
  <c r="K1156" i="1"/>
  <c r="J1156" i="1"/>
  <c r="M1252" i="1"/>
  <c r="L1252" i="1"/>
  <c r="K1252" i="1"/>
  <c r="J1252" i="1"/>
  <c r="M1292" i="1"/>
  <c r="L1292" i="1"/>
  <c r="K1292" i="1"/>
  <c r="J1292" i="1"/>
  <c r="M53" i="1"/>
  <c r="L53" i="1"/>
  <c r="K53" i="1"/>
  <c r="J53" i="1"/>
  <c r="M253" i="1"/>
  <c r="L253" i="1"/>
  <c r="K253" i="1"/>
  <c r="J253" i="1"/>
  <c r="M437" i="1"/>
  <c r="L437" i="1"/>
  <c r="K437" i="1"/>
  <c r="J437" i="1"/>
  <c r="M153" i="1"/>
  <c r="L153" i="1"/>
  <c r="K153" i="1"/>
  <c r="J153" i="1"/>
  <c r="M417" i="1"/>
  <c r="L417" i="1"/>
  <c r="K417" i="1"/>
  <c r="J417" i="1"/>
  <c r="M497" i="1"/>
  <c r="L497" i="1"/>
  <c r="K497" i="1"/>
  <c r="J497" i="1"/>
  <c r="M60" i="1"/>
  <c r="L60" i="1"/>
  <c r="K60" i="1"/>
  <c r="J60" i="1"/>
  <c r="M84" i="1"/>
  <c r="L84" i="1"/>
  <c r="K84" i="1"/>
  <c r="J84" i="1"/>
  <c r="M108" i="1"/>
  <c r="L108" i="1"/>
  <c r="K108" i="1"/>
  <c r="J108" i="1"/>
  <c r="M188" i="1"/>
  <c r="L188" i="1"/>
  <c r="K188" i="1"/>
  <c r="J188" i="1"/>
  <c r="M212" i="1"/>
  <c r="L212" i="1"/>
  <c r="K212" i="1"/>
  <c r="J212" i="1"/>
  <c r="M236" i="1"/>
  <c r="L236" i="1"/>
  <c r="K236" i="1"/>
  <c r="J236" i="1"/>
  <c r="M332" i="1"/>
  <c r="L332" i="1"/>
  <c r="K332" i="1"/>
  <c r="J332" i="1"/>
  <c r="M412" i="1"/>
  <c r="L412" i="1"/>
  <c r="K412" i="1"/>
  <c r="J412" i="1"/>
  <c r="M436" i="1"/>
  <c r="L436" i="1"/>
  <c r="K436" i="1"/>
  <c r="J436" i="1"/>
  <c r="M516" i="1"/>
  <c r="L516" i="1"/>
  <c r="J516" i="1"/>
  <c r="K516" i="1"/>
  <c r="M612" i="1"/>
  <c r="L612" i="1"/>
  <c r="K612" i="1"/>
  <c r="J612" i="1"/>
  <c r="L741" i="1"/>
  <c r="M741" i="1"/>
  <c r="K741" i="1"/>
  <c r="J741" i="1"/>
  <c r="L765" i="1"/>
  <c r="M765" i="1"/>
  <c r="K765" i="1"/>
  <c r="J765" i="1"/>
  <c r="M797" i="1"/>
  <c r="L797" i="1"/>
  <c r="K797" i="1"/>
  <c r="J797" i="1"/>
  <c r="M829" i="1"/>
  <c r="L829" i="1"/>
  <c r="K829" i="1"/>
  <c r="J829" i="1"/>
  <c r="M861" i="1"/>
  <c r="L861" i="1"/>
  <c r="K861" i="1"/>
  <c r="J861" i="1"/>
  <c r="M941" i="1"/>
  <c r="L941" i="1"/>
  <c r="K941" i="1"/>
  <c r="J941" i="1"/>
  <c r="M965" i="1"/>
  <c r="L965" i="1"/>
  <c r="K965" i="1"/>
  <c r="J965" i="1"/>
  <c r="M989" i="1"/>
  <c r="L989" i="1"/>
  <c r="K989" i="1"/>
  <c r="J989" i="1"/>
  <c r="M1069" i="1"/>
  <c r="L1069" i="1"/>
  <c r="K1069" i="1"/>
  <c r="J1069" i="1"/>
  <c r="M1093" i="1"/>
  <c r="L1093" i="1"/>
  <c r="K1093" i="1"/>
  <c r="J1093" i="1"/>
  <c r="M1117" i="1"/>
  <c r="L1117" i="1"/>
  <c r="K1117" i="1"/>
  <c r="J1117" i="1"/>
  <c r="M1197" i="1"/>
  <c r="L1197" i="1"/>
  <c r="K1197" i="1"/>
  <c r="J1197" i="1"/>
  <c r="M1221" i="1"/>
  <c r="L1221" i="1"/>
  <c r="K1221" i="1"/>
  <c r="J1221" i="1"/>
  <c r="M1301" i="1"/>
  <c r="L1301" i="1"/>
  <c r="K1301" i="1"/>
  <c r="J1301" i="1"/>
  <c r="M1357" i="1"/>
  <c r="L1357" i="1"/>
  <c r="K1357" i="1"/>
  <c r="J1357" i="1"/>
  <c r="M69" i="1"/>
  <c r="L69" i="1"/>
  <c r="K69" i="1"/>
  <c r="J69" i="1"/>
  <c r="M269" i="1"/>
  <c r="L269" i="1"/>
  <c r="K269" i="1"/>
  <c r="J269" i="1"/>
  <c r="M469" i="1"/>
  <c r="L469" i="1"/>
  <c r="J469" i="1"/>
  <c r="K469" i="1"/>
  <c r="M637" i="1"/>
  <c r="L637" i="1"/>
  <c r="K637" i="1"/>
  <c r="J637" i="1"/>
  <c r="M702" i="1"/>
  <c r="L702" i="1"/>
  <c r="K702" i="1"/>
  <c r="J702" i="1"/>
  <c r="M814" i="1"/>
  <c r="L814" i="1"/>
  <c r="K814" i="1"/>
  <c r="J814" i="1"/>
  <c r="M950" i="1"/>
  <c r="L950" i="1"/>
  <c r="K950" i="1"/>
  <c r="J950" i="1"/>
  <c r="M1094" i="1"/>
  <c r="L1094" i="1"/>
  <c r="K1094" i="1"/>
  <c r="J1094" i="1"/>
  <c r="M1118" i="1"/>
  <c r="L1118" i="1"/>
  <c r="K1118" i="1"/>
  <c r="J1118" i="1"/>
  <c r="M1150" i="1"/>
  <c r="L1150" i="1"/>
  <c r="K1150" i="1"/>
  <c r="J1150" i="1"/>
  <c r="M1206" i="1"/>
  <c r="K1206" i="1"/>
  <c r="L1206" i="1"/>
  <c r="J1206" i="1"/>
  <c r="M1238" i="1"/>
  <c r="L1238" i="1"/>
  <c r="K1238" i="1"/>
  <c r="J1238" i="1"/>
  <c r="M361" i="1"/>
  <c r="L361" i="1"/>
  <c r="K361" i="1"/>
  <c r="J361" i="1"/>
  <c r="M473" i="1"/>
  <c r="L473" i="1"/>
  <c r="K473" i="1"/>
  <c r="J473" i="1"/>
  <c r="M786" i="1"/>
  <c r="L786" i="1"/>
  <c r="K786" i="1"/>
  <c r="J786" i="1"/>
  <c r="M1178" i="1"/>
  <c r="L1178" i="1"/>
  <c r="K1178" i="1"/>
  <c r="J1178" i="1"/>
  <c r="M46" i="1"/>
  <c r="L46" i="1"/>
  <c r="K46" i="1"/>
  <c r="J46" i="1"/>
  <c r="M134" i="1"/>
  <c r="L134" i="1"/>
  <c r="K134" i="1"/>
  <c r="J134" i="1"/>
  <c r="M222" i="1"/>
  <c r="L222" i="1"/>
  <c r="K222" i="1"/>
  <c r="J222" i="1"/>
  <c r="M286" i="1"/>
  <c r="L286" i="1"/>
  <c r="K286" i="1"/>
  <c r="J286" i="1"/>
  <c r="M350" i="1"/>
  <c r="L350" i="1"/>
  <c r="K350" i="1"/>
  <c r="J350" i="1"/>
  <c r="M374" i="1"/>
  <c r="L374" i="1"/>
  <c r="K374" i="1"/>
  <c r="J374" i="1"/>
  <c r="M438" i="1"/>
  <c r="L438" i="1"/>
  <c r="K438" i="1"/>
  <c r="J438" i="1"/>
  <c r="M462" i="1"/>
  <c r="L462" i="1"/>
  <c r="J462" i="1"/>
  <c r="K462" i="1"/>
  <c r="M526" i="1"/>
  <c r="L526" i="1"/>
  <c r="K526" i="1"/>
  <c r="J526" i="1"/>
  <c r="M590" i="1"/>
  <c r="L590" i="1"/>
  <c r="J590" i="1"/>
  <c r="K590" i="1"/>
  <c r="M614" i="1"/>
  <c r="L614" i="1"/>
  <c r="K614" i="1"/>
  <c r="J614" i="1"/>
  <c r="M678" i="1"/>
  <c r="L678" i="1"/>
  <c r="K678" i="1"/>
  <c r="J678" i="1"/>
  <c r="M727" i="1"/>
  <c r="L727" i="1"/>
  <c r="K727" i="1"/>
  <c r="J727" i="1"/>
  <c r="M791" i="1"/>
  <c r="L791" i="1"/>
  <c r="K791" i="1"/>
  <c r="J791" i="1"/>
  <c r="M815" i="1"/>
  <c r="L815" i="1"/>
  <c r="K815" i="1"/>
  <c r="J815" i="1"/>
  <c r="M847" i="1"/>
  <c r="L847" i="1"/>
  <c r="K847" i="1"/>
  <c r="J847" i="1"/>
  <c r="M879" i="1"/>
  <c r="L879" i="1"/>
  <c r="K879" i="1"/>
  <c r="J879" i="1"/>
  <c r="M911" i="1"/>
  <c r="L911" i="1"/>
  <c r="K911" i="1"/>
  <c r="J911" i="1"/>
  <c r="M943" i="1"/>
  <c r="L943" i="1"/>
  <c r="K943" i="1"/>
  <c r="J943" i="1"/>
  <c r="M975" i="1"/>
  <c r="L975" i="1"/>
  <c r="K975" i="1"/>
  <c r="J975" i="1"/>
  <c r="M1007" i="1"/>
  <c r="L1007" i="1"/>
  <c r="K1007" i="1"/>
  <c r="J1007" i="1"/>
  <c r="M1039" i="1"/>
  <c r="L1039" i="1"/>
  <c r="K1039" i="1"/>
  <c r="J1039" i="1"/>
  <c r="M1071" i="1"/>
  <c r="L1071" i="1"/>
  <c r="K1071" i="1"/>
  <c r="J1071" i="1"/>
  <c r="M1103" i="1"/>
  <c r="L1103" i="1"/>
  <c r="K1103" i="1"/>
  <c r="J1103" i="1"/>
  <c r="M1135" i="1"/>
  <c r="L1135" i="1"/>
  <c r="K1135" i="1"/>
  <c r="J1135" i="1"/>
  <c r="M1167" i="1"/>
  <c r="L1167" i="1"/>
  <c r="K1167" i="1"/>
  <c r="J1167" i="1"/>
  <c r="M1199" i="1"/>
  <c r="L1199" i="1"/>
  <c r="K1199" i="1"/>
  <c r="J1199" i="1"/>
  <c r="M1231" i="1"/>
  <c r="L1231" i="1"/>
  <c r="K1231" i="1"/>
  <c r="J1231" i="1"/>
  <c r="M1263" i="1"/>
  <c r="L1263" i="1"/>
  <c r="K1263" i="1"/>
  <c r="J1263" i="1"/>
  <c r="M1295" i="1"/>
  <c r="L1295" i="1"/>
  <c r="K1295" i="1"/>
  <c r="J1295" i="1"/>
  <c r="M1327" i="1"/>
  <c r="L1327" i="1"/>
  <c r="K1327" i="1"/>
  <c r="J1327" i="1"/>
  <c r="M1359" i="1"/>
  <c r="L1359" i="1"/>
  <c r="J1359" i="1"/>
  <c r="K1359" i="1"/>
  <c r="M104" i="1"/>
  <c r="L104" i="1"/>
  <c r="K104" i="1"/>
  <c r="J104" i="1"/>
  <c r="M160" i="1"/>
  <c r="L160" i="1"/>
  <c r="K160" i="1"/>
  <c r="J160" i="1"/>
  <c r="M200" i="1"/>
  <c r="L200" i="1"/>
  <c r="K200" i="1"/>
  <c r="J200" i="1"/>
  <c r="M248" i="1"/>
  <c r="L248" i="1"/>
  <c r="K248" i="1"/>
  <c r="J248" i="1"/>
  <c r="M480" i="1"/>
  <c r="L480" i="1"/>
  <c r="K480" i="1"/>
  <c r="J480" i="1"/>
  <c r="M680" i="1"/>
  <c r="L680" i="1"/>
  <c r="K680" i="1"/>
  <c r="J680" i="1"/>
  <c r="M121" i="1"/>
  <c r="K121" i="1"/>
  <c r="L121" i="1"/>
  <c r="J121" i="1"/>
  <c r="M225" i="1"/>
  <c r="L225" i="1"/>
  <c r="K225" i="1"/>
  <c r="J225" i="1"/>
  <c r="M345" i="1"/>
  <c r="L345" i="1"/>
  <c r="K345" i="1"/>
  <c r="J345" i="1"/>
  <c r="M481" i="1"/>
  <c r="L481" i="1"/>
  <c r="K481" i="1"/>
  <c r="J481" i="1"/>
  <c r="M762" i="1"/>
  <c r="L762" i="1"/>
  <c r="K762" i="1"/>
  <c r="J762" i="1"/>
  <c r="M882" i="1"/>
  <c r="L882" i="1"/>
  <c r="K882" i="1"/>
  <c r="J882" i="1"/>
  <c r="M978" i="1"/>
  <c r="L978" i="1"/>
  <c r="K978" i="1"/>
  <c r="J978" i="1"/>
  <c r="M1066" i="1"/>
  <c r="L1066" i="1"/>
  <c r="K1066" i="1"/>
  <c r="J1066" i="1"/>
  <c r="M1282" i="1"/>
  <c r="L1282" i="1"/>
  <c r="K1282" i="1"/>
  <c r="J1282" i="1"/>
  <c r="M47" i="1"/>
  <c r="L47" i="1"/>
  <c r="K47" i="1"/>
  <c r="J47" i="1"/>
  <c r="M71" i="1"/>
  <c r="L71" i="1"/>
  <c r="K71" i="1"/>
  <c r="J71" i="1"/>
  <c r="M127" i="1"/>
  <c r="L127" i="1"/>
  <c r="K127" i="1"/>
  <c r="J127" i="1"/>
  <c r="M183" i="1"/>
  <c r="L183" i="1"/>
  <c r="K183" i="1"/>
  <c r="J183" i="1"/>
  <c r="M239" i="1"/>
  <c r="L239" i="1"/>
  <c r="K239" i="1"/>
  <c r="J239" i="1"/>
  <c r="M295" i="1"/>
  <c r="L295" i="1"/>
  <c r="K295" i="1"/>
  <c r="J295" i="1"/>
  <c r="M383" i="1"/>
  <c r="L383" i="1"/>
  <c r="K383" i="1"/>
  <c r="J383" i="1"/>
  <c r="M439" i="1"/>
  <c r="L439" i="1"/>
  <c r="K439" i="1"/>
  <c r="J439" i="1"/>
  <c r="M495" i="1"/>
  <c r="L495" i="1"/>
  <c r="K495" i="1"/>
  <c r="J495" i="1"/>
  <c r="M551" i="1"/>
  <c r="L551" i="1"/>
  <c r="K551" i="1"/>
  <c r="J551" i="1"/>
  <c r="M639" i="1"/>
  <c r="L639" i="1"/>
  <c r="K639" i="1"/>
  <c r="J639" i="1"/>
  <c r="M720" i="1"/>
  <c r="L720" i="1"/>
  <c r="K720" i="1"/>
  <c r="J720" i="1"/>
  <c r="M752" i="1"/>
  <c r="L752" i="1"/>
  <c r="K752" i="1"/>
  <c r="J752" i="1"/>
  <c r="M784" i="1"/>
  <c r="L784" i="1"/>
  <c r="K784" i="1"/>
  <c r="J784" i="1"/>
  <c r="M816" i="1"/>
  <c r="L816" i="1"/>
  <c r="K816" i="1"/>
  <c r="J816" i="1"/>
  <c r="M848" i="1"/>
  <c r="L848" i="1"/>
  <c r="K848" i="1"/>
  <c r="J848" i="1"/>
  <c r="M880" i="1"/>
  <c r="L880" i="1"/>
  <c r="K880" i="1"/>
  <c r="J880" i="1"/>
  <c r="M912" i="1"/>
  <c r="L912" i="1"/>
  <c r="K912" i="1"/>
  <c r="J912" i="1"/>
  <c r="M944" i="1"/>
  <c r="L944" i="1"/>
  <c r="K944" i="1"/>
  <c r="J944" i="1"/>
  <c r="M976" i="1"/>
  <c r="L976" i="1"/>
  <c r="K976" i="1"/>
  <c r="J976" i="1"/>
  <c r="M1008" i="1"/>
  <c r="L1008" i="1"/>
  <c r="K1008" i="1"/>
  <c r="J1008" i="1"/>
  <c r="M1040" i="1"/>
  <c r="L1040" i="1"/>
  <c r="K1040" i="1"/>
  <c r="J1040" i="1"/>
  <c r="M1072" i="1"/>
  <c r="L1072" i="1"/>
  <c r="K1072" i="1"/>
  <c r="J1072" i="1"/>
  <c r="M1104" i="1"/>
  <c r="L1104" i="1"/>
  <c r="K1104" i="1"/>
  <c r="J1104" i="1"/>
  <c r="M1136" i="1"/>
  <c r="L1136" i="1"/>
  <c r="K1136" i="1"/>
  <c r="J1136" i="1"/>
  <c r="M1168" i="1"/>
  <c r="L1168" i="1"/>
  <c r="K1168" i="1"/>
  <c r="J1168" i="1"/>
  <c r="M1200" i="1"/>
  <c r="L1200" i="1"/>
  <c r="K1200" i="1"/>
  <c r="J1200" i="1"/>
  <c r="M1232" i="1"/>
  <c r="L1232" i="1"/>
  <c r="K1232" i="1"/>
  <c r="J1232" i="1"/>
  <c r="M1264" i="1"/>
  <c r="L1264" i="1"/>
  <c r="K1264" i="1"/>
  <c r="J1264" i="1"/>
  <c r="M1296" i="1"/>
  <c r="L1296" i="1"/>
  <c r="K1296" i="1"/>
  <c r="J1296" i="1"/>
  <c r="M1328" i="1"/>
  <c r="L1328" i="1"/>
  <c r="K1328" i="1"/>
  <c r="J1328" i="1"/>
  <c r="M1360" i="1"/>
  <c r="L1360" i="1"/>
  <c r="K1360" i="1"/>
  <c r="J1360" i="1"/>
  <c r="M136" i="1"/>
  <c r="L136" i="1"/>
  <c r="K136" i="1"/>
  <c r="J136" i="1"/>
  <c r="M352" i="1"/>
  <c r="L352" i="1"/>
  <c r="K352" i="1"/>
  <c r="J352" i="1"/>
  <c r="M520" i="1"/>
  <c r="L520" i="1"/>
  <c r="K520" i="1"/>
  <c r="J520" i="1"/>
  <c r="M544" i="1"/>
  <c r="L544" i="1"/>
  <c r="K544" i="1"/>
  <c r="J544" i="1"/>
  <c r="M592" i="1"/>
  <c r="L592" i="1"/>
  <c r="K592" i="1"/>
  <c r="J592" i="1"/>
  <c r="M81" i="1"/>
  <c r="L81" i="1"/>
  <c r="K81" i="1"/>
  <c r="J81" i="1"/>
  <c r="M193" i="1"/>
  <c r="L193" i="1"/>
  <c r="K193" i="1"/>
  <c r="J193" i="1"/>
  <c r="M321" i="1"/>
  <c r="L321" i="1"/>
  <c r="K321" i="1"/>
  <c r="J321" i="1"/>
  <c r="M401" i="1"/>
  <c r="L401" i="1"/>
  <c r="K401" i="1"/>
  <c r="J401" i="1"/>
  <c r="M778" i="1"/>
  <c r="L778" i="1"/>
  <c r="K778" i="1"/>
  <c r="J778" i="1"/>
  <c r="M890" i="1"/>
  <c r="L890" i="1"/>
  <c r="K890" i="1"/>
  <c r="J890" i="1"/>
  <c r="M986" i="1"/>
  <c r="L986" i="1"/>
  <c r="J986" i="1"/>
  <c r="K986" i="1"/>
  <c r="M1082" i="1"/>
  <c r="L1082" i="1"/>
  <c r="J1082" i="1"/>
  <c r="K1082" i="1"/>
  <c r="M106" i="1"/>
  <c r="L106" i="1"/>
  <c r="K106" i="1"/>
  <c r="J106" i="1"/>
  <c r="M210" i="1"/>
  <c r="L210" i="1"/>
  <c r="K210" i="1"/>
  <c r="J210" i="1"/>
  <c r="M410" i="1"/>
  <c r="L410" i="1"/>
  <c r="K410" i="1"/>
  <c r="J410" i="1"/>
  <c r="M787" i="1"/>
  <c r="L787" i="1"/>
  <c r="K787" i="1"/>
  <c r="J787" i="1"/>
  <c r="M947" i="1"/>
  <c r="L947" i="1"/>
  <c r="K947" i="1"/>
  <c r="J947" i="1"/>
  <c r="M1139" i="1"/>
  <c r="L1139" i="1"/>
  <c r="K1139" i="1"/>
  <c r="J1139" i="1"/>
  <c r="M1283" i="1"/>
  <c r="L1283" i="1"/>
  <c r="K1283" i="1"/>
  <c r="J1283" i="1"/>
  <c r="M285" i="1"/>
  <c r="L285" i="1"/>
  <c r="K285" i="1"/>
  <c r="J285" i="1"/>
  <c r="M219" i="1"/>
  <c r="L219" i="1"/>
  <c r="K219" i="1"/>
  <c r="J219" i="1"/>
  <c r="M34" i="1"/>
  <c r="L34" i="1"/>
  <c r="K34" i="1"/>
  <c r="J34" i="1"/>
  <c r="M114" i="1"/>
  <c r="L114" i="1"/>
  <c r="K114" i="1"/>
  <c r="J114" i="1"/>
  <c r="M266" i="1"/>
  <c r="L266" i="1"/>
  <c r="K266" i="1"/>
  <c r="J266" i="1"/>
  <c r="M386" i="1"/>
  <c r="L386" i="1"/>
  <c r="K386" i="1"/>
  <c r="J386" i="1"/>
  <c r="M763" i="1"/>
  <c r="L763" i="1"/>
  <c r="K763" i="1"/>
  <c r="J763" i="1"/>
  <c r="M859" i="1"/>
  <c r="L859" i="1"/>
  <c r="K859" i="1"/>
  <c r="J859" i="1"/>
  <c r="M955" i="1"/>
  <c r="L955" i="1"/>
  <c r="K955" i="1"/>
  <c r="J955" i="1"/>
  <c r="M1051" i="1"/>
  <c r="L1051" i="1"/>
  <c r="K1051" i="1"/>
  <c r="J1051" i="1"/>
  <c r="M1179" i="1"/>
  <c r="L1179" i="1"/>
  <c r="K1179" i="1"/>
  <c r="J1179" i="1"/>
  <c r="M1315" i="1"/>
  <c r="K1315" i="1"/>
  <c r="L1315" i="1"/>
  <c r="J1315" i="1"/>
  <c r="M1116" i="1"/>
  <c r="L1116" i="1"/>
  <c r="J1116" i="1"/>
  <c r="K1116" i="1"/>
  <c r="M171" i="1"/>
  <c r="L171" i="1"/>
  <c r="K171" i="1"/>
  <c r="J171" i="1"/>
  <c r="M315" i="1"/>
  <c r="L315" i="1"/>
  <c r="K315" i="1"/>
  <c r="J315" i="1"/>
  <c r="M459" i="1"/>
  <c r="L459" i="1"/>
  <c r="K459" i="1"/>
  <c r="J459" i="1"/>
  <c r="M659" i="1"/>
  <c r="L659" i="1"/>
  <c r="J659" i="1"/>
  <c r="K659" i="1"/>
  <c r="M844" i="1"/>
  <c r="L844" i="1"/>
  <c r="K844" i="1"/>
  <c r="J844" i="1"/>
  <c r="M209" i="1"/>
  <c r="L209" i="1"/>
  <c r="K209" i="1"/>
  <c r="J209" i="1"/>
  <c r="M553" i="1"/>
  <c r="L553" i="1"/>
  <c r="K553" i="1"/>
  <c r="J553" i="1"/>
  <c r="M706" i="1"/>
  <c r="L706" i="1"/>
  <c r="K706" i="1"/>
  <c r="J706" i="1"/>
  <c r="M324" i="1"/>
  <c r="L324" i="1"/>
  <c r="K324" i="1"/>
  <c r="J324" i="1"/>
  <c r="M556" i="1"/>
  <c r="L556" i="1"/>
  <c r="K556" i="1"/>
  <c r="J556" i="1"/>
  <c r="M652" i="1"/>
  <c r="L652" i="1"/>
  <c r="J652" i="1"/>
  <c r="K652" i="1"/>
  <c r="M45" i="1"/>
  <c r="L45" i="1"/>
  <c r="K45" i="1"/>
  <c r="J45" i="1"/>
  <c r="M18" i="1"/>
  <c r="L18" i="1"/>
  <c r="K18" i="1"/>
  <c r="J18" i="1"/>
  <c r="M146" i="1"/>
  <c r="L146" i="1"/>
  <c r="K146" i="1"/>
  <c r="J146" i="1"/>
  <c r="M394" i="1"/>
  <c r="L394" i="1"/>
  <c r="K394" i="1"/>
  <c r="J394" i="1"/>
  <c r="M739" i="1"/>
  <c r="L739" i="1"/>
  <c r="K739" i="1"/>
  <c r="J739" i="1"/>
  <c r="M835" i="1"/>
  <c r="L835" i="1"/>
  <c r="K835" i="1"/>
  <c r="J835" i="1"/>
  <c r="M931" i="1"/>
  <c r="L931" i="1"/>
  <c r="K931" i="1"/>
  <c r="J931" i="1"/>
  <c r="M1027" i="1"/>
  <c r="L1027" i="1"/>
  <c r="K1027" i="1"/>
  <c r="J1027" i="1"/>
  <c r="M1155" i="1"/>
  <c r="L1155" i="1"/>
  <c r="K1155" i="1"/>
  <c r="J1155" i="1"/>
  <c r="M1187" i="1"/>
  <c r="L1187" i="1"/>
  <c r="K1187" i="1"/>
  <c r="J1187" i="1"/>
  <c r="M1371" i="1"/>
  <c r="L1371" i="1"/>
  <c r="K1371" i="1"/>
  <c r="J1371" i="1"/>
  <c r="M1380" i="1"/>
  <c r="L1380" i="1"/>
  <c r="K1380" i="1"/>
  <c r="J1380" i="1"/>
  <c r="M373" i="1"/>
  <c r="L373" i="1"/>
  <c r="K373" i="1"/>
  <c r="J373" i="1"/>
  <c r="M51" i="1"/>
  <c r="L51" i="1"/>
  <c r="K51" i="1"/>
  <c r="J51" i="1"/>
  <c r="M155" i="1"/>
  <c r="L155" i="1"/>
  <c r="K155" i="1"/>
  <c r="J155" i="1"/>
  <c r="M323" i="1"/>
  <c r="L323" i="1"/>
  <c r="K323" i="1"/>
  <c r="J323" i="1"/>
  <c r="M467" i="1"/>
  <c r="L467" i="1"/>
  <c r="K467" i="1"/>
  <c r="J467" i="1"/>
  <c r="M579" i="1"/>
  <c r="L579" i="1"/>
  <c r="K579" i="1"/>
  <c r="J579" i="1"/>
  <c r="M828" i="1"/>
  <c r="L828" i="1"/>
  <c r="K828" i="1"/>
  <c r="J828" i="1"/>
  <c r="M181" i="1"/>
  <c r="L181" i="1"/>
  <c r="K181" i="1"/>
  <c r="J181" i="1"/>
  <c r="M577" i="1"/>
  <c r="L577" i="1"/>
  <c r="K577" i="1"/>
  <c r="J577" i="1"/>
  <c r="M738" i="1"/>
  <c r="L738" i="1"/>
  <c r="K738" i="1"/>
  <c r="J738" i="1"/>
  <c r="M460" i="1"/>
  <c r="L460" i="1"/>
  <c r="J460" i="1"/>
  <c r="K460" i="1"/>
  <c r="M636" i="1"/>
  <c r="L636" i="1"/>
  <c r="J636" i="1"/>
  <c r="K636" i="1"/>
  <c r="M5" i="1"/>
  <c r="L5" i="1"/>
  <c r="K5" i="1"/>
  <c r="J5" i="1"/>
  <c r="M405" i="1"/>
  <c r="L405" i="1"/>
  <c r="K405" i="1"/>
  <c r="J405" i="1"/>
  <c r="M177" i="1"/>
  <c r="L177" i="1"/>
  <c r="K177" i="1"/>
  <c r="J177" i="1"/>
  <c r="M50" i="1"/>
  <c r="L50" i="1"/>
  <c r="K50" i="1"/>
  <c r="J50" i="1"/>
  <c r="M74" i="1"/>
  <c r="L74" i="1"/>
  <c r="K74" i="1"/>
  <c r="J74" i="1"/>
  <c r="M98" i="1"/>
  <c r="L98" i="1"/>
  <c r="K98" i="1"/>
  <c r="J98" i="1"/>
  <c r="M178" i="1"/>
  <c r="L178" i="1"/>
  <c r="K178" i="1"/>
  <c r="J178" i="1"/>
  <c r="M202" i="1"/>
  <c r="L202" i="1"/>
  <c r="K202" i="1"/>
  <c r="J202" i="1"/>
  <c r="M226" i="1"/>
  <c r="L226" i="1"/>
  <c r="K226" i="1"/>
  <c r="J226" i="1"/>
  <c r="M322" i="1"/>
  <c r="L322" i="1"/>
  <c r="K322" i="1"/>
  <c r="J322" i="1"/>
  <c r="M402" i="1"/>
  <c r="L402" i="1"/>
  <c r="K402" i="1"/>
  <c r="J402" i="1"/>
  <c r="M506" i="1"/>
  <c r="L506" i="1"/>
  <c r="K506" i="1"/>
  <c r="J506" i="1"/>
  <c r="M602" i="1"/>
  <c r="L602" i="1"/>
  <c r="K602" i="1"/>
  <c r="J602" i="1"/>
  <c r="M682" i="1"/>
  <c r="L682" i="1"/>
  <c r="K682" i="1"/>
  <c r="J682" i="1"/>
  <c r="M715" i="1"/>
  <c r="L715" i="1"/>
  <c r="K715" i="1"/>
  <c r="J715" i="1"/>
  <c r="M747" i="1"/>
  <c r="L747" i="1"/>
  <c r="K747" i="1"/>
  <c r="J747" i="1"/>
  <c r="M779" i="1"/>
  <c r="L779" i="1"/>
  <c r="K779" i="1"/>
  <c r="J779" i="1"/>
  <c r="M811" i="1"/>
  <c r="L811" i="1"/>
  <c r="K811" i="1"/>
  <c r="J811" i="1"/>
  <c r="M843" i="1"/>
  <c r="L843" i="1"/>
  <c r="K843" i="1"/>
  <c r="J843" i="1"/>
  <c r="M875" i="1"/>
  <c r="L875" i="1"/>
  <c r="K875" i="1"/>
  <c r="J875" i="1"/>
  <c r="M907" i="1"/>
  <c r="L907" i="1"/>
  <c r="K907" i="1"/>
  <c r="J907" i="1"/>
  <c r="M939" i="1"/>
  <c r="L939" i="1"/>
  <c r="K939" i="1"/>
  <c r="J939" i="1"/>
  <c r="M971" i="1"/>
  <c r="L971" i="1"/>
  <c r="K971" i="1"/>
  <c r="J971" i="1"/>
  <c r="M1003" i="1"/>
  <c r="L1003" i="1"/>
  <c r="K1003" i="1"/>
  <c r="J1003" i="1"/>
  <c r="M1035" i="1"/>
  <c r="L1035" i="1"/>
  <c r="K1035" i="1"/>
  <c r="J1035" i="1"/>
  <c r="L1067" i="1"/>
  <c r="M1067" i="1"/>
  <c r="K1067" i="1"/>
  <c r="J1067" i="1"/>
  <c r="M1099" i="1"/>
  <c r="L1099" i="1"/>
  <c r="K1099" i="1"/>
  <c r="J1099" i="1"/>
  <c r="M1131" i="1"/>
  <c r="L1131" i="1"/>
  <c r="K1131" i="1"/>
  <c r="J1131" i="1"/>
  <c r="M1163" i="1"/>
  <c r="L1163" i="1"/>
  <c r="K1163" i="1"/>
  <c r="J1163" i="1"/>
  <c r="M1195" i="1"/>
  <c r="L1195" i="1"/>
  <c r="K1195" i="1"/>
  <c r="J1195" i="1"/>
  <c r="M1227" i="1"/>
  <c r="L1227" i="1"/>
  <c r="K1227" i="1"/>
  <c r="J1227" i="1"/>
  <c r="M1251" i="1"/>
  <c r="L1251" i="1"/>
  <c r="K1251" i="1"/>
  <c r="J1251" i="1"/>
  <c r="M1275" i="1"/>
  <c r="L1275" i="1"/>
  <c r="K1275" i="1"/>
  <c r="J1275" i="1"/>
  <c r="M1355" i="1"/>
  <c r="L1355" i="1"/>
  <c r="K1355" i="1"/>
  <c r="J1355" i="1"/>
  <c r="M1379" i="1"/>
  <c r="L1379" i="1"/>
  <c r="K1379" i="1"/>
  <c r="J1379" i="1"/>
  <c r="M1204" i="1"/>
  <c r="L1204" i="1"/>
  <c r="K1204" i="1"/>
  <c r="J1204" i="1"/>
  <c r="M1348" i="1"/>
  <c r="L1348" i="1"/>
  <c r="K1348" i="1"/>
  <c r="J1348" i="1"/>
  <c r="M1325" i="1"/>
  <c r="L1325" i="1"/>
  <c r="K1325" i="1"/>
  <c r="J1325" i="1"/>
  <c r="M149" i="1"/>
  <c r="L149" i="1"/>
  <c r="K149" i="1"/>
  <c r="J149" i="1"/>
  <c r="M333" i="1"/>
  <c r="L333" i="1"/>
  <c r="K333" i="1"/>
  <c r="J333" i="1"/>
  <c r="M533" i="1"/>
  <c r="L533" i="1"/>
  <c r="J533" i="1"/>
  <c r="K533" i="1"/>
  <c r="M685" i="1"/>
  <c r="L685" i="1"/>
  <c r="K685" i="1"/>
  <c r="J685" i="1"/>
  <c r="M83" i="1"/>
  <c r="L83" i="1"/>
  <c r="K83" i="1"/>
  <c r="J83" i="1"/>
  <c r="M107" i="1"/>
  <c r="L107" i="1"/>
  <c r="K107" i="1"/>
  <c r="J107" i="1"/>
  <c r="M243" i="1"/>
  <c r="L243" i="1"/>
  <c r="K243" i="1"/>
  <c r="J243" i="1"/>
  <c r="M275" i="1"/>
  <c r="L275" i="1"/>
  <c r="K275" i="1"/>
  <c r="J275" i="1"/>
  <c r="M331" i="1"/>
  <c r="K331" i="1"/>
  <c r="L331" i="1"/>
  <c r="J331" i="1"/>
  <c r="M387" i="1"/>
  <c r="L387" i="1"/>
  <c r="K387" i="1"/>
  <c r="J387" i="1"/>
  <c r="M443" i="1"/>
  <c r="L443" i="1"/>
  <c r="K443" i="1"/>
  <c r="J443" i="1"/>
  <c r="L531" i="1"/>
  <c r="M531" i="1"/>
  <c r="K531" i="1"/>
  <c r="J531" i="1"/>
  <c r="M587" i="1"/>
  <c r="L587" i="1"/>
  <c r="K587" i="1"/>
  <c r="J587" i="1"/>
  <c r="M643" i="1"/>
  <c r="L643" i="1"/>
  <c r="K643" i="1"/>
  <c r="J643" i="1"/>
  <c r="M716" i="1"/>
  <c r="L716" i="1"/>
  <c r="K716" i="1"/>
  <c r="J716" i="1"/>
  <c r="M740" i="1"/>
  <c r="L740" i="1"/>
  <c r="K740" i="1"/>
  <c r="J740" i="1"/>
  <c r="M812" i="1"/>
  <c r="L812" i="1"/>
  <c r="K812" i="1"/>
  <c r="J812" i="1"/>
  <c r="M133" i="1"/>
  <c r="L133" i="1"/>
  <c r="K133" i="1"/>
  <c r="J133" i="1"/>
  <c r="M317" i="1"/>
  <c r="L317" i="1"/>
  <c r="K317" i="1"/>
  <c r="J317" i="1"/>
  <c r="M501" i="1"/>
  <c r="L501" i="1"/>
  <c r="K501" i="1"/>
  <c r="J501" i="1"/>
  <c r="M41" i="1"/>
  <c r="L41" i="1"/>
  <c r="K41" i="1"/>
  <c r="J41" i="1"/>
  <c r="M617" i="1"/>
  <c r="L617" i="1"/>
  <c r="K617" i="1"/>
  <c r="J617" i="1"/>
  <c r="M770" i="1"/>
  <c r="L770" i="1"/>
  <c r="K770" i="1"/>
  <c r="J770" i="1"/>
  <c r="M1242" i="1"/>
  <c r="L1242" i="1"/>
  <c r="K1242" i="1"/>
  <c r="J1242" i="1"/>
  <c r="M36" i="1"/>
  <c r="L36" i="1"/>
  <c r="K36" i="1"/>
  <c r="J36" i="1"/>
  <c r="M164" i="1"/>
  <c r="L164" i="1"/>
  <c r="K164" i="1"/>
  <c r="J164" i="1"/>
  <c r="M292" i="1"/>
  <c r="L292" i="1"/>
  <c r="K292" i="1"/>
  <c r="J292" i="1"/>
  <c r="M388" i="1"/>
  <c r="L388" i="1"/>
  <c r="K388" i="1"/>
  <c r="J388" i="1"/>
  <c r="M468" i="1"/>
  <c r="L468" i="1"/>
  <c r="K468" i="1"/>
  <c r="J468" i="1"/>
  <c r="M492" i="1"/>
  <c r="L492" i="1"/>
  <c r="K492" i="1"/>
  <c r="J492" i="1"/>
  <c r="M588" i="1"/>
  <c r="L588" i="1"/>
  <c r="J588" i="1"/>
  <c r="K588" i="1"/>
  <c r="M668" i="1"/>
  <c r="L668" i="1"/>
  <c r="J668" i="1"/>
  <c r="K668" i="1"/>
  <c r="M692" i="1"/>
  <c r="L692" i="1"/>
  <c r="J692" i="1"/>
  <c r="K692" i="1"/>
  <c r="M141" i="1"/>
  <c r="L141" i="1"/>
  <c r="K141" i="1"/>
  <c r="J141" i="1"/>
  <c r="M349" i="1"/>
  <c r="L349" i="1"/>
  <c r="K349" i="1"/>
  <c r="J349" i="1"/>
  <c r="M541" i="1"/>
  <c r="L541" i="1"/>
  <c r="K541" i="1"/>
  <c r="J541" i="1"/>
  <c r="M677" i="1"/>
  <c r="L677" i="1"/>
  <c r="K677" i="1"/>
  <c r="J677" i="1"/>
  <c r="M97" i="1"/>
  <c r="L97" i="1"/>
  <c r="K97" i="1"/>
  <c r="J97" i="1"/>
  <c r="M217" i="1"/>
  <c r="L217" i="1"/>
  <c r="K217" i="1"/>
  <c r="J217" i="1"/>
  <c r="M289" i="1"/>
  <c r="L289" i="1"/>
  <c r="K289" i="1"/>
  <c r="J289" i="1"/>
  <c r="M585" i="1"/>
  <c r="L585" i="1"/>
  <c r="K585" i="1"/>
  <c r="J585" i="1"/>
  <c r="M681" i="1"/>
  <c r="L681" i="1"/>
  <c r="K681" i="1"/>
  <c r="J681" i="1"/>
  <c r="M6" i="1"/>
  <c r="L6" i="1"/>
  <c r="K6" i="1"/>
  <c r="J6" i="1"/>
  <c r="M70" i="1"/>
  <c r="L70" i="1"/>
  <c r="K70" i="1"/>
  <c r="J70" i="1"/>
  <c r="M94" i="1"/>
  <c r="L94" i="1"/>
  <c r="K94" i="1"/>
  <c r="J94" i="1"/>
  <c r="M158" i="1"/>
  <c r="L158" i="1"/>
  <c r="K158" i="1"/>
  <c r="J158" i="1"/>
  <c r="M182" i="1"/>
  <c r="L182" i="1"/>
  <c r="K182" i="1"/>
  <c r="J182" i="1"/>
  <c r="M246" i="1"/>
  <c r="L246" i="1"/>
  <c r="K246" i="1"/>
  <c r="J246" i="1"/>
  <c r="M310" i="1"/>
  <c r="L310" i="1"/>
  <c r="K310" i="1"/>
  <c r="J310" i="1"/>
  <c r="M398" i="1"/>
  <c r="L398" i="1"/>
  <c r="K398" i="1"/>
  <c r="J398" i="1"/>
  <c r="M486" i="1"/>
  <c r="L486" i="1"/>
  <c r="K486" i="1"/>
  <c r="J486" i="1"/>
  <c r="M550" i="1"/>
  <c r="L550" i="1"/>
  <c r="K550" i="1"/>
  <c r="J550" i="1"/>
  <c r="M638" i="1"/>
  <c r="L638" i="1"/>
  <c r="K638" i="1"/>
  <c r="J638" i="1"/>
  <c r="M751" i="1"/>
  <c r="L751" i="1"/>
  <c r="K751" i="1"/>
  <c r="J751" i="1"/>
  <c r="M8" i="1"/>
  <c r="L8" i="1"/>
  <c r="K8" i="1"/>
  <c r="J8" i="1"/>
  <c r="M56" i="1"/>
  <c r="L56" i="1"/>
  <c r="K56" i="1"/>
  <c r="J56" i="1"/>
  <c r="M392" i="1"/>
  <c r="L392" i="1"/>
  <c r="K392" i="1"/>
  <c r="J392" i="1"/>
  <c r="M432" i="1"/>
  <c r="L432" i="1"/>
  <c r="K432" i="1"/>
  <c r="J432" i="1"/>
  <c r="M552" i="1"/>
  <c r="L552" i="1"/>
  <c r="K552" i="1"/>
  <c r="J552" i="1"/>
  <c r="M600" i="1"/>
  <c r="L600" i="1"/>
  <c r="K600" i="1"/>
  <c r="J600" i="1"/>
  <c r="M640" i="1"/>
  <c r="L640" i="1"/>
  <c r="K640" i="1"/>
  <c r="J640" i="1"/>
  <c r="M753" i="1"/>
  <c r="L753" i="1"/>
  <c r="K753" i="1"/>
  <c r="J753" i="1"/>
  <c r="M889" i="1"/>
  <c r="L889" i="1"/>
  <c r="K889" i="1"/>
  <c r="J889" i="1"/>
  <c r="M993" i="1"/>
  <c r="L993" i="1"/>
  <c r="K993" i="1"/>
  <c r="J993" i="1"/>
  <c r="M1049" i="1"/>
  <c r="L1049" i="1"/>
  <c r="K1049" i="1"/>
  <c r="J1049" i="1"/>
  <c r="M1145" i="1"/>
  <c r="L1145" i="1"/>
  <c r="K1145" i="1"/>
  <c r="J1145" i="1"/>
  <c r="M1193" i="1"/>
  <c r="L1193" i="1"/>
  <c r="K1193" i="1"/>
  <c r="J1193" i="1"/>
  <c r="M1281" i="1"/>
  <c r="L1281" i="1"/>
  <c r="K1281" i="1"/>
  <c r="J1281" i="1"/>
  <c r="M641" i="1"/>
  <c r="L641" i="1"/>
  <c r="K641" i="1"/>
  <c r="J641" i="1"/>
  <c r="M23" i="1"/>
  <c r="L23" i="1"/>
  <c r="K23" i="1"/>
  <c r="J23" i="1"/>
  <c r="M159" i="1"/>
  <c r="L159" i="1"/>
  <c r="K159" i="1"/>
  <c r="J159" i="1"/>
  <c r="M215" i="1"/>
  <c r="L215" i="1"/>
  <c r="K215" i="1"/>
  <c r="J215" i="1"/>
  <c r="M271" i="1"/>
  <c r="L271" i="1"/>
  <c r="K271" i="1"/>
  <c r="J271" i="1"/>
  <c r="M327" i="1"/>
  <c r="L327" i="1"/>
  <c r="K327" i="1"/>
  <c r="J327" i="1"/>
  <c r="M415" i="1"/>
  <c r="L415" i="1"/>
  <c r="J415" i="1"/>
  <c r="K415" i="1"/>
  <c r="M471" i="1"/>
  <c r="L471" i="1"/>
  <c r="K471" i="1"/>
  <c r="J471" i="1"/>
  <c r="M527" i="1"/>
  <c r="L527" i="1"/>
  <c r="K527" i="1"/>
  <c r="J527" i="1"/>
  <c r="M583" i="1"/>
  <c r="L583" i="1"/>
  <c r="K583" i="1"/>
  <c r="J583" i="1"/>
  <c r="M671" i="1"/>
  <c r="L671" i="1"/>
  <c r="K671" i="1"/>
  <c r="J671" i="1"/>
  <c r="M696" i="1"/>
  <c r="L696" i="1"/>
  <c r="K696" i="1"/>
  <c r="J696" i="1"/>
  <c r="M96" i="1"/>
  <c r="L96" i="1"/>
  <c r="K96" i="1"/>
  <c r="J96" i="1"/>
  <c r="M256" i="1"/>
  <c r="L256" i="1"/>
  <c r="K256" i="1"/>
  <c r="J256" i="1"/>
  <c r="M304" i="1"/>
  <c r="L304" i="1"/>
  <c r="K304" i="1"/>
  <c r="J304" i="1"/>
  <c r="M424" i="1"/>
  <c r="L424" i="1"/>
  <c r="K424" i="1"/>
  <c r="J424" i="1"/>
  <c r="M472" i="1"/>
  <c r="L472" i="1"/>
  <c r="K472" i="1"/>
  <c r="J472" i="1"/>
  <c r="M656" i="1"/>
  <c r="L656" i="1"/>
  <c r="K656" i="1"/>
  <c r="J656" i="1"/>
  <c r="M713" i="1"/>
  <c r="L713" i="1"/>
  <c r="K713" i="1"/>
  <c r="J713" i="1"/>
  <c r="M777" i="1"/>
  <c r="L777" i="1"/>
  <c r="K777" i="1"/>
  <c r="J777" i="1"/>
  <c r="M913" i="1"/>
  <c r="L913" i="1"/>
  <c r="K913" i="1"/>
  <c r="J913" i="1"/>
  <c r="M953" i="1"/>
  <c r="L953" i="1"/>
  <c r="K953" i="1"/>
  <c r="J953" i="1"/>
  <c r="M1001" i="1"/>
  <c r="L1001" i="1"/>
  <c r="K1001" i="1"/>
  <c r="J1001" i="1"/>
  <c r="M1169" i="1"/>
  <c r="L1169" i="1"/>
  <c r="K1169" i="1"/>
  <c r="J1169" i="1"/>
  <c r="M1337" i="1"/>
  <c r="L1337" i="1"/>
  <c r="K1337" i="1"/>
  <c r="J1337" i="1"/>
  <c r="M1377" i="1"/>
  <c r="L1377" i="1"/>
  <c r="J1377" i="1"/>
  <c r="K1377" i="1"/>
  <c r="M521" i="1"/>
  <c r="L521" i="1"/>
  <c r="K521" i="1"/>
  <c r="J521" i="1"/>
  <c r="M633" i="1"/>
  <c r="L633" i="1"/>
  <c r="K633" i="1"/>
  <c r="J633" i="1"/>
  <c r="M130" i="1"/>
  <c r="L130" i="1"/>
  <c r="K130" i="1"/>
  <c r="J130" i="1"/>
  <c r="M354" i="1"/>
  <c r="L354" i="1"/>
  <c r="K354" i="1"/>
  <c r="J354" i="1"/>
  <c r="M755" i="1"/>
  <c r="L755" i="1"/>
  <c r="K755" i="1"/>
  <c r="J755" i="1"/>
  <c r="M883" i="1"/>
  <c r="L883" i="1"/>
  <c r="K883" i="1"/>
  <c r="J883" i="1"/>
  <c r="M1043" i="1"/>
  <c r="L1043" i="1"/>
  <c r="K1043" i="1"/>
  <c r="J1043" i="1"/>
  <c r="M1171" i="1"/>
  <c r="L1171" i="1"/>
  <c r="J1171" i="1"/>
  <c r="K1171" i="1"/>
  <c r="M1324" i="1"/>
  <c r="L1324" i="1"/>
  <c r="K1324" i="1"/>
  <c r="J1324" i="1"/>
  <c r="M162" i="1"/>
  <c r="L162" i="1"/>
  <c r="K162" i="1"/>
  <c r="J162" i="1"/>
  <c r="M242" i="1"/>
  <c r="L242" i="1"/>
  <c r="K242" i="1"/>
  <c r="J242" i="1"/>
  <c r="M338" i="1"/>
  <c r="L338" i="1"/>
  <c r="K338" i="1"/>
  <c r="J338" i="1"/>
  <c r="M699" i="1"/>
  <c r="L699" i="1"/>
  <c r="K699" i="1"/>
  <c r="J699" i="1"/>
  <c r="M795" i="1"/>
  <c r="L795" i="1"/>
  <c r="K795" i="1"/>
  <c r="J795" i="1"/>
  <c r="M891" i="1"/>
  <c r="L891" i="1"/>
  <c r="K891" i="1"/>
  <c r="J891" i="1"/>
  <c r="M1019" i="1"/>
  <c r="L1019" i="1"/>
  <c r="K1019" i="1"/>
  <c r="J1019" i="1"/>
  <c r="M1147" i="1"/>
  <c r="L1147" i="1"/>
  <c r="J1147" i="1"/>
  <c r="K1147" i="1"/>
  <c r="M1291" i="1"/>
  <c r="L1291" i="1"/>
  <c r="K1291" i="1"/>
  <c r="J1291" i="1"/>
  <c r="M1180" i="1"/>
  <c r="L1180" i="1"/>
  <c r="K1180" i="1"/>
  <c r="J1180" i="1"/>
  <c r="M43" i="1"/>
  <c r="L43" i="1"/>
  <c r="K43" i="1"/>
  <c r="J43" i="1"/>
  <c r="M259" i="1"/>
  <c r="K259" i="1"/>
  <c r="L259" i="1"/>
  <c r="J259" i="1"/>
  <c r="M571" i="1"/>
  <c r="L571" i="1"/>
  <c r="K571" i="1"/>
  <c r="J571" i="1"/>
  <c r="M780" i="1"/>
  <c r="L780" i="1"/>
  <c r="K780" i="1"/>
  <c r="J780" i="1"/>
  <c r="M21" i="1"/>
  <c r="L21" i="1"/>
  <c r="K21" i="1"/>
  <c r="J21" i="1"/>
  <c r="M413" i="1"/>
  <c r="L413" i="1"/>
  <c r="K413" i="1"/>
  <c r="J413" i="1"/>
  <c r="M673" i="1"/>
  <c r="L673" i="1"/>
  <c r="K673" i="1"/>
  <c r="J673" i="1"/>
  <c r="M898" i="1"/>
  <c r="L898" i="1"/>
  <c r="K898" i="1"/>
  <c r="J898" i="1"/>
  <c r="M452" i="1"/>
  <c r="L452" i="1"/>
  <c r="K452" i="1"/>
  <c r="J452" i="1"/>
  <c r="M628" i="1"/>
  <c r="L628" i="1"/>
  <c r="K628" i="1"/>
  <c r="J628" i="1"/>
  <c r="M245" i="1"/>
  <c r="L245" i="1"/>
  <c r="K245" i="1"/>
  <c r="J245" i="1"/>
  <c r="M621" i="1"/>
  <c r="L621" i="1"/>
  <c r="K621" i="1"/>
  <c r="J621" i="1"/>
  <c r="M42" i="1"/>
  <c r="L42" i="1"/>
  <c r="K42" i="1"/>
  <c r="J42" i="1"/>
  <c r="M194" i="1"/>
  <c r="L194" i="1"/>
  <c r="J194" i="1"/>
  <c r="K194" i="1"/>
  <c r="M274" i="1"/>
  <c r="L274" i="1"/>
  <c r="K274" i="1"/>
  <c r="J274" i="1"/>
  <c r="M370" i="1"/>
  <c r="L370" i="1"/>
  <c r="K370" i="1"/>
  <c r="J370" i="1"/>
  <c r="M570" i="1"/>
  <c r="L570" i="1"/>
  <c r="K570" i="1"/>
  <c r="J570" i="1"/>
  <c r="M771" i="1"/>
  <c r="L771" i="1"/>
  <c r="K771" i="1"/>
  <c r="J771" i="1"/>
  <c r="M867" i="1"/>
  <c r="L867" i="1"/>
  <c r="K867" i="1"/>
  <c r="J867" i="1"/>
  <c r="M963" i="1"/>
  <c r="L963" i="1"/>
  <c r="K963" i="1"/>
  <c r="J963" i="1"/>
  <c r="M1059" i="1"/>
  <c r="L1059" i="1"/>
  <c r="K1059" i="1"/>
  <c r="J1059" i="1"/>
  <c r="M1123" i="1"/>
  <c r="L1123" i="1"/>
  <c r="K1123" i="1"/>
  <c r="J1123" i="1"/>
  <c r="M1219" i="1"/>
  <c r="L1219" i="1"/>
  <c r="K1219" i="1"/>
  <c r="J1219" i="1"/>
  <c r="M1323" i="1"/>
  <c r="L1323" i="1"/>
  <c r="K1323" i="1"/>
  <c r="J1323" i="1"/>
  <c r="M1132" i="1"/>
  <c r="L1132" i="1"/>
  <c r="K1132" i="1"/>
  <c r="J1132" i="1"/>
  <c r="M1381" i="1"/>
  <c r="L1381" i="1"/>
  <c r="K1381" i="1"/>
  <c r="J1381" i="1"/>
  <c r="M197" i="1"/>
  <c r="L197" i="1"/>
  <c r="K197" i="1"/>
  <c r="J197" i="1"/>
  <c r="M581" i="1"/>
  <c r="L581" i="1"/>
  <c r="J581" i="1"/>
  <c r="K581" i="1"/>
  <c r="M75" i="1"/>
  <c r="L75" i="1"/>
  <c r="K75" i="1"/>
  <c r="J75" i="1"/>
  <c r="M179" i="1"/>
  <c r="L179" i="1"/>
  <c r="K179" i="1"/>
  <c r="J179" i="1"/>
  <c r="M235" i="1"/>
  <c r="L235" i="1"/>
  <c r="K235" i="1"/>
  <c r="J235" i="1"/>
  <c r="M523" i="1"/>
  <c r="L523" i="1"/>
  <c r="K523" i="1"/>
  <c r="J523" i="1"/>
  <c r="M635" i="1"/>
  <c r="L635" i="1"/>
  <c r="K635" i="1"/>
  <c r="J635" i="1"/>
  <c r="M764" i="1"/>
  <c r="L764" i="1"/>
  <c r="K764" i="1"/>
  <c r="J764" i="1"/>
  <c r="M365" i="1"/>
  <c r="L365" i="1"/>
  <c r="K365" i="1"/>
  <c r="J365" i="1"/>
  <c r="M17" i="1"/>
  <c r="L17" i="1"/>
  <c r="K17" i="1"/>
  <c r="J17" i="1"/>
  <c r="M1202" i="1"/>
  <c r="L1202" i="1"/>
  <c r="J1202" i="1"/>
  <c r="K1202" i="1"/>
  <c r="M4" i="1"/>
  <c r="L4" i="1"/>
  <c r="K4" i="1"/>
  <c r="J4" i="1"/>
  <c r="M132" i="1"/>
  <c r="L132" i="1"/>
  <c r="K132" i="1"/>
  <c r="J132" i="1"/>
  <c r="M260" i="1"/>
  <c r="L260" i="1"/>
  <c r="K260" i="1"/>
  <c r="J260" i="1"/>
  <c r="M540" i="1"/>
  <c r="L540" i="1"/>
  <c r="K540" i="1"/>
  <c r="J540" i="1"/>
  <c r="M660" i="1"/>
  <c r="L660" i="1"/>
  <c r="J660" i="1"/>
  <c r="K660" i="1"/>
  <c r="M589" i="1"/>
  <c r="L589" i="1"/>
  <c r="J589" i="1"/>
  <c r="K589" i="1"/>
  <c r="M273" i="1"/>
  <c r="L273" i="1"/>
  <c r="K273" i="1"/>
  <c r="J273" i="1"/>
  <c r="M26" i="1"/>
  <c r="L26" i="1"/>
  <c r="K26" i="1"/>
  <c r="J26" i="1"/>
  <c r="M154" i="1"/>
  <c r="L154" i="1"/>
  <c r="K154" i="1"/>
  <c r="J154" i="1"/>
  <c r="M282" i="1"/>
  <c r="L282" i="1"/>
  <c r="K282" i="1"/>
  <c r="J282" i="1"/>
  <c r="M378" i="1"/>
  <c r="L378" i="1"/>
  <c r="K378" i="1"/>
  <c r="J378" i="1"/>
  <c r="M434" i="1"/>
  <c r="L434" i="1"/>
  <c r="K434" i="1"/>
  <c r="J434" i="1"/>
  <c r="M458" i="1"/>
  <c r="L458" i="1"/>
  <c r="K458" i="1"/>
  <c r="J458" i="1"/>
  <c r="M482" i="1"/>
  <c r="L482" i="1"/>
  <c r="K482" i="1"/>
  <c r="J482" i="1"/>
  <c r="M578" i="1"/>
  <c r="L578" i="1"/>
  <c r="K578" i="1"/>
  <c r="J578" i="1"/>
  <c r="M658" i="1"/>
  <c r="L658" i="1"/>
  <c r="K658" i="1"/>
  <c r="J658" i="1"/>
  <c r="M37" i="1"/>
  <c r="L37" i="1"/>
  <c r="K37" i="1"/>
  <c r="J37" i="1"/>
  <c r="M221" i="1"/>
  <c r="L221" i="1"/>
  <c r="K221" i="1"/>
  <c r="J221" i="1"/>
  <c r="M397" i="1"/>
  <c r="L397" i="1"/>
  <c r="K397" i="1"/>
  <c r="J397" i="1"/>
  <c r="M597" i="1"/>
  <c r="L597" i="1"/>
  <c r="K597" i="1"/>
  <c r="J597" i="1"/>
  <c r="M798" i="1"/>
  <c r="L798" i="1"/>
  <c r="K798" i="1"/>
  <c r="J798" i="1"/>
  <c r="M854" i="1"/>
  <c r="L854" i="1"/>
  <c r="K854" i="1"/>
  <c r="J854" i="1"/>
  <c r="M902" i="1"/>
  <c r="L902" i="1"/>
  <c r="K902" i="1"/>
  <c r="J902" i="1"/>
  <c r="M998" i="1"/>
  <c r="K998" i="1"/>
  <c r="L998" i="1"/>
  <c r="J998" i="1"/>
  <c r="M1142" i="1"/>
  <c r="L1142" i="1"/>
  <c r="K1142" i="1"/>
  <c r="J1142" i="1"/>
  <c r="M1270" i="1"/>
  <c r="L1270" i="1"/>
  <c r="K1270" i="1"/>
  <c r="J1270" i="1"/>
  <c r="M1358" i="1"/>
  <c r="L1358" i="1"/>
  <c r="K1358" i="1"/>
  <c r="J1358" i="1"/>
  <c r="M866" i="1"/>
  <c r="L866" i="1"/>
  <c r="K866" i="1"/>
  <c r="J866" i="1"/>
  <c r="M1146" i="1"/>
  <c r="L1146" i="1"/>
  <c r="K1146" i="1"/>
  <c r="J1146" i="1"/>
  <c r="M1298" i="1"/>
  <c r="L1298" i="1"/>
  <c r="K1298" i="1"/>
  <c r="J1298" i="1"/>
  <c r="M35" i="1"/>
  <c r="L35" i="1"/>
  <c r="K35" i="1"/>
  <c r="J35" i="1"/>
  <c r="M59" i="1"/>
  <c r="L59" i="1"/>
  <c r="K59" i="1"/>
  <c r="J59" i="1"/>
  <c r="M139" i="1"/>
  <c r="L139" i="1"/>
  <c r="K139" i="1"/>
  <c r="J139" i="1"/>
  <c r="M187" i="1"/>
  <c r="L187" i="1"/>
  <c r="K187" i="1"/>
  <c r="J187" i="1"/>
  <c r="M307" i="1"/>
  <c r="L307" i="1"/>
  <c r="K307" i="1"/>
  <c r="J307" i="1"/>
  <c r="M363" i="1"/>
  <c r="L363" i="1"/>
  <c r="K363" i="1"/>
  <c r="J363" i="1"/>
  <c r="M419" i="1"/>
  <c r="L419" i="1"/>
  <c r="K419" i="1"/>
  <c r="J419" i="1"/>
  <c r="M475" i="1"/>
  <c r="L475" i="1"/>
  <c r="K475" i="1"/>
  <c r="J475" i="1"/>
  <c r="M563" i="1"/>
  <c r="L563" i="1"/>
  <c r="K563" i="1"/>
  <c r="J563" i="1"/>
  <c r="M619" i="1"/>
  <c r="L619" i="1"/>
  <c r="K619" i="1"/>
  <c r="J619" i="1"/>
  <c r="M675" i="1"/>
  <c r="L675" i="1"/>
  <c r="J675" i="1"/>
  <c r="K675" i="1"/>
  <c r="M884" i="1"/>
  <c r="L884" i="1"/>
  <c r="K884" i="1"/>
  <c r="J884" i="1"/>
  <c r="M908" i="1"/>
  <c r="L908" i="1"/>
  <c r="K908" i="1"/>
  <c r="J908" i="1"/>
  <c r="M988" i="1"/>
  <c r="L988" i="1"/>
  <c r="K988" i="1"/>
  <c r="J988" i="1"/>
  <c r="M1012" i="1"/>
  <c r="L1012" i="1"/>
  <c r="K1012" i="1"/>
  <c r="J1012" i="1"/>
  <c r="M1036" i="1"/>
  <c r="L1036" i="1"/>
  <c r="K1036" i="1"/>
  <c r="J1036" i="1"/>
  <c r="M1164" i="1"/>
  <c r="L1164" i="1"/>
  <c r="K1164" i="1"/>
  <c r="J1164" i="1"/>
  <c r="M1260" i="1"/>
  <c r="L1260" i="1"/>
  <c r="K1260" i="1"/>
  <c r="J1260" i="1"/>
  <c r="M205" i="1"/>
  <c r="L205" i="1"/>
  <c r="K205" i="1"/>
  <c r="J205" i="1"/>
  <c r="M389" i="1"/>
  <c r="L389" i="1"/>
  <c r="J389" i="1"/>
  <c r="K389" i="1"/>
  <c r="M573" i="1"/>
  <c r="L573" i="1"/>
  <c r="K573" i="1"/>
  <c r="J573" i="1"/>
  <c r="M185" i="1"/>
  <c r="L185" i="1"/>
  <c r="K185" i="1"/>
  <c r="J185" i="1"/>
  <c r="M441" i="1"/>
  <c r="L441" i="1"/>
  <c r="J441" i="1"/>
  <c r="K441" i="1"/>
  <c r="M12" i="1"/>
  <c r="L12" i="1"/>
  <c r="K12" i="1"/>
  <c r="J12" i="1"/>
  <c r="M92" i="1"/>
  <c r="L92" i="1"/>
  <c r="K92" i="1"/>
  <c r="J92" i="1"/>
  <c r="M116" i="1"/>
  <c r="L116" i="1"/>
  <c r="K116" i="1"/>
  <c r="J116" i="1"/>
  <c r="M140" i="1"/>
  <c r="L140" i="1"/>
  <c r="K140" i="1"/>
  <c r="J140" i="1"/>
  <c r="M220" i="1"/>
  <c r="L220" i="1"/>
  <c r="K220" i="1"/>
  <c r="J220" i="1"/>
  <c r="M244" i="1"/>
  <c r="L244" i="1"/>
  <c r="K244" i="1"/>
  <c r="J244" i="1"/>
  <c r="M268" i="1"/>
  <c r="L268" i="1"/>
  <c r="K268" i="1"/>
  <c r="J268" i="1"/>
  <c r="M316" i="1"/>
  <c r="L316" i="1"/>
  <c r="K316" i="1"/>
  <c r="J316" i="1"/>
  <c r="M340" i="1"/>
  <c r="L340" i="1"/>
  <c r="K340" i="1"/>
  <c r="J340" i="1"/>
  <c r="M364" i="1"/>
  <c r="L364" i="1"/>
  <c r="K364" i="1"/>
  <c r="J364" i="1"/>
  <c r="M444" i="1"/>
  <c r="L444" i="1"/>
  <c r="J444" i="1"/>
  <c r="K444" i="1"/>
  <c r="M548" i="1"/>
  <c r="L548" i="1"/>
  <c r="K548" i="1"/>
  <c r="J548" i="1"/>
  <c r="M644" i="1"/>
  <c r="L644" i="1"/>
  <c r="K644" i="1"/>
  <c r="J644" i="1"/>
  <c r="M717" i="1"/>
  <c r="L717" i="1"/>
  <c r="K717" i="1"/>
  <c r="J717" i="1"/>
  <c r="M773" i="1"/>
  <c r="L773" i="1"/>
  <c r="K773" i="1"/>
  <c r="J773" i="1"/>
  <c r="M805" i="1"/>
  <c r="L805" i="1"/>
  <c r="K805" i="1"/>
  <c r="J805" i="1"/>
  <c r="M837" i="1"/>
  <c r="L837" i="1"/>
  <c r="K837" i="1"/>
  <c r="J837" i="1"/>
  <c r="M869" i="1"/>
  <c r="L869" i="1"/>
  <c r="K869" i="1"/>
  <c r="J869" i="1"/>
  <c r="M949" i="1"/>
  <c r="L949" i="1"/>
  <c r="K949" i="1"/>
  <c r="J949" i="1"/>
  <c r="M973" i="1"/>
  <c r="L973" i="1"/>
  <c r="K973" i="1"/>
  <c r="J973" i="1"/>
  <c r="M997" i="1"/>
  <c r="L997" i="1"/>
  <c r="K997" i="1"/>
  <c r="J997" i="1"/>
  <c r="M1077" i="1"/>
  <c r="L1077" i="1"/>
  <c r="K1077" i="1"/>
  <c r="J1077" i="1"/>
  <c r="M1101" i="1"/>
  <c r="L1101" i="1"/>
  <c r="K1101" i="1"/>
  <c r="J1101" i="1"/>
  <c r="M1125" i="1"/>
  <c r="L1125" i="1"/>
  <c r="K1125" i="1"/>
  <c r="J1125" i="1"/>
  <c r="M1205" i="1"/>
  <c r="L1205" i="1"/>
  <c r="K1205" i="1"/>
  <c r="J1205" i="1"/>
  <c r="M1229" i="1"/>
  <c r="L1229" i="1"/>
  <c r="K1229" i="1"/>
  <c r="J1229" i="1"/>
  <c r="M1253" i="1"/>
  <c r="L1253" i="1"/>
  <c r="K1253" i="1"/>
  <c r="J1253" i="1"/>
  <c r="M1317" i="1"/>
  <c r="L1317" i="1"/>
  <c r="K1317" i="1"/>
  <c r="J1317" i="1"/>
  <c r="M1365" i="1"/>
  <c r="L1365" i="1"/>
  <c r="K1365" i="1"/>
  <c r="J1365" i="1"/>
  <c r="M29" i="1"/>
  <c r="L29" i="1"/>
  <c r="K29" i="1"/>
  <c r="J29" i="1"/>
  <c r="M213" i="1"/>
  <c r="L213" i="1"/>
  <c r="K213" i="1"/>
  <c r="J213" i="1"/>
  <c r="M421" i="1"/>
  <c r="L421" i="1"/>
  <c r="K421" i="1"/>
  <c r="J421" i="1"/>
  <c r="M605" i="1"/>
  <c r="L605" i="1"/>
  <c r="K605" i="1"/>
  <c r="J605" i="1"/>
  <c r="M718" i="1"/>
  <c r="L718" i="1"/>
  <c r="K718" i="1"/>
  <c r="J718" i="1"/>
  <c r="M830" i="1"/>
  <c r="L830" i="1"/>
  <c r="K830" i="1"/>
  <c r="J830" i="1"/>
  <c r="M958" i="1"/>
  <c r="L958" i="1"/>
  <c r="K958" i="1"/>
  <c r="J958" i="1"/>
  <c r="M1014" i="1"/>
  <c r="L1014" i="1"/>
  <c r="K1014" i="1"/>
  <c r="J1014" i="1"/>
  <c r="M1102" i="1"/>
  <c r="K1102" i="1"/>
  <c r="L1102" i="1"/>
  <c r="J1102" i="1"/>
  <c r="M1126" i="1"/>
  <c r="K1126" i="1"/>
  <c r="L1126" i="1"/>
  <c r="J1126" i="1"/>
  <c r="M1158" i="1"/>
  <c r="K1158" i="1"/>
  <c r="L1158" i="1"/>
  <c r="J1158" i="1"/>
  <c r="M1214" i="1"/>
  <c r="L1214" i="1"/>
  <c r="K1214" i="1"/>
  <c r="J1214" i="1"/>
  <c r="M1254" i="1"/>
  <c r="L1254" i="1"/>
  <c r="K1254" i="1"/>
  <c r="J1254" i="1"/>
  <c r="M393" i="1"/>
  <c r="L393" i="1"/>
  <c r="K393" i="1"/>
  <c r="J393" i="1"/>
  <c r="M505" i="1"/>
  <c r="L505" i="1"/>
  <c r="K505" i="1"/>
  <c r="J505" i="1"/>
  <c r="M818" i="1"/>
  <c r="L818" i="1"/>
  <c r="K818" i="1"/>
  <c r="J818" i="1"/>
  <c r="M1210" i="1"/>
  <c r="L1210" i="1"/>
  <c r="K1210" i="1"/>
  <c r="J1210" i="1"/>
  <c r="M1338" i="1"/>
  <c r="L1338" i="1"/>
  <c r="J1338" i="1"/>
  <c r="K1338" i="1"/>
  <c r="M30" i="1"/>
  <c r="L30" i="1"/>
  <c r="K30" i="1"/>
  <c r="J30" i="1"/>
  <c r="M118" i="1"/>
  <c r="K118" i="1"/>
  <c r="L118" i="1"/>
  <c r="J118" i="1"/>
  <c r="M206" i="1"/>
  <c r="L206" i="1"/>
  <c r="K206" i="1"/>
  <c r="J206" i="1"/>
  <c r="M270" i="1"/>
  <c r="K270" i="1"/>
  <c r="L270" i="1"/>
  <c r="J270" i="1"/>
  <c r="M334" i="1"/>
  <c r="L334" i="1"/>
  <c r="K334" i="1"/>
  <c r="J334" i="1"/>
  <c r="M358" i="1"/>
  <c r="L358" i="1"/>
  <c r="K358" i="1"/>
  <c r="J358" i="1"/>
  <c r="M422" i="1"/>
  <c r="L422" i="1"/>
  <c r="K422" i="1"/>
  <c r="J422" i="1"/>
  <c r="M510" i="1"/>
  <c r="L510" i="1"/>
  <c r="K510" i="1"/>
  <c r="J510" i="1"/>
  <c r="M574" i="1"/>
  <c r="L574" i="1"/>
  <c r="K574" i="1"/>
  <c r="J574" i="1"/>
  <c r="M662" i="1"/>
  <c r="L662" i="1"/>
  <c r="K662" i="1"/>
  <c r="J662" i="1"/>
  <c r="M711" i="1"/>
  <c r="L711" i="1"/>
  <c r="K711" i="1"/>
  <c r="J711" i="1"/>
  <c r="M775" i="1"/>
  <c r="L775" i="1"/>
  <c r="K775" i="1"/>
  <c r="J775" i="1"/>
  <c r="M823" i="1"/>
  <c r="L823" i="1"/>
  <c r="K823" i="1"/>
  <c r="J823" i="1"/>
  <c r="L855" i="1"/>
  <c r="M855" i="1"/>
  <c r="K855" i="1"/>
  <c r="J855" i="1"/>
  <c r="M887" i="1"/>
  <c r="L887" i="1"/>
  <c r="K887" i="1"/>
  <c r="J887" i="1"/>
  <c r="M919" i="1"/>
  <c r="L919" i="1"/>
  <c r="K919" i="1"/>
  <c r="J919" i="1"/>
  <c r="M951" i="1"/>
  <c r="L951" i="1"/>
  <c r="K951" i="1"/>
  <c r="J951" i="1"/>
  <c r="M983" i="1"/>
  <c r="L983" i="1"/>
  <c r="K983" i="1"/>
  <c r="J983" i="1"/>
  <c r="M1015" i="1"/>
  <c r="L1015" i="1"/>
  <c r="K1015" i="1"/>
  <c r="J1015" i="1"/>
  <c r="M1047" i="1"/>
  <c r="L1047" i="1"/>
  <c r="K1047" i="1"/>
  <c r="J1047" i="1"/>
  <c r="M1079" i="1"/>
  <c r="L1079" i="1"/>
  <c r="K1079" i="1"/>
  <c r="J1079" i="1"/>
  <c r="M1111" i="1"/>
  <c r="L1111" i="1"/>
  <c r="K1111" i="1"/>
  <c r="J1111" i="1"/>
  <c r="M1143" i="1"/>
  <c r="L1143" i="1"/>
  <c r="K1143" i="1"/>
  <c r="J1143" i="1"/>
  <c r="M1175" i="1"/>
  <c r="L1175" i="1"/>
  <c r="K1175" i="1"/>
  <c r="J1175" i="1"/>
  <c r="M1207" i="1"/>
  <c r="L1207" i="1"/>
  <c r="K1207" i="1"/>
  <c r="J1207" i="1"/>
  <c r="M1239" i="1"/>
  <c r="L1239" i="1"/>
  <c r="K1239" i="1"/>
  <c r="J1239" i="1"/>
  <c r="M1271" i="1"/>
  <c r="L1271" i="1"/>
  <c r="K1271" i="1"/>
  <c r="J1271" i="1"/>
  <c r="M1303" i="1"/>
  <c r="L1303" i="1"/>
  <c r="K1303" i="1"/>
  <c r="J1303" i="1"/>
  <c r="M1335" i="1"/>
  <c r="L1335" i="1"/>
  <c r="K1335" i="1"/>
  <c r="J1335" i="1"/>
  <c r="M1367" i="1"/>
  <c r="L1367" i="1"/>
  <c r="K1367" i="1"/>
  <c r="J1367" i="1"/>
  <c r="M264" i="1"/>
  <c r="L264" i="1"/>
  <c r="K264" i="1"/>
  <c r="J264" i="1"/>
  <c r="M312" i="1"/>
  <c r="L312" i="1"/>
  <c r="K312" i="1"/>
  <c r="J312" i="1"/>
  <c r="M368" i="1"/>
  <c r="L368" i="1"/>
  <c r="K368" i="1"/>
  <c r="J368" i="1"/>
  <c r="M25" i="1"/>
  <c r="L25" i="1"/>
  <c r="K25" i="1"/>
  <c r="J25" i="1"/>
  <c r="M137" i="1"/>
  <c r="L137" i="1"/>
  <c r="K137" i="1"/>
  <c r="J137" i="1"/>
  <c r="M257" i="1"/>
  <c r="L257" i="1"/>
  <c r="K257" i="1"/>
  <c r="J257" i="1"/>
  <c r="M377" i="1"/>
  <c r="L377" i="1"/>
  <c r="K377" i="1"/>
  <c r="J377" i="1"/>
  <c r="M794" i="1"/>
  <c r="L794" i="1"/>
  <c r="K794" i="1"/>
  <c r="J794" i="1"/>
  <c r="M914" i="1"/>
  <c r="K914" i="1"/>
  <c r="L914" i="1"/>
  <c r="J914" i="1"/>
  <c r="M1010" i="1"/>
  <c r="L1010" i="1"/>
  <c r="K1010" i="1"/>
  <c r="J1010" i="1"/>
  <c r="M1090" i="1"/>
  <c r="L1090" i="1"/>
  <c r="K1090" i="1"/>
  <c r="J1090" i="1"/>
  <c r="M1306" i="1"/>
  <c r="K1306" i="1"/>
  <c r="L1306" i="1"/>
  <c r="J1306" i="1"/>
  <c r="M79" i="1"/>
  <c r="L79" i="1"/>
  <c r="K79" i="1"/>
  <c r="J79" i="1"/>
  <c r="M103" i="1"/>
  <c r="L103" i="1"/>
  <c r="K103" i="1"/>
  <c r="J103" i="1"/>
  <c r="M191" i="1"/>
  <c r="L191" i="1"/>
  <c r="K191" i="1"/>
  <c r="J191" i="1"/>
  <c r="M247" i="1"/>
  <c r="L247" i="1"/>
  <c r="K247" i="1"/>
  <c r="J247" i="1"/>
  <c r="M303" i="1"/>
  <c r="L303" i="1"/>
  <c r="K303" i="1"/>
  <c r="J303" i="1"/>
  <c r="M359" i="1"/>
  <c r="L359" i="1"/>
  <c r="K359" i="1"/>
  <c r="J359" i="1"/>
  <c r="M447" i="1"/>
  <c r="L447" i="1"/>
  <c r="K447" i="1"/>
  <c r="J447" i="1"/>
  <c r="M503" i="1"/>
  <c r="L503" i="1"/>
  <c r="K503" i="1"/>
  <c r="J503" i="1"/>
  <c r="M559" i="1"/>
  <c r="L559" i="1"/>
  <c r="K559" i="1"/>
  <c r="J559" i="1"/>
  <c r="M615" i="1"/>
  <c r="L615" i="1"/>
  <c r="K615" i="1"/>
  <c r="J615" i="1"/>
  <c r="M728" i="1"/>
  <c r="L728" i="1"/>
  <c r="K728" i="1"/>
  <c r="J728" i="1"/>
  <c r="M760" i="1"/>
  <c r="L760" i="1"/>
  <c r="K760" i="1"/>
  <c r="J760" i="1"/>
  <c r="M792" i="1"/>
  <c r="L792" i="1"/>
  <c r="K792" i="1"/>
  <c r="J792" i="1"/>
  <c r="M824" i="1"/>
  <c r="L824" i="1"/>
  <c r="K824" i="1"/>
  <c r="J824" i="1"/>
  <c r="M856" i="1"/>
  <c r="L856" i="1"/>
  <c r="K856" i="1"/>
  <c r="J856" i="1"/>
  <c r="M888" i="1"/>
  <c r="L888" i="1"/>
  <c r="K888" i="1"/>
  <c r="J888" i="1"/>
  <c r="M920" i="1"/>
  <c r="L920" i="1"/>
  <c r="K920" i="1"/>
  <c r="J920" i="1"/>
  <c r="M952" i="1"/>
  <c r="L952" i="1"/>
  <c r="K952" i="1"/>
  <c r="J952" i="1"/>
  <c r="M984" i="1"/>
  <c r="L984" i="1"/>
  <c r="K984" i="1"/>
  <c r="J984" i="1"/>
  <c r="M1016" i="1"/>
  <c r="L1016" i="1"/>
  <c r="K1016" i="1"/>
  <c r="J1016" i="1"/>
  <c r="M1048" i="1"/>
  <c r="L1048" i="1"/>
  <c r="K1048" i="1"/>
  <c r="J1048" i="1"/>
  <c r="M1080" i="1"/>
  <c r="L1080" i="1"/>
  <c r="K1080" i="1"/>
  <c r="J1080" i="1"/>
  <c r="M1112" i="1"/>
  <c r="L1112" i="1"/>
  <c r="K1112" i="1"/>
  <c r="J1112" i="1"/>
  <c r="M1144" i="1"/>
  <c r="L1144" i="1"/>
  <c r="K1144" i="1"/>
  <c r="J1144" i="1"/>
  <c r="M1176" i="1"/>
  <c r="L1176" i="1"/>
  <c r="K1176" i="1"/>
  <c r="J1176" i="1"/>
  <c r="M1208" i="1"/>
  <c r="L1208" i="1"/>
  <c r="K1208" i="1"/>
  <c r="J1208" i="1"/>
  <c r="M1240" i="1"/>
  <c r="L1240" i="1"/>
  <c r="K1240" i="1"/>
  <c r="J1240" i="1"/>
  <c r="M1272" i="1"/>
  <c r="L1272" i="1"/>
  <c r="K1272" i="1"/>
  <c r="J1272" i="1"/>
  <c r="M1304" i="1"/>
  <c r="L1304" i="1"/>
  <c r="K1304" i="1"/>
  <c r="J1304" i="1"/>
  <c r="M1336" i="1"/>
  <c r="L1336" i="1"/>
  <c r="K1336" i="1"/>
  <c r="J1336" i="1"/>
  <c r="M1368" i="1"/>
  <c r="L1368" i="1"/>
  <c r="K1368" i="1"/>
  <c r="J1368" i="1"/>
  <c r="M48" i="1"/>
  <c r="L48" i="1"/>
  <c r="K48" i="1"/>
  <c r="J48" i="1"/>
  <c r="M208" i="1"/>
  <c r="L208" i="1"/>
  <c r="K208" i="1"/>
  <c r="J208" i="1"/>
  <c r="M608" i="1"/>
  <c r="L608" i="1"/>
  <c r="K608" i="1"/>
  <c r="J608" i="1"/>
  <c r="M105" i="1"/>
  <c r="L105" i="1"/>
  <c r="K105" i="1"/>
  <c r="J105" i="1"/>
  <c r="M233" i="1"/>
  <c r="K233" i="1"/>
  <c r="L233" i="1"/>
  <c r="J233" i="1"/>
  <c r="M353" i="1"/>
  <c r="L353" i="1"/>
  <c r="K353" i="1"/>
  <c r="J353" i="1"/>
  <c r="M802" i="1"/>
  <c r="L802" i="1"/>
  <c r="K802" i="1"/>
  <c r="J802" i="1"/>
  <c r="M922" i="1"/>
  <c r="L922" i="1"/>
  <c r="J922" i="1"/>
  <c r="K922" i="1"/>
  <c r="M1018" i="1"/>
  <c r="L1018" i="1"/>
  <c r="K1018" i="1"/>
  <c r="J1018" i="1"/>
</calcChain>
</file>

<file path=xl/sharedStrings.xml><?xml version="1.0" encoding="utf-8"?>
<sst xmlns="http://schemas.openxmlformats.org/spreadsheetml/2006/main" count="1420" uniqueCount="37">
  <si>
    <t>Sexo</t>
  </si>
  <si>
    <t>Capital</t>
  </si>
  <si>
    <t>Edad</t>
  </si>
  <si>
    <t>Gastos Adm</t>
  </si>
  <si>
    <t>Utilidad</t>
  </si>
  <si>
    <t>Marketing</t>
  </si>
  <si>
    <t>Cobranza</t>
  </si>
  <si>
    <t>Emergencia Médica</t>
  </si>
  <si>
    <t>Atención Odontológica</t>
  </si>
  <si>
    <t>Call Center</t>
  </si>
  <si>
    <t>Credencial</t>
  </si>
  <si>
    <t>PrimaTécnica</t>
  </si>
  <si>
    <t>PrimaNeta</t>
  </si>
  <si>
    <t>APS</t>
  </si>
  <si>
    <t>Recargo adicional</t>
  </si>
  <si>
    <t>IT</t>
  </si>
  <si>
    <t>IVA</t>
  </si>
  <si>
    <t>Masculino</t>
  </si>
  <si>
    <t>Femenino</t>
  </si>
  <si>
    <t>Femenino Con Maternidad</t>
  </si>
  <si>
    <t>Comisión</t>
  </si>
  <si>
    <t>M Gastos Adm</t>
  </si>
  <si>
    <t>M Utilidad</t>
  </si>
  <si>
    <t>M Marketing</t>
  </si>
  <si>
    <t>M Cobranza</t>
  </si>
  <si>
    <t>M Comision</t>
  </si>
  <si>
    <t>M APS</t>
  </si>
  <si>
    <t>M Recargo</t>
  </si>
  <si>
    <t>M IT</t>
  </si>
  <si>
    <t>M IVA</t>
  </si>
  <si>
    <t>Factor</t>
  </si>
  <si>
    <t>Prima Riesgo Asistencia</t>
  </si>
  <si>
    <t>Prima Riesgo Maternidad</t>
  </si>
  <si>
    <t>PrimaComercial Anual Maternidad</t>
  </si>
  <si>
    <t>PrimaComercial Anual Asistencia</t>
  </si>
  <si>
    <t>PrimaComercial Anual</t>
  </si>
  <si>
    <t>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</si>
</sst>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"/>
    <numFmt numFmtId="165" formatCode="_-* #,##0.00\ _€_-;\-* #,##0.00\ _€_-;_-* &quot;-&quot;??\ _€_-;_-@_-"/>
  </numFmts>
  <fonts count="7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1">
    <xf numFmtId="0" fontId="0" fillId="0" borderId="0" xfId="0"/>
    <xf numFmtId="0" fontId="3" fillId="2" borderId="0" xfId="0" applyFont="1" applyFill="1"/>
    <xf numFmtId="0" fontId="0" fillId="0" borderId="0" xfId="0" applyFill="1"/>
    <xf numFmtId="0" fontId="2" fillId="3" borderId="0" xfId="0" applyFont="1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43" fontId="0" fillId="4" borderId="0" xfId="1" applyFont="1" applyFill="1"/>
    <xf numFmtId="43" fontId="0" fillId="0" borderId="0" xfId="1" applyFont="1" applyFill="1"/>
    <xf numFmtId="43" fontId="0" fillId="0" borderId="0" xfId="1" applyFont="1"/>
    <xf numFmtId="43" fontId="0" fillId="4" borderId="0" xfId="1" applyFont="1" applyFill="1" applyAlignment="1">
      <alignment horizontal="center"/>
    </xf>
    <xf numFmtId="43" fontId="0" fillId="0" borderId="0" xfId="0" applyNumberFormat="1" applyFill="1"/>
    <xf numFmtId="0" fontId="6" fillId="0" borderId="0" xfId="0" applyFont="1"/>
    <xf numFmtId="0" fontId="0" fillId="5" borderId="0" xfId="0" applyFill="1"/>
    <xf numFmtId="0" fontId="1" fillId="3" borderId="0" xfId="0" applyFont="1" applyFill="1"/>
    <xf numFmtId="164" fontId="0" fillId="0" borderId="0" xfId="0" applyNumberFormat="1"/>
    <xf numFmtId="165" fontId="0" fillId="0" borderId="0" xfId="0" applyNumberFormat="1" applyFill="1"/>
    <xf numFmtId="9" fontId="0" fillId="0" borderId="0" xfId="0" applyNumberFormat="1"/>
    <xf numFmtId="0" fontId="0" fillId="6" borderId="0" xfId="0" applyFill="1"/>
    <xf numFmtId="43" fontId="0" fillId="6" borderId="0" xfId="1" applyFont="1" applyFill="1"/>
    <xf numFmtId="165" fontId="0" fillId="6" borderId="0" xfId="0" applyNumberFormat="1" applyFill="1"/>
    <xf numFmtId="165" fontId="0" fillId="0" borderId="0" xfId="0" applyNumberFormat="1"/>
  </cellXfs>
  <cellStyles count="2">
    <cellStyle name="Comma" xfId="1" builtinId="3"/>
    <cellStyle name="Normal" xfId="0" builtinId="0"/>
  </cellStyles>
  <dxfs count="15">
    <dxf>
      <numFmt numFmtId="165" formatCode="_-* #,##0.00\ _€_-;\-* #,##0.00\ _€_-;_-* &quot;-&quot;??\ _€_-;_-@_-"/>
    </dxf>
    <dxf>
      <numFmt numFmtId="165" formatCode="_-* #,##0.00\ _€_-;\-* #,##0.00\ _€_-;_-* &quot;-&quot;??\ _€_-;_-@_-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165" formatCode="_-* #,##0.00\ _€_-;\-* #,##0.00\ _€_-;_-* &quot;-&quot;??\ _€_-;_-@_-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AG1387" totalsRowShown="0">
  <autoFilter ref="A1:AG1387" xr:uid="{00000000-0009-0000-0100-000003000000}"/>
  <tableColumns count="33">
    <tableColumn id="1" xr3:uid="{00000000-0010-0000-0000-000001000000}" name="Sexo"/>
    <tableColumn id="2" xr3:uid="{00000000-0010-0000-0000-000002000000}" name="Capital"/>
    <tableColumn id="3" xr3:uid="{00000000-0010-0000-0000-000003000000}" name="Edad"/>
    <tableColumn id="4" xr3:uid="{00000000-0010-0000-0000-000004000000}" name="Prima Riesgo Asistencia" dataDxfId="14">
      <calculatedColumnFormula>Table3[[#This Row],[PrimaTécnica]]-Table3[[#This Row],[PrimaTécnica]]*SUM(Table3[[#This Row],[Gastos Adm]:[Cobranza]])</calculatedColumnFormula>
    </tableColumn>
    <tableColumn id="5" xr3:uid="{00000000-0010-0000-0000-000005000000}" name="Prima Riesgo Maternidad"/>
    <tableColumn id="6" xr3:uid="{00000000-0010-0000-0000-000006000000}" name="Gastos Adm"/>
    <tableColumn id="7" xr3:uid="{00000000-0010-0000-0000-000007000000}" name="Utilidad"/>
    <tableColumn id="8" xr3:uid="{00000000-0010-0000-0000-000008000000}" name="Marketing"/>
    <tableColumn id="9" xr3:uid="{00000000-0010-0000-0000-000009000000}" name="Cobranza"/>
    <tableColumn id="38" xr3:uid="{55AE24EC-DD77-44B4-AFCC-E3765037B218}" name="M Gastos Adm" dataDxfId="13" dataCellStyle="Comma">
      <calculatedColumnFormula>Table3[[#This Row],[PrimaTécnica]]*Table3[[#This Row],[Gastos Adm]]</calculatedColumnFormula>
    </tableColumn>
    <tableColumn id="37" xr3:uid="{0CAF351B-0FDA-4DC5-BDDA-98A279669C84}" name="M Utilidad" dataDxfId="12" dataCellStyle="Comma">
      <calculatedColumnFormula>Table3[[#This Row],[PrimaTécnica]]*Table3[[#This Row],[Utilidad]]</calculatedColumnFormula>
    </tableColumn>
    <tableColumn id="36" xr3:uid="{F127A51B-D0C3-4E7C-9403-72C5772D5167}" name="M Marketing" dataDxfId="11" dataCellStyle="Comma">
      <calculatedColumnFormula>Table3[[#This Row],[PrimaTécnica]]*Table3[[#This Row],[Marketing]]</calculatedColumnFormula>
    </tableColumn>
    <tableColumn id="35" xr3:uid="{C63171BB-663E-4BDD-985E-B8B6A24B9CD2}" name="M Cobranza" dataDxfId="10" dataCellStyle="Comma">
      <calculatedColumnFormula>Table3[[#This Row],[PrimaTécnica]]*Table3[[#This Row],[Cobranza]]</calculatedColumnFormula>
    </tableColumn>
    <tableColumn id="34" xr3:uid="{A6DBE6A7-8A87-4279-BFEC-09FB33903F95}" name="PrimaTécnica" dataDxfId="2">
      <calculatedColumnFormula>(Table3[[#This Row],[PrimaNeta]]-Table3[[#This Row],[PrimaNeta]]*Table3[[#This Row],[Comisión]])-Table3[[#This Row],[Credencial]]-Table3[[#This Row],[Call Center]]-Table3[[#This Row],[Atención Odontológica]]-Table3[[#This Row],[Emergencia Médica]]</calculatedColumnFormula>
    </tableColumn>
    <tableColumn id="31" xr3:uid="{1C8EF4E9-6A4A-4CEA-878B-BFEAFB8EE74C}" name="Emergencia Médica" dataDxfId="9"/>
    <tableColumn id="29" xr3:uid="{090B5BC1-A05F-4171-938E-56F6CD2B9038}" name="Atención Odontológica" dataDxfId="8"/>
    <tableColumn id="32" xr3:uid="{99E9CC8E-198B-46CD-906F-4DE470B91C2B}" name="Call Center" dataDxfId="7"/>
    <tableColumn id="33" xr3:uid="{6C915F41-68BC-4D06-9342-2DD52E0908F5}" name="Credencial" dataDxfId="6"/>
    <tableColumn id="16" xr3:uid="{00000000-0010-0000-0000-000010000000}" name="Comisión"/>
    <tableColumn id="28" xr3:uid="{6A6F681D-9FA4-4A00-977D-AACC9CB0BFC3}" name="ANT"/>
    <tableColumn id="40" xr3:uid="{593529C4-BCA7-44B6-B679-7976C83B7A45}" name="M Comision" dataCellStyle="Comma">
      <calculatedColumnFormula>Table3[[#This Row],[PrimaNeta]]*Table3[[#This Row],[Comisión]]</calculatedColumnFormula>
    </tableColumn>
    <tableColumn id="17" xr3:uid="{00000000-0010-0000-0000-000011000000}" name="PrimaNeta" dataDxfId="1">
      <calculatedColumnFormula>Table3[[#This Row],[PrimaComercial Anual]]-Table3[[#This Row],[PrimaComercial Anual]]*SUM(Table3[[#This Row],[APS]:[IVA]])</calculatedColumnFormula>
    </tableColumn>
    <tableColumn id="11" xr3:uid="{407C4912-F0EC-4140-805E-70D2609C2E61}" name="APS" dataDxfId="3"/>
    <tableColumn id="19" xr3:uid="{00000000-0010-0000-0000-000013000000}" name="Recargo adicional"/>
    <tableColumn id="20" xr3:uid="{00000000-0010-0000-0000-000014000000}" name="IT"/>
    <tableColumn id="21" xr3:uid="{00000000-0010-0000-0000-000015000000}" name="IVA"/>
    <tableColumn id="12" xr3:uid="{03854A92-D70E-4F7C-88C5-2FFFD5ADE46E}" name="M APS" dataDxfId="0">
      <calculatedColumnFormula>Table3[[#This Row],[APS]]*Table3[[#This Row],[PrimaComercial Anual]]</calculatedColumnFormula>
    </tableColumn>
    <tableColumn id="43" xr3:uid="{746CD33C-C5AD-40E5-810F-84B41840F886}" name="M Recargo" dataCellStyle="Comma">
      <calculatedColumnFormula>Table3[[#This Row],[PrimaComercial Anual]]*Table3[[#This Row],[Recargo adicional]]</calculatedColumnFormula>
    </tableColumn>
    <tableColumn id="42" xr3:uid="{BCED7B73-E1F0-4009-987D-6ED16B2FBB71}" name="M IT" dataCellStyle="Comma">
      <calculatedColumnFormula>Table3[[#This Row],[PrimaComercial Anual]]*Table3[[#This Row],[IT]]</calculatedColumnFormula>
    </tableColumn>
    <tableColumn id="41" xr3:uid="{FF9D1AD2-24F1-438E-B479-BFC075F2ED64}" name="M IVA" dataCellStyle="Comma">
      <calculatedColumnFormula>Table3[[#This Row],[PrimaComercial Anual]]*Table3[[#This Row],[IVA]]</calculatedColumnFormula>
    </tableColumn>
    <tableColumn id="22" xr3:uid="{00000000-0010-0000-0000-000016000000}" name="PrimaComercial Anual" dataDxfId="5">
      <calculatedColumnFormula>Table3[[#This Row],[PrimaComercial Anual Asistencia]]</calculatedColumnFormula>
    </tableColumn>
    <tableColumn id="14" xr3:uid="{25ECA421-64FF-467C-87C5-C11593DC5CA5}" name="PrimaComercial Anual Maternidad"/>
    <tableColumn id="10" xr3:uid="{D92D3243-220E-4F6F-815E-7A973E3E7875}" name="PrimaComercial Anual Asistencia" dataDxfId="4" dataCellStyle="Comm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87"/>
  <sheetViews>
    <sheetView tabSelected="1" zoomScaleNormal="100" workbookViewId="0">
      <selection activeCell="U2" sqref="U2"/>
    </sheetView>
  </sheetViews>
  <sheetFormatPr defaultColWidth="11.42578125" defaultRowHeight="15" x14ac:dyDescent="0.25"/>
  <cols>
    <col min="4" max="4" width="25.140625" customWidth="1"/>
    <col min="5" max="5" width="25.28515625" customWidth="1"/>
    <col min="6" max="6" width="15" bestFit="1" customWidth="1"/>
    <col min="7" max="7" width="11.28515625" bestFit="1" customWidth="1"/>
    <col min="8" max="8" width="13.5703125" bestFit="1" customWidth="1"/>
    <col min="9" max="9" width="12.5703125" bestFit="1" customWidth="1"/>
    <col min="10" max="13" width="12.5703125" style="8" customWidth="1"/>
    <col min="14" max="14" width="16" customWidth="1"/>
    <col min="15" max="15" width="21.7109375" bestFit="1" customWidth="1"/>
    <col min="16" max="16" width="25" bestFit="1" customWidth="1"/>
    <col min="17" max="17" width="14.140625" bestFit="1" customWidth="1"/>
    <col min="18" max="18" width="13.7109375" bestFit="1" customWidth="1"/>
    <col min="21" max="21" width="23.5703125" style="8" bestFit="1" customWidth="1"/>
    <col min="22" max="22" width="14" bestFit="1" customWidth="1"/>
    <col min="23" max="23" width="14" customWidth="1"/>
    <col min="25" max="25" width="5.85546875" bestFit="1" customWidth="1"/>
    <col min="26" max="26" width="7.42578125" bestFit="1" customWidth="1"/>
    <col min="27" max="27" width="11.140625" customWidth="1"/>
    <col min="28" max="29" width="10.5703125" style="8" customWidth="1"/>
    <col min="30" max="30" width="13" style="8" customWidth="1"/>
    <col min="31" max="31" width="32" bestFit="1" customWidth="1"/>
    <col min="32" max="32" width="32" customWidth="1"/>
    <col min="33" max="33" width="33.5703125" customWidth="1"/>
    <col min="34" max="34" width="12" bestFit="1" customWidth="1"/>
    <col min="35" max="35" width="15.85546875" customWidth="1"/>
  </cols>
  <sheetData>
    <row r="1" spans="1:36" x14ac:dyDescent="0.25">
      <c r="A1" t="s">
        <v>0</v>
      </c>
      <c r="B1" t="s">
        <v>1</v>
      </c>
      <c r="C1" t="s">
        <v>2</v>
      </c>
      <c r="D1" s="1" t="s">
        <v>31</v>
      </c>
      <c r="E1" s="1" t="s">
        <v>32</v>
      </c>
      <c r="F1" t="s">
        <v>3</v>
      </c>
      <c r="G1" t="s">
        <v>4</v>
      </c>
      <c r="H1" t="s">
        <v>5</v>
      </c>
      <c r="I1" t="s">
        <v>6</v>
      </c>
      <c r="J1" s="6" t="s">
        <v>21</v>
      </c>
      <c r="K1" s="6" t="s">
        <v>22</v>
      </c>
      <c r="L1" s="6" t="s">
        <v>23</v>
      </c>
      <c r="M1" s="6" t="s">
        <v>24</v>
      </c>
      <c r="N1" s="3" t="s">
        <v>11</v>
      </c>
      <c r="O1" s="5" t="s">
        <v>7</v>
      </c>
      <c r="P1" s="5" t="s">
        <v>8</v>
      </c>
      <c r="Q1" s="5" t="s">
        <v>9</v>
      </c>
      <c r="R1" s="5" t="s">
        <v>10</v>
      </c>
      <c r="S1" s="4" t="s">
        <v>20</v>
      </c>
      <c r="T1" s="4" t="s">
        <v>36</v>
      </c>
      <c r="U1" s="9" t="s">
        <v>25</v>
      </c>
      <c r="V1" s="3" t="s">
        <v>12</v>
      </c>
      <c r="W1" t="s">
        <v>13</v>
      </c>
      <c r="X1" t="s">
        <v>14</v>
      </c>
      <c r="Y1" t="s">
        <v>15</v>
      </c>
      <c r="Z1" t="s">
        <v>16</v>
      </c>
      <c r="AA1" s="6" t="s">
        <v>26</v>
      </c>
      <c r="AB1" s="6" t="s">
        <v>27</v>
      </c>
      <c r="AC1" s="6" t="s">
        <v>28</v>
      </c>
      <c r="AD1" s="6" t="s">
        <v>29</v>
      </c>
      <c r="AE1" s="13" t="s">
        <v>35</v>
      </c>
      <c r="AF1" s="12" t="s">
        <v>33</v>
      </c>
      <c r="AG1" s="12" t="s">
        <v>34</v>
      </c>
      <c r="AH1" s="11" t="s">
        <v>30</v>
      </c>
    </row>
    <row r="2" spans="1:36" s="2" customFormat="1" x14ac:dyDescent="0.25">
      <c r="A2" s="2" t="s">
        <v>17</v>
      </c>
      <c r="B2" s="2">
        <v>70000</v>
      </c>
      <c r="C2" s="2">
        <v>0</v>
      </c>
      <c r="D2" s="2">
        <f>Table3[[#This Row],[PrimaTécnica]]-Table3[[#This Row],[PrimaTécnica]]*SUM(Table3[[#This Row],[Gastos Adm]:[Cobranza]])</f>
        <v>2919.9806453376</v>
      </c>
      <c r="E2" s="2">
        <v>0</v>
      </c>
      <c r="F2" s="2">
        <v>0.15</v>
      </c>
      <c r="G2" s="2">
        <v>0.05</v>
      </c>
      <c r="H2" s="2">
        <v>0.01</v>
      </c>
      <c r="I2" s="2">
        <v>0.01</v>
      </c>
      <c r="J2" s="7">
        <f>Table3[[#This Row],[PrimaTécnica]]*Table3[[#This Row],[Gastos Adm]]</f>
        <v>561.53473948800001</v>
      </c>
      <c r="K2" s="7">
        <f>Table3[[#This Row],[PrimaTécnica]]*Table3[[#This Row],[Utilidad]]</f>
        <v>187.17824649600001</v>
      </c>
      <c r="L2" s="7">
        <f>Table3[[#This Row],[PrimaTécnica]]*Table3[[#This Row],[Marketing]]</f>
        <v>37.435649299200001</v>
      </c>
      <c r="M2" s="7">
        <f>Table3[[#This Row],[PrimaTécnica]]*Table3[[#This Row],[Cobranza]]</f>
        <v>37.435649299200001</v>
      </c>
      <c r="N2" s="15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3743.5649299199999</v>
      </c>
      <c r="O2" s="2">
        <v>21.84</v>
      </c>
      <c r="P2" s="2">
        <v>54.6</v>
      </c>
      <c r="Q2" s="2">
        <v>80.64</v>
      </c>
      <c r="R2" s="2">
        <v>44.377200000000002</v>
      </c>
      <c r="S2" s="2">
        <v>0.2</v>
      </c>
      <c r="T2" s="2">
        <v>0.02</v>
      </c>
      <c r="U2" s="7">
        <f>Table3[[#This Row],[PrimaNeta]]*Table3[[#This Row],[Comisión]]</f>
        <v>986.25553248000006</v>
      </c>
      <c r="V2" s="15">
        <f>Table3[[#This Row],[PrimaComercial Anual]]-Table3[[#This Row],[PrimaComercial Anual]]*SUM(Table3[[#This Row],[APS]:[IVA]])</f>
        <v>4931.2776623999998</v>
      </c>
      <c r="W2" s="2">
        <v>1.4800000000000001E-2</v>
      </c>
      <c r="X2" s="2">
        <v>8.4501000000000007E-2</v>
      </c>
      <c r="Y2" s="2">
        <v>0.03</v>
      </c>
      <c r="Z2" s="2">
        <v>0.13</v>
      </c>
      <c r="AA2" s="15">
        <f>Table3[[#This Row],[APS]]*Table3[[#This Row],[PrimaComercial Anual]]</f>
        <v>98.532480000000007</v>
      </c>
      <c r="AB2" s="7">
        <f>Table3[[#This Row],[PrimaComercial Anual]]*Table3[[#This Row],[Recargo adicional]]</f>
        <v>562.57385760000011</v>
      </c>
      <c r="AC2" s="7">
        <f>Table3[[#This Row],[PrimaComercial Anual]]*Table3[[#This Row],[IT]]</f>
        <v>199.72800000000001</v>
      </c>
      <c r="AD2" s="7">
        <f>Table3[[#This Row],[PrimaComercial Anual]]*Table3[[#This Row],[IVA]]</f>
        <v>865.48800000000006</v>
      </c>
      <c r="AE2" s="15">
        <f>Table3[[#This Row],[PrimaComercial Anual Asistencia]]</f>
        <v>6657.6</v>
      </c>
      <c r="AF2" s="15"/>
      <c r="AG2" s="2">
        <v>6657.6</v>
      </c>
      <c r="AH2" s="2">
        <f>Table3[[#This Row],[PrimaComercial Anual]]/Table3[[#This Row],[PrimaNeta]]</f>
        <v>1.3500760767869271</v>
      </c>
      <c r="AI2" s="10"/>
      <c r="AJ2" s="15"/>
    </row>
    <row r="3" spans="1:36" x14ac:dyDescent="0.25">
      <c r="A3" t="s">
        <v>17</v>
      </c>
      <c r="B3">
        <v>70000</v>
      </c>
      <c r="C3">
        <v>1</v>
      </c>
      <c r="D3" s="2">
        <f>Table3[[#This Row],[PrimaTécnica]]-Table3[[#This Row],[PrimaTécnica]]*SUM(Table3[[#This Row],[Gastos Adm]:[Cobranza]])</f>
        <v>2919.9806453376</v>
      </c>
      <c r="E3">
        <v>0</v>
      </c>
      <c r="F3">
        <v>0.15</v>
      </c>
      <c r="G3">
        <v>0.05</v>
      </c>
      <c r="H3">
        <v>0.01</v>
      </c>
      <c r="I3">
        <v>0.01</v>
      </c>
      <c r="J3" s="8">
        <f>Table3[[#This Row],[PrimaTécnica]]*Table3[[#This Row],[Gastos Adm]]</f>
        <v>561.53473948800001</v>
      </c>
      <c r="K3" s="8">
        <f>Table3[[#This Row],[PrimaTécnica]]*Table3[[#This Row],[Utilidad]]</f>
        <v>187.17824649600001</v>
      </c>
      <c r="L3" s="8">
        <f>Table3[[#This Row],[PrimaTécnica]]*Table3[[#This Row],[Marketing]]</f>
        <v>37.435649299200001</v>
      </c>
      <c r="M3" s="8">
        <f>Table3[[#This Row],[PrimaTécnica]]*Table3[[#This Row],[Cobranza]]</f>
        <v>37.435649299200001</v>
      </c>
      <c r="N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3743.5649299199999</v>
      </c>
      <c r="O3">
        <v>21.84</v>
      </c>
      <c r="P3">
        <v>54.6</v>
      </c>
      <c r="Q3">
        <v>80.64</v>
      </c>
      <c r="R3">
        <v>44.377200000000002</v>
      </c>
      <c r="S3">
        <v>0.2</v>
      </c>
      <c r="T3">
        <v>0.02</v>
      </c>
      <c r="U3" s="8">
        <f>Table3[[#This Row],[PrimaNeta]]*Table3[[#This Row],[Comisión]]</f>
        <v>986.25553248000006</v>
      </c>
      <c r="V3" s="15">
        <f>Table3[[#This Row],[PrimaComercial Anual]]-Table3[[#This Row],[PrimaComercial Anual]]*SUM(Table3[[#This Row],[APS]:[IVA]])</f>
        <v>4931.2776623999998</v>
      </c>
      <c r="W3" s="2">
        <v>1.4800000000000001E-2</v>
      </c>
      <c r="X3" s="2">
        <v>8.4501000000000007E-2</v>
      </c>
      <c r="Y3">
        <v>0.03</v>
      </c>
      <c r="Z3">
        <v>0.13</v>
      </c>
      <c r="AA3" s="20">
        <f>Table3[[#This Row],[APS]]*Table3[[#This Row],[PrimaComercial Anual]]</f>
        <v>98.532480000000007</v>
      </c>
      <c r="AB3" s="8">
        <f>Table3[[#This Row],[PrimaComercial Anual]]*Table3[[#This Row],[Recargo adicional]]</f>
        <v>562.57385760000011</v>
      </c>
      <c r="AC3" s="8">
        <f>Table3[[#This Row],[PrimaComercial Anual]]*Table3[[#This Row],[IT]]</f>
        <v>199.72800000000001</v>
      </c>
      <c r="AD3" s="8">
        <f>Table3[[#This Row],[PrimaComercial Anual]]*Table3[[#This Row],[IVA]]</f>
        <v>865.48800000000006</v>
      </c>
      <c r="AE3" s="15">
        <f>Table3[[#This Row],[PrimaComercial Anual Asistencia]]</f>
        <v>6657.6</v>
      </c>
      <c r="AG3">
        <v>6657.6</v>
      </c>
    </row>
    <row r="4" spans="1:36" x14ac:dyDescent="0.25">
      <c r="A4" t="s">
        <v>17</v>
      </c>
      <c r="B4">
        <v>70000</v>
      </c>
      <c r="C4">
        <v>2</v>
      </c>
      <c r="D4" s="2">
        <f>Table3[[#This Row],[PrimaTécnica]]-Table3[[#This Row],[PrimaTécnica]]*SUM(Table3[[#This Row],[Gastos Adm]:[Cobranza]])</f>
        <v>2919.9806453376</v>
      </c>
      <c r="E4">
        <v>0</v>
      </c>
      <c r="F4">
        <v>0.15</v>
      </c>
      <c r="G4">
        <v>0.05</v>
      </c>
      <c r="H4">
        <v>0.01</v>
      </c>
      <c r="I4">
        <v>0.01</v>
      </c>
      <c r="J4" s="8">
        <f>Table3[[#This Row],[PrimaTécnica]]*Table3[[#This Row],[Gastos Adm]]</f>
        <v>561.53473948800001</v>
      </c>
      <c r="K4" s="8">
        <f>Table3[[#This Row],[PrimaTécnica]]*Table3[[#This Row],[Utilidad]]</f>
        <v>187.17824649600001</v>
      </c>
      <c r="L4" s="8">
        <f>Table3[[#This Row],[PrimaTécnica]]*Table3[[#This Row],[Marketing]]</f>
        <v>37.435649299200001</v>
      </c>
      <c r="M4" s="8">
        <f>Table3[[#This Row],[PrimaTécnica]]*Table3[[#This Row],[Cobranza]]</f>
        <v>37.435649299200001</v>
      </c>
      <c r="N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3743.5649299199999</v>
      </c>
      <c r="O4">
        <v>21.84</v>
      </c>
      <c r="P4">
        <v>54.6</v>
      </c>
      <c r="Q4">
        <v>80.64</v>
      </c>
      <c r="R4">
        <v>44.377200000000002</v>
      </c>
      <c r="S4">
        <v>0.2</v>
      </c>
      <c r="T4">
        <v>0.02</v>
      </c>
      <c r="U4" s="8">
        <f>Table3[[#This Row],[PrimaNeta]]*Table3[[#This Row],[Comisión]]</f>
        <v>986.25553248000006</v>
      </c>
      <c r="V4" s="15">
        <f>Table3[[#This Row],[PrimaComercial Anual]]-Table3[[#This Row],[PrimaComercial Anual]]*SUM(Table3[[#This Row],[APS]:[IVA]])</f>
        <v>4931.2776623999998</v>
      </c>
      <c r="W4" s="2">
        <v>1.4800000000000001E-2</v>
      </c>
      <c r="X4" s="2">
        <v>8.4501000000000007E-2</v>
      </c>
      <c r="Y4">
        <v>0.03</v>
      </c>
      <c r="Z4">
        <v>0.13</v>
      </c>
      <c r="AA4" s="20">
        <f>Table3[[#This Row],[APS]]*Table3[[#This Row],[PrimaComercial Anual]]</f>
        <v>98.532480000000007</v>
      </c>
      <c r="AB4" s="8">
        <f>Table3[[#This Row],[PrimaComercial Anual]]*Table3[[#This Row],[Recargo adicional]]</f>
        <v>562.57385760000011</v>
      </c>
      <c r="AC4" s="8">
        <f>Table3[[#This Row],[PrimaComercial Anual]]*Table3[[#This Row],[IT]]</f>
        <v>199.72800000000001</v>
      </c>
      <c r="AD4" s="8">
        <f>Table3[[#This Row],[PrimaComercial Anual]]*Table3[[#This Row],[IVA]]</f>
        <v>865.48800000000006</v>
      </c>
      <c r="AE4" s="15">
        <f>Table3[[#This Row],[PrimaComercial Anual Asistencia]]</f>
        <v>6657.6</v>
      </c>
      <c r="AG4">
        <v>6657.6</v>
      </c>
    </row>
    <row r="5" spans="1:36" x14ac:dyDescent="0.25">
      <c r="A5" t="s">
        <v>17</v>
      </c>
      <c r="B5">
        <v>70000</v>
      </c>
      <c r="C5">
        <v>3</v>
      </c>
      <c r="D5" s="2">
        <f>Table3[[#This Row],[PrimaTécnica]]-Table3[[#This Row],[PrimaTécnica]]*SUM(Table3[[#This Row],[Gastos Adm]:[Cobranza]])</f>
        <v>1997.8992742176001</v>
      </c>
      <c r="E5">
        <v>0</v>
      </c>
      <c r="F5">
        <v>0.15</v>
      </c>
      <c r="G5">
        <v>0.05</v>
      </c>
      <c r="H5">
        <v>0.01</v>
      </c>
      <c r="I5">
        <v>0.01</v>
      </c>
      <c r="J5" s="8">
        <f>Table3[[#This Row],[PrimaTécnica]]*Table3[[#This Row],[Gastos Adm]]</f>
        <v>384.21139888800002</v>
      </c>
      <c r="K5" s="8">
        <f>Table3[[#This Row],[PrimaTécnica]]*Table3[[#This Row],[Utilidad]]</f>
        <v>128.07046629600003</v>
      </c>
      <c r="L5" s="8">
        <f>Table3[[#This Row],[PrimaTécnica]]*Table3[[#This Row],[Marketing]]</f>
        <v>25.614093259200004</v>
      </c>
      <c r="M5" s="8">
        <f>Table3[[#This Row],[PrimaTécnica]]*Table3[[#This Row],[Cobranza]]</f>
        <v>25.614093259200004</v>
      </c>
      <c r="N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5">
        <v>21.84</v>
      </c>
      <c r="P5">
        <v>54.6</v>
      </c>
      <c r="Q5">
        <v>80.64</v>
      </c>
      <c r="R5">
        <v>44.377200000000002</v>
      </c>
      <c r="S5">
        <v>0.2</v>
      </c>
      <c r="T5">
        <v>0.02</v>
      </c>
      <c r="U5" s="8">
        <f>Table3[[#This Row],[PrimaNeta]]*Table3[[#This Row],[Comisión]]</f>
        <v>690.71663148000016</v>
      </c>
      <c r="V5" s="15">
        <f>Table3[[#This Row],[PrimaComercial Anual]]-Table3[[#This Row],[PrimaComercial Anual]]*SUM(Table3[[#This Row],[APS]:[IVA]])</f>
        <v>3453.5831574000003</v>
      </c>
      <c r="W5" s="2">
        <v>1.4800000000000001E-2</v>
      </c>
      <c r="X5" s="2">
        <v>8.4501000000000007E-2</v>
      </c>
      <c r="Y5">
        <v>0.03</v>
      </c>
      <c r="Z5">
        <v>0.13</v>
      </c>
      <c r="AA5" s="20">
        <f>Table3[[#This Row],[APS]]*Table3[[#This Row],[PrimaComercial Anual]]</f>
        <v>69.00648000000001</v>
      </c>
      <c r="AB5" s="8">
        <f>Table3[[#This Row],[PrimaComercial Anual]]*Table3[[#This Row],[Recargo adicional]]</f>
        <v>393.99436260000004</v>
      </c>
      <c r="AC5" s="8">
        <f>Table3[[#This Row],[PrimaComercial Anual]]*Table3[[#This Row],[IT]]</f>
        <v>139.87800000000001</v>
      </c>
      <c r="AD5" s="8">
        <f>Table3[[#This Row],[PrimaComercial Anual]]*Table3[[#This Row],[IVA]]</f>
        <v>606.13800000000003</v>
      </c>
      <c r="AE5" s="15">
        <f>Table3[[#This Row],[PrimaComercial Anual Asistencia]]</f>
        <v>4662.6000000000004</v>
      </c>
      <c r="AG5">
        <v>4662.6000000000004</v>
      </c>
    </row>
    <row r="6" spans="1:36" x14ac:dyDescent="0.25">
      <c r="A6" t="s">
        <v>17</v>
      </c>
      <c r="B6">
        <v>70000</v>
      </c>
      <c r="C6">
        <v>4</v>
      </c>
      <c r="D6" s="2">
        <f>Table3[[#This Row],[PrimaTécnica]]-Table3[[#This Row],[PrimaTécnica]]*SUM(Table3[[#This Row],[Gastos Adm]:[Cobranza]])</f>
        <v>1997.8992742176001</v>
      </c>
      <c r="E6">
        <v>0</v>
      </c>
      <c r="F6">
        <v>0.15</v>
      </c>
      <c r="G6">
        <v>0.05</v>
      </c>
      <c r="H6">
        <v>0.01</v>
      </c>
      <c r="I6">
        <v>0.01</v>
      </c>
      <c r="J6" s="8">
        <f>Table3[[#This Row],[PrimaTécnica]]*Table3[[#This Row],[Gastos Adm]]</f>
        <v>384.21139888800002</v>
      </c>
      <c r="K6" s="8">
        <f>Table3[[#This Row],[PrimaTécnica]]*Table3[[#This Row],[Utilidad]]</f>
        <v>128.07046629600003</v>
      </c>
      <c r="L6" s="8">
        <f>Table3[[#This Row],[PrimaTécnica]]*Table3[[#This Row],[Marketing]]</f>
        <v>25.614093259200004</v>
      </c>
      <c r="M6" s="8">
        <f>Table3[[#This Row],[PrimaTécnica]]*Table3[[#This Row],[Cobranza]]</f>
        <v>25.614093259200004</v>
      </c>
      <c r="N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6">
        <v>21.84</v>
      </c>
      <c r="P6">
        <v>54.6</v>
      </c>
      <c r="Q6">
        <v>80.64</v>
      </c>
      <c r="R6">
        <v>44.377200000000002</v>
      </c>
      <c r="S6">
        <v>0.2</v>
      </c>
      <c r="T6">
        <v>0.02</v>
      </c>
      <c r="U6" s="8">
        <f>Table3[[#This Row],[PrimaNeta]]*Table3[[#This Row],[Comisión]]</f>
        <v>690.71663148000016</v>
      </c>
      <c r="V6" s="15">
        <f>Table3[[#This Row],[PrimaComercial Anual]]-Table3[[#This Row],[PrimaComercial Anual]]*SUM(Table3[[#This Row],[APS]:[IVA]])</f>
        <v>3453.5831574000003</v>
      </c>
      <c r="W6" s="2">
        <v>1.4800000000000001E-2</v>
      </c>
      <c r="X6" s="2">
        <v>8.4501000000000007E-2</v>
      </c>
      <c r="Y6">
        <v>0.03</v>
      </c>
      <c r="Z6">
        <v>0.13</v>
      </c>
      <c r="AA6" s="20">
        <f>Table3[[#This Row],[APS]]*Table3[[#This Row],[PrimaComercial Anual]]</f>
        <v>69.00648000000001</v>
      </c>
      <c r="AB6" s="8">
        <f>Table3[[#This Row],[PrimaComercial Anual]]*Table3[[#This Row],[Recargo adicional]]</f>
        <v>393.99436260000004</v>
      </c>
      <c r="AC6" s="8">
        <f>Table3[[#This Row],[PrimaComercial Anual]]*Table3[[#This Row],[IT]]</f>
        <v>139.87800000000001</v>
      </c>
      <c r="AD6" s="8">
        <f>Table3[[#This Row],[PrimaComercial Anual]]*Table3[[#This Row],[IVA]]</f>
        <v>606.13800000000003</v>
      </c>
      <c r="AE6" s="15">
        <f>Table3[[#This Row],[PrimaComercial Anual Asistencia]]</f>
        <v>4662.6000000000004</v>
      </c>
      <c r="AG6">
        <v>4662.6000000000004</v>
      </c>
    </row>
    <row r="7" spans="1:36" x14ac:dyDescent="0.25">
      <c r="A7" t="s">
        <v>17</v>
      </c>
      <c r="B7">
        <v>70000</v>
      </c>
      <c r="C7">
        <v>5</v>
      </c>
      <c r="D7" s="2">
        <f>Table3[[#This Row],[PrimaTécnica]]-Table3[[#This Row],[PrimaTécnica]]*SUM(Table3[[#This Row],[Gastos Adm]:[Cobranza]])</f>
        <v>1997.8992742176001</v>
      </c>
      <c r="E7">
        <v>0</v>
      </c>
      <c r="F7">
        <v>0.15</v>
      </c>
      <c r="G7">
        <v>0.05</v>
      </c>
      <c r="H7">
        <v>0.01</v>
      </c>
      <c r="I7">
        <v>0.01</v>
      </c>
      <c r="J7" s="8">
        <f>Table3[[#This Row],[PrimaTécnica]]*Table3[[#This Row],[Gastos Adm]]</f>
        <v>384.21139888800002</v>
      </c>
      <c r="K7" s="8">
        <f>Table3[[#This Row],[PrimaTécnica]]*Table3[[#This Row],[Utilidad]]</f>
        <v>128.07046629600003</v>
      </c>
      <c r="L7" s="8">
        <f>Table3[[#This Row],[PrimaTécnica]]*Table3[[#This Row],[Marketing]]</f>
        <v>25.614093259200004</v>
      </c>
      <c r="M7" s="8">
        <f>Table3[[#This Row],[PrimaTécnica]]*Table3[[#This Row],[Cobranza]]</f>
        <v>25.614093259200004</v>
      </c>
      <c r="N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7">
        <v>21.84</v>
      </c>
      <c r="P7">
        <v>54.6</v>
      </c>
      <c r="Q7">
        <v>80.64</v>
      </c>
      <c r="R7">
        <v>44.377200000000002</v>
      </c>
      <c r="S7">
        <v>0.2</v>
      </c>
      <c r="T7">
        <v>0.02</v>
      </c>
      <c r="U7" s="8">
        <f>Table3[[#This Row],[PrimaNeta]]*Table3[[#This Row],[Comisión]]</f>
        <v>690.71663148000016</v>
      </c>
      <c r="V7" s="15">
        <f>Table3[[#This Row],[PrimaComercial Anual]]-Table3[[#This Row],[PrimaComercial Anual]]*SUM(Table3[[#This Row],[APS]:[IVA]])</f>
        <v>3453.5831574000003</v>
      </c>
      <c r="W7" s="2">
        <v>1.4800000000000001E-2</v>
      </c>
      <c r="X7" s="2">
        <v>8.4501000000000007E-2</v>
      </c>
      <c r="Y7">
        <v>0.03</v>
      </c>
      <c r="Z7">
        <v>0.13</v>
      </c>
      <c r="AA7" s="20">
        <f>Table3[[#This Row],[APS]]*Table3[[#This Row],[PrimaComercial Anual]]</f>
        <v>69.00648000000001</v>
      </c>
      <c r="AB7" s="8">
        <f>Table3[[#This Row],[PrimaComercial Anual]]*Table3[[#This Row],[Recargo adicional]]</f>
        <v>393.99436260000004</v>
      </c>
      <c r="AC7" s="8">
        <f>Table3[[#This Row],[PrimaComercial Anual]]*Table3[[#This Row],[IT]]</f>
        <v>139.87800000000001</v>
      </c>
      <c r="AD7" s="8">
        <f>Table3[[#This Row],[PrimaComercial Anual]]*Table3[[#This Row],[IVA]]</f>
        <v>606.13800000000003</v>
      </c>
      <c r="AE7" s="15">
        <f>Table3[[#This Row],[PrimaComercial Anual Asistencia]]</f>
        <v>4662.6000000000004</v>
      </c>
      <c r="AG7">
        <v>4662.6000000000004</v>
      </c>
    </row>
    <row r="8" spans="1:36" x14ac:dyDescent="0.25">
      <c r="A8" t="s">
        <v>17</v>
      </c>
      <c r="B8">
        <v>70000</v>
      </c>
      <c r="C8">
        <v>6</v>
      </c>
      <c r="D8" s="2">
        <f>Table3[[#This Row],[PrimaTécnica]]-Table3[[#This Row],[PrimaTécnica]]*SUM(Table3[[#This Row],[Gastos Adm]:[Cobranza]])</f>
        <v>1850.3662548383995</v>
      </c>
      <c r="E8">
        <v>0</v>
      </c>
      <c r="F8">
        <v>0.15</v>
      </c>
      <c r="G8">
        <v>0.05</v>
      </c>
      <c r="H8">
        <v>0.01</v>
      </c>
      <c r="I8">
        <v>0.01</v>
      </c>
      <c r="J8" s="8">
        <f>Table3[[#This Row],[PrimaTécnica]]*Table3[[#This Row],[Gastos Adm]]</f>
        <v>355.83966439199992</v>
      </c>
      <c r="K8" s="8">
        <f>Table3[[#This Row],[PrimaTécnica]]*Table3[[#This Row],[Utilidad]]</f>
        <v>118.61322146399999</v>
      </c>
      <c r="L8" s="8">
        <f>Table3[[#This Row],[PrimaTécnica]]*Table3[[#This Row],[Marketing]]</f>
        <v>23.722644292799995</v>
      </c>
      <c r="M8" s="8">
        <f>Table3[[#This Row],[PrimaTécnica]]*Table3[[#This Row],[Cobranza]]</f>
        <v>23.722644292799995</v>
      </c>
      <c r="N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2372.2644292799996</v>
      </c>
      <c r="O8">
        <v>21.84</v>
      </c>
      <c r="P8">
        <v>54.6</v>
      </c>
      <c r="Q8">
        <v>80.64</v>
      </c>
      <c r="R8">
        <v>44.377200000000002</v>
      </c>
      <c r="S8">
        <v>0.2</v>
      </c>
      <c r="T8">
        <v>0.02</v>
      </c>
      <c r="U8" s="8">
        <f>Table3[[#This Row],[PrimaNeta]]*Table3[[#This Row],[Comisión]]</f>
        <v>643.43040731999997</v>
      </c>
      <c r="V8" s="15">
        <f>Table3[[#This Row],[PrimaComercial Anual]]-Table3[[#This Row],[PrimaComercial Anual]]*SUM(Table3[[#This Row],[APS]:[IVA]])</f>
        <v>3217.1520365999995</v>
      </c>
      <c r="W8" s="2">
        <v>1.4800000000000001E-2</v>
      </c>
      <c r="X8" s="2">
        <v>8.4501000000000007E-2</v>
      </c>
      <c r="Y8">
        <v>0.03</v>
      </c>
      <c r="Z8">
        <v>0.13</v>
      </c>
      <c r="AA8" s="20">
        <f>Table3[[#This Row],[APS]]*Table3[[#This Row],[PrimaComercial Anual]]</f>
        <v>64.282319999999999</v>
      </c>
      <c r="AB8" s="8">
        <f>Table3[[#This Row],[PrimaComercial Anual]]*Table3[[#This Row],[Recargo adicional]]</f>
        <v>367.02164340000002</v>
      </c>
      <c r="AC8" s="8">
        <f>Table3[[#This Row],[PrimaComercial Anual]]*Table3[[#This Row],[IT]]</f>
        <v>130.30199999999999</v>
      </c>
      <c r="AD8" s="8">
        <f>Table3[[#This Row],[PrimaComercial Anual]]*Table3[[#This Row],[IVA]]</f>
        <v>564.64199999999994</v>
      </c>
      <c r="AE8" s="15">
        <f>Table3[[#This Row],[PrimaComercial Anual Asistencia]]</f>
        <v>4343.3999999999996</v>
      </c>
      <c r="AG8">
        <v>4343.3999999999996</v>
      </c>
    </row>
    <row r="9" spans="1:36" x14ac:dyDescent="0.25">
      <c r="A9" t="s">
        <v>17</v>
      </c>
      <c r="B9">
        <v>70000</v>
      </c>
      <c r="C9">
        <v>7</v>
      </c>
      <c r="D9" s="2">
        <f>Table3[[#This Row],[PrimaTécnica]]-Table3[[#This Row],[PrimaTécnica]]*SUM(Table3[[#This Row],[Gastos Adm]:[Cobranza]])</f>
        <v>1850.3662548383995</v>
      </c>
      <c r="E9">
        <v>0</v>
      </c>
      <c r="F9">
        <v>0.15</v>
      </c>
      <c r="G9">
        <v>0.05</v>
      </c>
      <c r="H9">
        <v>0.01</v>
      </c>
      <c r="I9">
        <v>0.01</v>
      </c>
      <c r="J9" s="8">
        <f>Table3[[#This Row],[PrimaTécnica]]*Table3[[#This Row],[Gastos Adm]]</f>
        <v>355.83966439199992</v>
      </c>
      <c r="K9" s="8">
        <f>Table3[[#This Row],[PrimaTécnica]]*Table3[[#This Row],[Utilidad]]</f>
        <v>118.61322146399999</v>
      </c>
      <c r="L9" s="8">
        <f>Table3[[#This Row],[PrimaTécnica]]*Table3[[#This Row],[Marketing]]</f>
        <v>23.722644292799995</v>
      </c>
      <c r="M9" s="8">
        <f>Table3[[#This Row],[PrimaTécnica]]*Table3[[#This Row],[Cobranza]]</f>
        <v>23.722644292799995</v>
      </c>
      <c r="N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2372.2644292799996</v>
      </c>
      <c r="O9">
        <v>21.84</v>
      </c>
      <c r="P9">
        <v>54.6</v>
      </c>
      <c r="Q9">
        <v>80.64</v>
      </c>
      <c r="R9">
        <v>44.377200000000002</v>
      </c>
      <c r="S9">
        <v>0.2</v>
      </c>
      <c r="T9">
        <v>0.02</v>
      </c>
      <c r="U9" s="8">
        <f>Table3[[#This Row],[PrimaNeta]]*Table3[[#This Row],[Comisión]]</f>
        <v>643.43040731999997</v>
      </c>
      <c r="V9" s="15">
        <f>Table3[[#This Row],[PrimaComercial Anual]]-Table3[[#This Row],[PrimaComercial Anual]]*SUM(Table3[[#This Row],[APS]:[IVA]])</f>
        <v>3217.1520365999995</v>
      </c>
      <c r="W9" s="2">
        <v>1.4800000000000001E-2</v>
      </c>
      <c r="X9" s="2">
        <v>8.4501000000000007E-2</v>
      </c>
      <c r="Y9">
        <v>0.03</v>
      </c>
      <c r="Z9">
        <v>0.13</v>
      </c>
      <c r="AA9" s="20">
        <f>Table3[[#This Row],[APS]]*Table3[[#This Row],[PrimaComercial Anual]]</f>
        <v>64.282319999999999</v>
      </c>
      <c r="AB9" s="8">
        <f>Table3[[#This Row],[PrimaComercial Anual]]*Table3[[#This Row],[Recargo adicional]]</f>
        <v>367.02164340000002</v>
      </c>
      <c r="AC9" s="8">
        <f>Table3[[#This Row],[PrimaComercial Anual]]*Table3[[#This Row],[IT]]</f>
        <v>130.30199999999999</v>
      </c>
      <c r="AD9" s="8">
        <f>Table3[[#This Row],[PrimaComercial Anual]]*Table3[[#This Row],[IVA]]</f>
        <v>564.64199999999994</v>
      </c>
      <c r="AE9" s="15">
        <f>Table3[[#This Row],[PrimaComercial Anual Asistencia]]</f>
        <v>4343.3999999999996</v>
      </c>
      <c r="AG9">
        <v>4343.3999999999996</v>
      </c>
    </row>
    <row r="10" spans="1:36" x14ac:dyDescent="0.25">
      <c r="A10" t="s">
        <v>17</v>
      </c>
      <c r="B10">
        <v>70000</v>
      </c>
      <c r="C10">
        <v>8</v>
      </c>
      <c r="D10" s="2">
        <f>Table3[[#This Row],[PrimaTécnica]]-Table3[[#This Row],[PrimaTécnica]]*SUM(Table3[[#This Row],[Gastos Adm]:[Cobranza]])</f>
        <v>1850.3662548383995</v>
      </c>
      <c r="E10">
        <v>0</v>
      </c>
      <c r="F10">
        <v>0.15</v>
      </c>
      <c r="G10">
        <v>0.05</v>
      </c>
      <c r="H10">
        <v>0.01</v>
      </c>
      <c r="I10">
        <v>0.01</v>
      </c>
      <c r="J10" s="8">
        <f>Table3[[#This Row],[PrimaTécnica]]*Table3[[#This Row],[Gastos Adm]]</f>
        <v>355.83966439199992</v>
      </c>
      <c r="K10" s="8">
        <f>Table3[[#This Row],[PrimaTécnica]]*Table3[[#This Row],[Utilidad]]</f>
        <v>118.61322146399999</v>
      </c>
      <c r="L10" s="8">
        <f>Table3[[#This Row],[PrimaTécnica]]*Table3[[#This Row],[Marketing]]</f>
        <v>23.722644292799995</v>
      </c>
      <c r="M10" s="8">
        <f>Table3[[#This Row],[PrimaTécnica]]*Table3[[#This Row],[Cobranza]]</f>
        <v>23.722644292799995</v>
      </c>
      <c r="N1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2372.2644292799996</v>
      </c>
      <c r="O10">
        <v>21.84</v>
      </c>
      <c r="P10">
        <v>54.6</v>
      </c>
      <c r="Q10">
        <v>80.64</v>
      </c>
      <c r="R10">
        <v>44.377200000000002</v>
      </c>
      <c r="S10">
        <v>0.2</v>
      </c>
      <c r="T10">
        <v>0.02</v>
      </c>
      <c r="U10" s="8">
        <f>Table3[[#This Row],[PrimaNeta]]*Table3[[#This Row],[Comisión]]</f>
        <v>643.43040731999997</v>
      </c>
      <c r="V10" s="15">
        <f>Table3[[#This Row],[PrimaComercial Anual]]-Table3[[#This Row],[PrimaComercial Anual]]*SUM(Table3[[#This Row],[APS]:[IVA]])</f>
        <v>3217.1520365999995</v>
      </c>
      <c r="W10" s="2">
        <v>1.4800000000000001E-2</v>
      </c>
      <c r="X10" s="2">
        <v>8.4501000000000007E-2</v>
      </c>
      <c r="Y10">
        <v>0.03</v>
      </c>
      <c r="Z10">
        <v>0.13</v>
      </c>
      <c r="AA10" s="20">
        <f>Table3[[#This Row],[APS]]*Table3[[#This Row],[PrimaComercial Anual]]</f>
        <v>64.282319999999999</v>
      </c>
      <c r="AB10" s="8">
        <f>Table3[[#This Row],[PrimaComercial Anual]]*Table3[[#This Row],[Recargo adicional]]</f>
        <v>367.02164340000002</v>
      </c>
      <c r="AC10" s="8">
        <f>Table3[[#This Row],[PrimaComercial Anual]]*Table3[[#This Row],[IT]]</f>
        <v>130.30199999999999</v>
      </c>
      <c r="AD10" s="8">
        <f>Table3[[#This Row],[PrimaComercial Anual]]*Table3[[#This Row],[IVA]]</f>
        <v>564.64199999999994</v>
      </c>
      <c r="AE10" s="15">
        <f>Table3[[#This Row],[PrimaComercial Anual Asistencia]]</f>
        <v>4343.3999999999996</v>
      </c>
      <c r="AG10">
        <v>4343.3999999999996</v>
      </c>
    </row>
    <row r="11" spans="1:36" x14ac:dyDescent="0.25">
      <c r="A11" t="s">
        <v>17</v>
      </c>
      <c r="B11">
        <v>70000</v>
      </c>
      <c r="C11">
        <v>9</v>
      </c>
      <c r="D11" s="2">
        <f>Table3[[#This Row],[PrimaTécnica]]-Table3[[#This Row],[PrimaTécnica]]*SUM(Table3[[#This Row],[Gastos Adm]:[Cobranza]])</f>
        <v>1850.3662548383995</v>
      </c>
      <c r="E11">
        <v>0</v>
      </c>
      <c r="F11">
        <v>0.15</v>
      </c>
      <c r="G11">
        <v>0.05</v>
      </c>
      <c r="H11">
        <v>0.01</v>
      </c>
      <c r="I11">
        <v>0.01</v>
      </c>
      <c r="J11" s="8">
        <f>Table3[[#This Row],[PrimaTécnica]]*Table3[[#This Row],[Gastos Adm]]</f>
        <v>355.83966439199992</v>
      </c>
      <c r="K11" s="8">
        <f>Table3[[#This Row],[PrimaTécnica]]*Table3[[#This Row],[Utilidad]]</f>
        <v>118.61322146399999</v>
      </c>
      <c r="L11" s="8">
        <f>Table3[[#This Row],[PrimaTécnica]]*Table3[[#This Row],[Marketing]]</f>
        <v>23.722644292799995</v>
      </c>
      <c r="M11" s="8">
        <f>Table3[[#This Row],[PrimaTécnica]]*Table3[[#This Row],[Cobranza]]</f>
        <v>23.722644292799995</v>
      </c>
      <c r="N1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2372.2644292799996</v>
      </c>
      <c r="O11">
        <v>21.84</v>
      </c>
      <c r="P11">
        <v>54.6</v>
      </c>
      <c r="Q11">
        <v>80.64</v>
      </c>
      <c r="R11">
        <v>44.377200000000002</v>
      </c>
      <c r="S11">
        <v>0.2</v>
      </c>
      <c r="T11">
        <v>0.02</v>
      </c>
      <c r="U11" s="8">
        <f>Table3[[#This Row],[PrimaNeta]]*Table3[[#This Row],[Comisión]]</f>
        <v>643.43040731999997</v>
      </c>
      <c r="V11" s="15">
        <f>Table3[[#This Row],[PrimaComercial Anual]]-Table3[[#This Row],[PrimaComercial Anual]]*SUM(Table3[[#This Row],[APS]:[IVA]])</f>
        <v>3217.1520365999995</v>
      </c>
      <c r="W11" s="2">
        <v>1.4800000000000001E-2</v>
      </c>
      <c r="X11" s="2">
        <v>8.4501000000000007E-2</v>
      </c>
      <c r="Y11">
        <v>0.03</v>
      </c>
      <c r="Z11">
        <v>0.13</v>
      </c>
      <c r="AA11" s="20">
        <f>Table3[[#This Row],[APS]]*Table3[[#This Row],[PrimaComercial Anual]]</f>
        <v>64.282319999999999</v>
      </c>
      <c r="AB11" s="8">
        <f>Table3[[#This Row],[PrimaComercial Anual]]*Table3[[#This Row],[Recargo adicional]]</f>
        <v>367.02164340000002</v>
      </c>
      <c r="AC11" s="8">
        <f>Table3[[#This Row],[PrimaComercial Anual]]*Table3[[#This Row],[IT]]</f>
        <v>130.30199999999999</v>
      </c>
      <c r="AD11" s="8">
        <f>Table3[[#This Row],[PrimaComercial Anual]]*Table3[[#This Row],[IVA]]</f>
        <v>564.64199999999994</v>
      </c>
      <c r="AE11" s="15">
        <f>Table3[[#This Row],[PrimaComercial Anual Asistencia]]</f>
        <v>4343.3999999999996</v>
      </c>
      <c r="AG11">
        <v>4343.3999999999996</v>
      </c>
    </row>
    <row r="12" spans="1:36" x14ac:dyDescent="0.25">
      <c r="A12" t="s">
        <v>17</v>
      </c>
      <c r="B12">
        <v>70000</v>
      </c>
      <c r="C12">
        <v>10</v>
      </c>
      <c r="D12" s="2">
        <f>Table3[[#This Row],[PrimaTécnica]]-Table3[[#This Row],[PrimaTécnica]]*SUM(Table3[[#This Row],[Gastos Adm]:[Cobranza]])</f>
        <v>1850.3662548383995</v>
      </c>
      <c r="E12">
        <v>0</v>
      </c>
      <c r="F12">
        <v>0.15</v>
      </c>
      <c r="G12">
        <v>0.05</v>
      </c>
      <c r="H12">
        <v>0.01</v>
      </c>
      <c r="I12">
        <v>0.01</v>
      </c>
      <c r="J12" s="8">
        <f>Table3[[#This Row],[PrimaTécnica]]*Table3[[#This Row],[Gastos Adm]]</f>
        <v>355.83966439199992</v>
      </c>
      <c r="K12" s="8">
        <f>Table3[[#This Row],[PrimaTécnica]]*Table3[[#This Row],[Utilidad]]</f>
        <v>118.61322146399999</v>
      </c>
      <c r="L12" s="8">
        <f>Table3[[#This Row],[PrimaTécnica]]*Table3[[#This Row],[Marketing]]</f>
        <v>23.722644292799995</v>
      </c>
      <c r="M12" s="8">
        <f>Table3[[#This Row],[PrimaTécnica]]*Table3[[#This Row],[Cobranza]]</f>
        <v>23.722644292799995</v>
      </c>
      <c r="N1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2372.2644292799996</v>
      </c>
      <c r="O12">
        <v>21.84</v>
      </c>
      <c r="P12">
        <v>54.6</v>
      </c>
      <c r="Q12">
        <v>80.64</v>
      </c>
      <c r="R12">
        <v>44.377200000000002</v>
      </c>
      <c r="S12">
        <v>0.2</v>
      </c>
      <c r="T12">
        <v>0.02</v>
      </c>
      <c r="U12" s="8">
        <f>Table3[[#This Row],[PrimaNeta]]*Table3[[#This Row],[Comisión]]</f>
        <v>643.43040731999997</v>
      </c>
      <c r="V12" s="15">
        <f>Table3[[#This Row],[PrimaComercial Anual]]-Table3[[#This Row],[PrimaComercial Anual]]*SUM(Table3[[#This Row],[APS]:[IVA]])</f>
        <v>3217.1520365999995</v>
      </c>
      <c r="W12" s="2">
        <v>1.4800000000000001E-2</v>
      </c>
      <c r="X12" s="2">
        <v>8.4501000000000007E-2</v>
      </c>
      <c r="Y12">
        <v>0.03</v>
      </c>
      <c r="Z12">
        <v>0.13</v>
      </c>
      <c r="AA12" s="20">
        <f>Table3[[#This Row],[APS]]*Table3[[#This Row],[PrimaComercial Anual]]</f>
        <v>64.282319999999999</v>
      </c>
      <c r="AB12" s="8">
        <f>Table3[[#This Row],[PrimaComercial Anual]]*Table3[[#This Row],[Recargo adicional]]</f>
        <v>367.02164340000002</v>
      </c>
      <c r="AC12" s="8">
        <f>Table3[[#This Row],[PrimaComercial Anual]]*Table3[[#This Row],[IT]]</f>
        <v>130.30199999999999</v>
      </c>
      <c r="AD12" s="8">
        <f>Table3[[#This Row],[PrimaComercial Anual]]*Table3[[#This Row],[IVA]]</f>
        <v>564.64199999999994</v>
      </c>
      <c r="AE12" s="15">
        <f>Table3[[#This Row],[PrimaComercial Anual Asistencia]]</f>
        <v>4343.3999999999996</v>
      </c>
      <c r="AG12">
        <v>4343.3999999999996</v>
      </c>
    </row>
    <row r="13" spans="1:36" x14ac:dyDescent="0.25">
      <c r="A13" t="s">
        <v>17</v>
      </c>
      <c r="B13">
        <v>70000</v>
      </c>
      <c r="C13">
        <v>11</v>
      </c>
      <c r="D13" s="2">
        <f>Table3[[#This Row],[PrimaTécnica]]-Table3[[#This Row],[PrimaTécnica]]*SUM(Table3[[#This Row],[Gastos Adm]:[Cobranza]])</f>
        <v>1850.3662548383995</v>
      </c>
      <c r="E13">
        <v>0</v>
      </c>
      <c r="F13">
        <v>0.15</v>
      </c>
      <c r="G13">
        <v>0.05</v>
      </c>
      <c r="H13">
        <v>0.01</v>
      </c>
      <c r="I13">
        <v>0.01</v>
      </c>
      <c r="J13" s="8">
        <f>Table3[[#This Row],[PrimaTécnica]]*Table3[[#This Row],[Gastos Adm]]</f>
        <v>355.83966439199992</v>
      </c>
      <c r="K13" s="8">
        <f>Table3[[#This Row],[PrimaTécnica]]*Table3[[#This Row],[Utilidad]]</f>
        <v>118.61322146399999</v>
      </c>
      <c r="L13" s="8">
        <f>Table3[[#This Row],[PrimaTécnica]]*Table3[[#This Row],[Marketing]]</f>
        <v>23.722644292799995</v>
      </c>
      <c r="M13" s="8">
        <f>Table3[[#This Row],[PrimaTécnica]]*Table3[[#This Row],[Cobranza]]</f>
        <v>23.722644292799995</v>
      </c>
      <c r="N1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2372.2644292799996</v>
      </c>
      <c r="O13">
        <v>21.84</v>
      </c>
      <c r="P13">
        <v>54.6</v>
      </c>
      <c r="Q13">
        <v>80.64</v>
      </c>
      <c r="R13">
        <v>44.377200000000002</v>
      </c>
      <c r="S13">
        <v>0.2</v>
      </c>
      <c r="T13">
        <v>0.02</v>
      </c>
      <c r="U13" s="8">
        <f>Table3[[#This Row],[PrimaNeta]]*Table3[[#This Row],[Comisión]]</f>
        <v>643.43040731999997</v>
      </c>
      <c r="V13" s="15">
        <f>Table3[[#This Row],[PrimaComercial Anual]]-Table3[[#This Row],[PrimaComercial Anual]]*SUM(Table3[[#This Row],[APS]:[IVA]])</f>
        <v>3217.1520365999995</v>
      </c>
      <c r="W13" s="2">
        <v>1.4800000000000001E-2</v>
      </c>
      <c r="X13" s="2">
        <v>8.4501000000000007E-2</v>
      </c>
      <c r="Y13">
        <v>0.03</v>
      </c>
      <c r="Z13">
        <v>0.13</v>
      </c>
      <c r="AA13" s="20">
        <f>Table3[[#This Row],[APS]]*Table3[[#This Row],[PrimaComercial Anual]]</f>
        <v>64.282319999999999</v>
      </c>
      <c r="AB13" s="8">
        <f>Table3[[#This Row],[PrimaComercial Anual]]*Table3[[#This Row],[Recargo adicional]]</f>
        <v>367.02164340000002</v>
      </c>
      <c r="AC13" s="8">
        <f>Table3[[#This Row],[PrimaComercial Anual]]*Table3[[#This Row],[IT]]</f>
        <v>130.30199999999999</v>
      </c>
      <c r="AD13" s="8">
        <f>Table3[[#This Row],[PrimaComercial Anual]]*Table3[[#This Row],[IVA]]</f>
        <v>564.64199999999994</v>
      </c>
      <c r="AE13" s="15">
        <f>Table3[[#This Row],[PrimaComercial Anual Asistencia]]</f>
        <v>4343.3999999999996</v>
      </c>
      <c r="AG13">
        <v>4343.3999999999996</v>
      </c>
    </row>
    <row r="14" spans="1:36" x14ac:dyDescent="0.25">
      <c r="A14" t="s">
        <v>17</v>
      </c>
      <c r="B14">
        <v>70000</v>
      </c>
      <c r="C14">
        <v>12</v>
      </c>
      <c r="D14" s="2">
        <f>Table3[[#This Row],[PrimaTécnica]]-Table3[[#This Row],[PrimaTécnica]]*SUM(Table3[[#This Row],[Gastos Adm]:[Cobranza]])</f>
        <v>1850.3662548383995</v>
      </c>
      <c r="E14">
        <v>0</v>
      </c>
      <c r="F14">
        <v>0.15</v>
      </c>
      <c r="G14">
        <v>0.05</v>
      </c>
      <c r="H14">
        <v>0.01</v>
      </c>
      <c r="I14">
        <v>0.01</v>
      </c>
      <c r="J14" s="8">
        <f>Table3[[#This Row],[PrimaTécnica]]*Table3[[#This Row],[Gastos Adm]]</f>
        <v>355.83966439199992</v>
      </c>
      <c r="K14" s="8">
        <f>Table3[[#This Row],[PrimaTécnica]]*Table3[[#This Row],[Utilidad]]</f>
        <v>118.61322146399999</v>
      </c>
      <c r="L14" s="8">
        <f>Table3[[#This Row],[PrimaTécnica]]*Table3[[#This Row],[Marketing]]</f>
        <v>23.722644292799995</v>
      </c>
      <c r="M14" s="8">
        <f>Table3[[#This Row],[PrimaTécnica]]*Table3[[#This Row],[Cobranza]]</f>
        <v>23.722644292799995</v>
      </c>
      <c r="N1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2372.2644292799996</v>
      </c>
      <c r="O14">
        <v>21.84</v>
      </c>
      <c r="P14">
        <v>54.6</v>
      </c>
      <c r="Q14">
        <v>80.64</v>
      </c>
      <c r="R14">
        <v>44.377200000000002</v>
      </c>
      <c r="S14">
        <v>0.2</v>
      </c>
      <c r="T14">
        <v>0.02</v>
      </c>
      <c r="U14" s="8">
        <f>Table3[[#This Row],[PrimaNeta]]*Table3[[#This Row],[Comisión]]</f>
        <v>643.43040731999997</v>
      </c>
      <c r="V14" s="15">
        <f>Table3[[#This Row],[PrimaComercial Anual]]-Table3[[#This Row],[PrimaComercial Anual]]*SUM(Table3[[#This Row],[APS]:[IVA]])</f>
        <v>3217.1520365999995</v>
      </c>
      <c r="W14" s="2">
        <v>1.4800000000000001E-2</v>
      </c>
      <c r="X14" s="2">
        <v>8.4501000000000007E-2</v>
      </c>
      <c r="Y14">
        <v>0.03</v>
      </c>
      <c r="Z14">
        <v>0.13</v>
      </c>
      <c r="AA14" s="20">
        <f>Table3[[#This Row],[APS]]*Table3[[#This Row],[PrimaComercial Anual]]</f>
        <v>64.282319999999999</v>
      </c>
      <c r="AB14" s="8">
        <f>Table3[[#This Row],[PrimaComercial Anual]]*Table3[[#This Row],[Recargo adicional]]</f>
        <v>367.02164340000002</v>
      </c>
      <c r="AC14" s="8">
        <f>Table3[[#This Row],[PrimaComercial Anual]]*Table3[[#This Row],[IT]]</f>
        <v>130.30199999999999</v>
      </c>
      <c r="AD14" s="8">
        <f>Table3[[#This Row],[PrimaComercial Anual]]*Table3[[#This Row],[IVA]]</f>
        <v>564.64199999999994</v>
      </c>
      <c r="AE14" s="15">
        <f>Table3[[#This Row],[PrimaComercial Anual Asistencia]]</f>
        <v>4343.3999999999996</v>
      </c>
      <c r="AG14">
        <v>4343.3999999999996</v>
      </c>
    </row>
    <row r="15" spans="1:36" x14ac:dyDescent="0.25">
      <c r="A15" t="s">
        <v>17</v>
      </c>
      <c r="B15">
        <v>70000</v>
      </c>
      <c r="C15">
        <v>13</v>
      </c>
      <c r="D15" s="2">
        <f>Table3[[#This Row],[PrimaTécnica]]-Table3[[#This Row],[PrimaTécnica]]*SUM(Table3[[#This Row],[Gastos Adm]:[Cobranza]])</f>
        <v>1850.3662548383995</v>
      </c>
      <c r="E15">
        <v>0</v>
      </c>
      <c r="F15">
        <v>0.15</v>
      </c>
      <c r="G15">
        <v>0.05</v>
      </c>
      <c r="H15">
        <v>0.01</v>
      </c>
      <c r="I15">
        <v>0.01</v>
      </c>
      <c r="J15" s="8">
        <f>Table3[[#This Row],[PrimaTécnica]]*Table3[[#This Row],[Gastos Adm]]</f>
        <v>355.83966439199992</v>
      </c>
      <c r="K15" s="8">
        <f>Table3[[#This Row],[PrimaTécnica]]*Table3[[#This Row],[Utilidad]]</f>
        <v>118.61322146399999</v>
      </c>
      <c r="L15" s="8">
        <f>Table3[[#This Row],[PrimaTécnica]]*Table3[[#This Row],[Marketing]]</f>
        <v>23.722644292799995</v>
      </c>
      <c r="M15" s="8">
        <f>Table3[[#This Row],[PrimaTécnica]]*Table3[[#This Row],[Cobranza]]</f>
        <v>23.722644292799995</v>
      </c>
      <c r="N1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2372.2644292799996</v>
      </c>
      <c r="O15">
        <v>21.84</v>
      </c>
      <c r="P15">
        <v>54.6</v>
      </c>
      <c r="Q15">
        <v>80.64</v>
      </c>
      <c r="R15">
        <v>44.377200000000002</v>
      </c>
      <c r="S15">
        <v>0.2</v>
      </c>
      <c r="T15">
        <v>0.02</v>
      </c>
      <c r="U15" s="8">
        <f>Table3[[#This Row],[PrimaNeta]]*Table3[[#This Row],[Comisión]]</f>
        <v>643.43040731999997</v>
      </c>
      <c r="V15" s="15">
        <f>Table3[[#This Row],[PrimaComercial Anual]]-Table3[[#This Row],[PrimaComercial Anual]]*SUM(Table3[[#This Row],[APS]:[IVA]])</f>
        <v>3217.1520365999995</v>
      </c>
      <c r="W15" s="2">
        <v>1.4800000000000001E-2</v>
      </c>
      <c r="X15" s="2">
        <v>8.4501000000000007E-2</v>
      </c>
      <c r="Y15">
        <v>0.03</v>
      </c>
      <c r="Z15">
        <v>0.13</v>
      </c>
      <c r="AA15" s="20">
        <f>Table3[[#This Row],[APS]]*Table3[[#This Row],[PrimaComercial Anual]]</f>
        <v>64.282319999999999</v>
      </c>
      <c r="AB15" s="8">
        <f>Table3[[#This Row],[PrimaComercial Anual]]*Table3[[#This Row],[Recargo adicional]]</f>
        <v>367.02164340000002</v>
      </c>
      <c r="AC15" s="8">
        <f>Table3[[#This Row],[PrimaComercial Anual]]*Table3[[#This Row],[IT]]</f>
        <v>130.30199999999999</v>
      </c>
      <c r="AD15" s="8">
        <f>Table3[[#This Row],[PrimaComercial Anual]]*Table3[[#This Row],[IVA]]</f>
        <v>564.64199999999994</v>
      </c>
      <c r="AE15" s="15">
        <f>Table3[[#This Row],[PrimaComercial Anual Asistencia]]</f>
        <v>4343.3999999999996</v>
      </c>
      <c r="AG15">
        <v>4343.3999999999996</v>
      </c>
    </row>
    <row r="16" spans="1:36" x14ac:dyDescent="0.25">
      <c r="A16" t="s">
        <v>17</v>
      </c>
      <c r="B16">
        <v>70000</v>
      </c>
      <c r="C16">
        <v>14</v>
      </c>
      <c r="D16" s="2">
        <f>Table3[[#This Row],[PrimaTécnica]]-Table3[[#This Row],[PrimaTécnica]]*SUM(Table3[[#This Row],[Gastos Adm]:[Cobranza]])</f>
        <v>1850.3662548383995</v>
      </c>
      <c r="E16">
        <v>0</v>
      </c>
      <c r="F16">
        <v>0.15</v>
      </c>
      <c r="G16">
        <v>0.05</v>
      </c>
      <c r="H16">
        <v>0.01</v>
      </c>
      <c r="I16">
        <v>0.01</v>
      </c>
      <c r="J16" s="8">
        <f>Table3[[#This Row],[PrimaTécnica]]*Table3[[#This Row],[Gastos Adm]]</f>
        <v>355.83966439199992</v>
      </c>
      <c r="K16" s="8">
        <f>Table3[[#This Row],[PrimaTécnica]]*Table3[[#This Row],[Utilidad]]</f>
        <v>118.61322146399999</v>
      </c>
      <c r="L16" s="8">
        <f>Table3[[#This Row],[PrimaTécnica]]*Table3[[#This Row],[Marketing]]</f>
        <v>23.722644292799995</v>
      </c>
      <c r="M16" s="8">
        <f>Table3[[#This Row],[PrimaTécnica]]*Table3[[#This Row],[Cobranza]]</f>
        <v>23.722644292799995</v>
      </c>
      <c r="N1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2372.2644292799996</v>
      </c>
      <c r="O16">
        <v>21.84</v>
      </c>
      <c r="P16">
        <v>54.6</v>
      </c>
      <c r="Q16">
        <v>80.64</v>
      </c>
      <c r="R16">
        <v>44.377200000000002</v>
      </c>
      <c r="S16">
        <v>0.2</v>
      </c>
      <c r="T16">
        <v>0.02</v>
      </c>
      <c r="U16" s="8">
        <f>Table3[[#This Row],[PrimaNeta]]*Table3[[#This Row],[Comisión]]</f>
        <v>643.43040731999997</v>
      </c>
      <c r="V16" s="15">
        <f>Table3[[#This Row],[PrimaComercial Anual]]-Table3[[#This Row],[PrimaComercial Anual]]*SUM(Table3[[#This Row],[APS]:[IVA]])</f>
        <v>3217.1520365999995</v>
      </c>
      <c r="W16" s="2">
        <v>1.4800000000000001E-2</v>
      </c>
      <c r="X16" s="2">
        <v>8.4501000000000007E-2</v>
      </c>
      <c r="Y16">
        <v>0.03</v>
      </c>
      <c r="Z16">
        <v>0.13</v>
      </c>
      <c r="AA16" s="20">
        <f>Table3[[#This Row],[APS]]*Table3[[#This Row],[PrimaComercial Anual]]</f>
        <v>64.282319999999999</v>
      </c>
      <c r="AB16" s="8">
        <f>Table3[[#This Row],[PrimaComercial Anual]]*Table3[[#This Row],[Recargo adicional]]</f>
        <v>367.02164340000002</v>
      </c>
      <c r="AC16" s="8">
        <f>Table3[[#This Row],[PrimaComercial Anual]]*Table3[[#This Row],[IT]]</f>
        <v>130.30199999999999</v>
      </c>
      <c r="AD16" s="8">
        <f>Table3[[#This Row],[PrimaComercial Anual]]*Table3[[#This Row],[IVA]]</f>
        <v>564.64199999999994</v>
      </c>
      <c r="AE16" s="15">
        <f>Table3[[#This Row],[PrimaComercial Anual Asistencia]]</f>
        <v>4343.3999999999996</v>
      </c>
      <c r="AG16">
        <v>4343.3999999999996</v>
      </c>
    </row>
    <row r="17" spans="1:33" x14ac:dyDescent="0.25">
      <c r="A17" t="s">
        <v>17</v>
      </c>
      <c r="B17">
        <v>70000</v>
      </c>
      <c r="C17">
        <v>15</v>
      </c>
      <c r="D17" s="2">
        <f>Table3[[#This Row],[PrimaTécnica]]-Table3[[#This Row],[PrimaTécnica]]*SUM(Table3[[#This Row],[Gastos Adm]:[Cobranza]])</f>
        <v>1850.3662548383995</v>
      </c>
      <c r="E17">
        <v>0</v>
      </c>
      <c r="F17">
        <v>0.15</v>
      </c>
      <c r="G17">
        <v>0.05</v>
      </c>
      <c r="H17">
        <v>0.01</v>
      </c>
      <c r="I17">
        <v>0.01</v>
      </c>
      <c r="J17" s="8">
        <f>Table3[[#This Row],[PrimaTécnica]]*Table3[[#This Row],[Gastos Adm]]</f>
        <v>355.83966439199992</v>
      </c>
      <c r="K17" s="8">
        <f>Table3[[#This Row],[PrimaTécnica]]*Table3[[#This Row],[Utilidad]]</f>
        <v>118.61322146399999</v>
      </c>
      <c r="L17" s="8">
        <f>Table3[[#This Row],[PrimaTécnica]]*Table3[[#This Row],[Marketing]]</f>
        <v>23.722644292799995</v>
      </c>
      <c r="M17" s="8">
        <f>Table3[[#This Row],[PrimaTécnica]]*Table3[[#This Row],[Cobranza]]</f>
        <v>23.722644292799995</v>
      </c>
      <c r="N1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2372.2644292799996</v>
      </c>
      <c r="O17">
        <v>21.84</v>
      </c>
      <c r="P17">
        <v>54.6</v>
      </c>
      <c r="Q17">
        <v>80.64</v>
      </c>
      <c r="R17">
        <v>44.377200000000002</v>
      </c>
      <c r="S17">
        <v>0.2</v>
      </c>
      <c r="T17">
        <v>0.02</v>
      </c>
      <c r="U17" s="8">
        <f>Table3[[#This Row],[PrimaNeta]]*Table3[[#This Row],[Comisión]]</f>
        <v>643.43040731999997</v>
      </c>
      <c r="V17" s="15">
        <f>Table3[[#This Row],[PrimaComercial Anual]]-Table3[[#This Row],[PrimaComercial Anual]]*SUM(Table3[[#This Row],[APS]:[IVA]])</f>
        <v>3217.1520365999995</v>
      </c>
      <c r="W17" s="2">
        <v>1.4800000000000001E-2</v>
      </c>
      <c r="X17" s="2">
        <v>8.4501000000000007E-2</v>
      </c>
      <c r="Y17">
        <v>0.03</v>
      </c>
      <c r="Z17">
        <v>0.13</v>
      </c>
      <c r="AA17" s="20">
        <f>Table3[[#This Row],[APS]]*Table3[[#This Row],[PrimaComercial Anual]]</f>
        <v>64.282319999999999</v>
      </c>
      <c r="AB17" s="8">
        <f>Table3[[#This Row],[PrimaComercial Anual]]*Table3[[#This Row],[Recargo adicional]]</f>
        <v>367.02164340000002</v>
      </c>
      <c r="AC17" s="8">
        <f>Table3[[#This Row],[PrimaComercial Anual]]*Table3[[#This Row],[IT]]</f>
        <v>130.30199999999999</v>
      </c>
      <c r="AD17" s="8">
        <f>Table3[[#This Row],[PrimaComercial Anual]]*Table3[[#This Row],[IVA]]</f>
        <v>564.64199999999994</v>
      </c>
      <c r="AE17" s="15">
        <f>Table3[[#This Row],[PrimaComercial Anual Asistencia]]</f>
        <v>4343.3999999999996</v>
      </c>
      <c r="AG17">
        <v>4343.3999999999996</v>
      </c>
    </row>
    <row r="18" spans="1:33" x14ac:dyDescent="0.25">
      <c r="A18" t="s">
        <v>17</v>
      </c>
      <c r="B18">
        <v>70000</v>
      </c>
      <c r="C18">
        <v>16</v>
      </c>
      <c r="D18" s="2">
        <f>Table3[[#This Row],[PrimaTécnica]]-Table3[[#This Row],[PrimaTécnica]]*SUM(Table3[[#This Row],[Gastos Adm]:[Cobranza]])</f>
        <v>1850.3662548383995</v>
      </c>
      <c r="E18">
        <v>0</v>
      </c>
      <c r="F18">
        <v>0.15</v>
      </c>
      <c r="G18">
        <v>0.05</v>
      </c>
      <c r="H18">
        <v>0.01</v>
      </c>
      <c r="I18">
        <v>0.01</v>
      </c>
      <c r="J18" s="8">
        <f>Table3[[#This Row],[PrimaTécnica]]*Table3[[#This Row],[Gastos Adm]]</f>
        <v>355.83966439199992</v>
      </c>
      <c r="K18" s="8">
        <f>Table3[[#This Row],[PrimaTécnica]]*Table3[[#This Row],[Utilidad]]</f>
        <v>118.61322146399999</v>
      </c>
      <c r="L18" s="8">
        <f>Table3[[#This Row],[PrimaTécnica]]*Table3[[#This Row],[Marketing]]</f>
        <v>23.722644292799995</v>
      </c>
      <c r="M18" s="8">
        <f>Table3[[#This Row],[PrimaTécnica]]*Table3[[#This Row],[Cobranza]]</f>
        <v>23.722644292799995</v>
      </c>
      <c r="N1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2372.2644292799996</v>
      </c>
      <c r="O18">
        <v>21.84</v>
      </c>
      <c r="P18">
        <v>54.6</v>
      </c>
      <c r="Q18">
        <v>80.64</v>
      </c>
      <c r="R18">
        <v>44.377200000000002</v>
      </c>
      <c r="S18">
        <v>0.2</v>
      </c>
      <c r="T18">
        <v>0.02</v>
      </c>
      <c r="U18" s="8">
        <f>Table3[[#This Row],[PrimaNeta]]*Table3[[#This Row],[Comisión]]</f>
        <v>643.43040731999997</v>
      </c>
      <c r="V18" s="15">
        <f>Table3[[#This Row],[PrimaComercial Anual]]-Table3[[#This Row],[PrimaComercial Anual]]*SUM(Table3[[#This Row],[APS]:[IVA]])</f>
        <v>3217.1520365999995</v>
      </c>
      <c r="W18" s="2">
        <v>1.4800000000000001E-2</v>
      </c>
      <c r="X18" s="2">
        <v>8.4501000000000007E-2</v>
      </c>
      <c r="Y18">
        <v>0.03</v>
      </c>
      <c r="Z18">
        <v>0.13</v>
      </c>
      <c r="AA18" s="20">
        <f>Table3[[#This Row],[APS]]*Table3[[#This Row],[PrimaComercial Anual]]</f>
        <v>64.282319999999999</v>
      </c>
      <c r="AB18" s="8">
        <f>Table3[[#This Row],[PrimaComercial Anual]]*Table3[[#This Row],[Recargo adicional]]</f>
        <v>367.02164340000002</v>
      </c>
      <c r="AC18" s="8">
        <f>Table3[[#This Row],[PrimaComercial Anual]]*Table3[[#This Row],[IT]]</f>
        <v>130.30199999999999</v>
      </c>
      <c r="AD18" s="8">
        <f>Table3[[#This Row],[PrimaComercial Anual]]*Table3[[#This Row],[IVA]]</f>
        <v>564.64199999999994</v>
      </c>
      <c r="AE18" s="15">
        <f>Table3[[#This Row],[PrimaComercial Anual Asistencia]]</f>
        <v>4343.3999999999996</v>
      </c>
      <c r="AG18">
        <v>4343.3999999999996</v>
      </c>
    </row>
    <row r="19" spans="1:33" x14ac:dyDescent="0.25">
      <c r="A19" t="s">
        <v>17</v>
      </c>
      <c r="B19">
        <v>70000</v>
      </c>
      <c r="C19">
        <v>17</v>
      </c>
      <c r="D19" s="2">
        <f>Table3[[#This Row],[PrimaTécnica]]-Table3[[#This Row],[PrimaTécnica]]*SUM(Table3[[#This Row],[Gastos Adm]:[Cobranza]])</f>
        <v>1850.3662548383995</v>
      </c>
      <c r="E19">
        <v>0</v>
      </c>
      <c r="F19">
        <v>0.15</v>
      </c>
      <c r="G19">
        <v>0.05</v>
      </c>
      <c r="H19">
        <v>0.01</v>
      </c>
      <c r="I19">
        <v>0.01</v>
      </c>
      <c r="J19" s="8">
        <f>Table3[[#This Row],[PrimaTécnica]]*Table3[[#This Row],[Gastos Adm]]</f>
        <v>355.83966439199992</v>
      </c>
      <c r="K19" s="8">
        <f>Table3[[#This Row],[PrimaTécnica]]*Table3[[#This Row],[Utilidad]]</f>
        <v>118.61322146399999</v>
      </c>
      <c r="L19" s="8">
        <f>Table3[[#This Row],[PrimaTécnica]]*Table3[[#This Row],[Marketing]]</f>
        <v>23.722644292799995</v>
      </c>
      <c r="M19" s="8">
        <f>Table3[[#This Row],[PrimaTécnica]]*Table3[[#This Row],[Cobranza]]</f>
        <v>23.722644292799995</v>
      </c>
      <c r="N1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2372.2644292799996</v>
      </c>
      <c r="O19">
        <v>21.84</v>
      </c>
      <c r="P19">
        <v>54.6</v>
      </c>
      <c r="Q19">
        <v>80.64</v>
      </c>
      <c r="R19">
        <v>44.377200000000002</v>
      </c>
      <c r="S19">
        <v>0.2</v>
      </c>
      <c r="T19">
        <v>0.02</v>
      </c>
      <c r="U19" s="8">
        <f>Table3[[#This Row],[PrimaNeta]]*Table3[[#This Row],[Comisión]]</f>
        <v>643.43040731999997</v>
      </c>
      <c r="V19" s="15">
        <f>Table3[[#This Row],[PrimaComercial Anual]]-Table3[[#This Row],[PrimaComercial Anual]]*SUM(Table3[[#This Row],[APS]:[IVA]])</f>
        <v>3217.1520365999995</v>
      </c>
      <c r="W19" s="2">
        <v>1.4800000000000001E-2</v>
      </c>
      <c r="X19" s="2">
        <v>8.4501000000000007E-2</v>
      </c>
      <c r="Y19">
        <v>0.03</v>
      </c>
      <c r="Z19">
        <v>0.13</v>
      </c>
      <c r="AA19" s="20">
        <f>Table3[[#This Row],[APS]]*Table3[[#This Row],[PrimaComercial Anual]]</f>
        <v>64.282319999999999</v>
      </c>
      <c r="AB19" s="8">
        <f>Table3[[#This Row],[PrimaComercial Anual]]*Table3[[#This Row],[Recargo adicional]]</f>
        <v>367.02164340000002</v>
      </c>
      <c r="AC19" s="8">
        <f>Table3[[#This Row],[PrimaComercial Anual]]*Table3[[#This Row],[IT]]</f>
        <v>130.30199999999999</v>
      </c>
      <c r="AD19" s="8">
        <f>Table3[[#This Row],[PrimaComercial Anual]]*Table3[[#This Row],[IVA]]</f>
        <v>564.64199999999994</v>
      </c>
      <c r="AE19" s="15">
        <f>Table3[[#This Row],[PrimaComercial Anual Asistencia]]</f>
        <v>4343.3999999999996</v>
      </c>
      <c r="AG19">
        <v>4343.3999999999996</v>
      </c>
    </row>
    <row r="20" spans="1:33" x14ac:dyDescent="0.25">
      <c r="A20" t="s">
        <v>17</v>
      </c>
      <c r="B20">
        <v>70000</v>
      </c>
      <c r="C20">
        <v>18</v>
      </c>
      <c r="D20" s="2">
        <f>Table3[[#This Row],[PrimaTécnica]]-Table3[[#This Row],[PrimaTécnica]]*SUM(Table3[[#This Row],[Gastos Adm]:[Cobranza]])</f>
        <v>1850.3662548383995</v>
      </c>
      <c r="E20">
        <v>0</v>
      </c>
      <c r="F20">
        <v>0.15</v>
      </c>
      <c r="G20">
        <v>0.05</v>
      </c>
      <c r="H20">
        <v>0.01</v>
      </c>
      <c r="I20">
        <v>0.01</v>
      </c>
      <c r="J20" s="8">
        <f>Table3[[#This Row],[PrimaTécnica]]*Table3[[#This Row],[Gastos Adm]]</f>
        <v>355.83966439199992</v>
      </c>
      <c r="K20" s="8">
        <f>Table3[[#This Row],[PrimaTécnica]]*Table3[[#This Row],[Utilidad]]</f>
        <v>118.61322146399999</v>
      </c>
      <c r="L20" s="8">
        <f>Table3[[#This Row],[PrimaTécnica]]*Table3[[#This Row],[Marketing]]</f>
        <v>23.722644292799995</v>
      </c>
      <c r="M20" s="8">
        <f>Table3[[#This Row],[PrimaTécnica]]*Table3[[#This Row],[Cobranza]]</f>
        <v>23.722644292799995</v>
      </c>
      <c r="N2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2372.2644292799996</v>
      </c>
      <c r="O20">
        <v>21.84</v>
      </c>
      <c r="P20">
        <v>54.6</v>
      </c>
      <c r="Q20">
        <v>80.64</v>
      </c>
      <c r="R20">
        <v>44.377200000000002</v>
      </c>
      <c r="S20">
        <v>0.2</v>
      </c>
      <c r="T20">
        <v>0.02</v>
      </c>
      <c r="U20" s="8">
        <f>Table3[[#This Row],[PrimaNeta]]*Table3[[#This Row],[Comisión]]</f>
        <v>643.43040731999997</v>
      </c>
      <c r="V20" s="15">
        <f>Table3[[#This Row],[PrimaComercial Anual]]-Table3[[#This Row],[PrimaComercial Anual]]*SUM(Table3[[#This Row],[APS]:[IVA]])</f>
        <v>3217.1520365999995</v>
      </c>
      <c r="W20" s="2">
        <v>1.4800000000000001E-2</v>
      </c>
      <c r="X20" s="2">
        <v>8.4501000000000007E-2</v>
      </c>
      <c r="Y20">
        <v>0.03</v>
      </c>
      <c r="Z20">
        <v>0.13</v>
      </c>
      <c r="AA20" s="20">
        <f>Table3[[#This Row],[APS]]*Table3[[#This Row],[PrimaComercial Anual]]</f>
        <v>64.282319999999999</v>
      </c>
      <c r="AB20" s="8">
        <f>Table3[[#This Row],[PrimaComercial Anual]]*Table3[[#This Row],[Recargo adicional]]</f>
        <v>367.02164340000002</v>
      </c>
      <c r="AC20" s="8">
        <f>Table3[[#This Row],[PrimaComercial Anual]]*Table3[[#This Row],[IT]]</f>
        <v>130.30199999999999</v>
      </c>
      <c r="AD20" s="8">
        <f>Table3[[#This Row],[PrimaComercial Anual]]*Table3[[#This Row],[IVA]]</f>
        <v>564.64199999999994</v>
      </c>
      <c r="AE20" s="15">
        <f>Table3[[#This Row],[PrimaComercial Anual Asistencia]]</f>
        <v>4343.3999999999996</v>
      </c>
      <c r="AG20">
        <v>4343.3999999999996</v>
      </c>
    </row>
    <row r="21" spans="1:33" x14ac:dyDescent="0.25">
      <c r="A21" t="s">
        <v>17</v>
      </c>
      <c r="B21">
        <v>70000</v>
      </c>
      <c r="C21">
        <v>19</v>
      </c>
      <c r="D21" s="2">
        <f>Table3[[#This Row],[PrimaTécnica]]-Table3[[#This Row],[PrimaTécnica]]*SUM(Table3[[#This Row],[Gastos Adm]:[Cobranza]])</f>
        <v>1739.7164903040002</v>
      </c>
      <c r="E21">
        <v>0</v>
      </c>
      <c r="F21">
        <v>0.15</v>
      </c>
      <c r="G21">
        <v>0.05</v>
      </c>
      <c r="H21">
        <v>0.01</v>
      </c>
      <c r="I21">
        <v>0.01</v>
      </c>
      <c r="J21" s="8">
        <f>Table3[[#This Row],[PrimaTécnica]]*Table3[[#This Row],[Gastos Adm]]</f>
        <v>334.56086352000005</v>
      </c>
      <c r="K21" s="8">
        <f>Table3[[#This Row],[PrimaTécnica]]*Table3[[#This Row],[Utilidad]]</f>
        <v>111.52028784000002</v>
      </c>
      <c r="L21" s="8">
        <f>Table3[[#This Row],[PrimaTécnica]]*Table3[[#This Row],[Marketing]]</f>
        <v>22.304057568000005</v>
      </c>
      <c r="M21" s="8">
        <f>Table3[[#This Row],[PrimaTécnica]]*Table3[[#This Row],[Cobranza]]</f>
        <v>22.304057568000005</v>
      </c>
      <c r="N2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2230.4057568000003</v>
      </c>
      <c r="O21">
        <v>21.84</v>
      </c>
      <c r="P21">
        <v>54.6</v>
      </c>
      <c r="Q21">
        <v>80.64</v>
      </c>
      <c r="R21">
        <v>44.377200000000002</v>
      </c>
      <c r="S21">
        <v>0.2</v>
      </c>
      <c r="T21">
        <v>0.02</v>
      </c>
      <c r="U21" s="8">
        <f>Table3[[#This Row],[PrimaNeta]]*Table3[[#This Row],[Comisión]]</f>
        <v>607.96573920000003</v>
      </c>
      <c r="V21" s="15">
        <f>Table3[[#This Row],[PrimaComercial Anual]]-Table3[[#This Row],[PrimaComercial Anual]]*SUM(Table3[[#This Row],[APS]:[IVA]])</f>
        <v>3039.828696</v>
      </c>
      <c r="W21" s="2">
        <v>1.4800000000000001E-2</v>
      </c>
      <c r="X21" s="2">
        <v>8.4501000000000007E-2</v>
      </c>
      <c r="Y21">
        <v>0.03</v>
      </c>
      <c r="Z21">
        <v>0.13</v>
      </c>
      <c r="AA21" s="20">
        <f>Table3[[#This Row],[APS]]*Table3[[#This Row],[PrimaComercial Anual]]</f>
        <v>60.739200000000004</v>
      </c>
      <c r="AB21" s="8">
        <f>Table3[[#This Row],[PrimaComercial Anual]]*Table3[[#This Row],[Recargo adicional]]</f>
        <v>346.79210400000005</v>
      </c>
      <c r="AC21" s="8">
        <f>Table3[[#This Row],[PrimaComercial Anual]]*Table3[[#This Row],[IT]]</f>
        <v>123.11999999999999</v>
      </c>
      <c r="AD21" s="8">
        <f>Table3[[#This Row],[PrimaComercial Anual]]*Table3[[#This Row],[IVA]]</f>
        <v>533.52</v>
      </c>
      <c r="AE21" s="15">
        <f>Table3[[#This Row],[PrimaComercial Anual Asistencia]]</f>
        <v>4104</v>
      </c>
      <c r="AG21">
        <v>4104</v>
      </c>
    </row>
    <row r="22" spans="1:33" x14ac:dyDescent="0.25">
      <c r="A22" t="s">
        <v>17</v>
      </c>
      <c r="B22">
        <v>70000</v>
      </c>
      <c r="C22">
        <v>20</v>
      </c>
      <c r="D22" s="2">
        <f>Table3[[#This Row],[PrimaTécnica]]-Table3[[#This Row],[PrimaTécnica]]*SUM(Table3[[#This Row],[Gastos Adm]:[Cobranza]])</f>
        <v>1739.7164903040002</v>
      </c>
      <c r="E22">
        <v>0</v>
      </c>
      <c r="F22">
        <v>0.15</v>
      </c>
      <c r="G22">
        <v>0.05</v>
      </c>
      <c r="H22">
        <v>0.01</v>
      </c>
      <c r="I22">
        <v>0.01</v>
      </c>
      <c r="J22" s="8">
        <f>Table3[[#This Row],[PrimaTécnica]]*Table3[[#This Row],[Gastos Adm]]</f>
        <v>334.56086352000005</v>
      </c>
      <c r="K22" s="8">
        <f>Table3[[#This Row],[PrimaTécnica]]*Table3[[#This Row],[Utilidad]]</f>
        <v>111.52028784000002</v>
      </c>
      <c r="L22" s="8">
        <f>Table3[[#This Row],[PrimaTécnica]]*Table3[[#This Row],[Marketing]]</f>
        <v>22.304057568000005</v>
      </c>
      <c r="M22" s="8">
        <f>Table3[[#This Row],[PrimaTécnica]]*Table3[[#This Row],[Cobranza]]</f>
        <v>22.304057568000005</v>
      </c>
      <c r="N2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2230.4057568000003</v>
      </c>
      <c r="O22">
        <v>21.84</v>
      </c>
      <c r="P22">
        <v>54.6</v>
      </c>
      <c r="Q22">
        <v>80.64</v>
      </c>
      <c r="R22">
        <v>44.377200000000002</v>
      </c>
      <c r="S22">
        <v>0.2</v>
      </c>
      <c r="T22">
        <v>0.02</v>
      </c>
      <c r="U22" s="8">
        <f>Table3[[#This Row],[PrimaNeta]]*Table3[[#This Row],[Comisión]]</f>
        <v>607.96573920000003</v>
      </c>
      <c r="V22" s="15">
        <f>Table3[[#This Row],[PrimaComercial Anual]]-Table3[[#This Row],[PrimaComercial Anual]]*SUM(Table3[[#This Row],[APS]:[IVA]])</f>
        <v>3039.828696</v>
      </c>
      <c r="W22" s="2">
        <v>1.4800000000000001E-2</v>
      </c>
      <c r="X22" s="2">
        <v>8.4501000000000007E-2</v>
      </c>
      <c r="Y22">
        <v>0.03</v>
      </c>
      <c r="Z22">
        <v>0.13</v>
      </c>
      <c r="AA22" s="20">
        <f>Table3[[#This Row],[APS]]*Table3[[#This Row],[PrimaComercial Anual]]</f>
        <v>60.739200000000004</v>
      </c>
      <c r="AB22" s="8">
        <f>Table3[[#This Row],[PrimaComercial Anual]]*Table3[[#This Row],[Recargo adicional]]</f>
        <v>346.79210400000005</v>
      </c>
      <c r="AC22" s="8">
        <f>Table3[[#This Row],[PrimaComercial Anual]]*Table3[[#This Row],[IT]]</f>
        <v>123.11999999999999</v>
      </c>
      <c r="AD22" s="8">
        <f>Table3[[#This Row],[PrimaComercial Anual]]*Table3[[#This Row],[IVA]]</f>
        <v>533.52</v>
      </c>
      <c r="AE22" s="15">
        <f>Table3[[#This Row],[PrimaComercial Anual Asistencia]]</f>
        <v>4104</v>
      </c>
      <c r="AG22">
        <v>4104</v>
      </c>
    </row>
    <row r="23" spans="1:33" x14ac:dyDescent="0.25">
      <c r="A23" t="s">
        <v>17</v>
      </c>
      <c r="B23">
        <v>70000</v>
      </c>
      <c r="C23">
        <v>21</v>
      </c>
      <c r="D23" s="2">
        <f>Table3[[#This Row],[PrimaTécnica]]-Table3[[#This Row],[PrimaTécnica]]*SUM(Table3[[#This Row],[Gastos Adm]:[Cobranza]])</f>
        <v>1739.7164903040002</v>
      </c>
      <c r="E23">
        <v>0</v>
      </c>
      <c r="F23">
        <v>0.15</v>
      </c>
      <c r="G23">
        <v>0.05</v>
      </c>
      <c r="H23">
        <v>0.01</v>
      </c>
      <c r="I23">
        <v>0.01</v>
      </c>
      <c r="J23" s="8">
        <f>Table3[[#This Row],[PrimaTécnica]]*Table3[[#This Row],[Gastos Adm]]</f>
        <v>334.56086352000005</v>
      </c>
      <c r="K23" s="8">
        <f>Table3[[#This Row],[PrimaTécnica]]*Table3[[#This Row],[Utilidad]]</f>
        <v>111.52028784000002</v>
      </c>
      <c r="L23" s="8">
        <f>Table3[[#This Row],[PrimaTécnica]]*Table3[[#This Row],[Marketing]]</f>
        <v>22.304057568000005</v>
      </c>
      <c r="M23" s="8">
        <f>Table3[[#This Row],[PrimaTécnica]]*Table3[[#This Row],[Cobranza]]</f>
        <v>22.304057568000005</v>
      </c>
      <c r="N2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2230.4057568000003</v>
      </c>
      <c r="O23">
        <v>21.84</v>
      </c>
      <c r="P23">
        <v>54.6</v>
      </c>
      <c r="Q23">
        <v>80.64</v>
      </c>
      <c r="R23">
        <v>44.377200000000002</v>
      </c>
      <c r="S23">
        <v>0.2</v>
      </c>
      <c r="T23">
        <v>0.02</v>
      </c>
      <c r="U23" s="8">
        <f>Table3[[#This Row],[PrimaNeta]]*Table3[[#This Row],[Comisión]]</f>
        <v>607.96573920000003</v>
      </c>
      <c r="V23" s="15">
        <f>Table3[[#This Row],[PrimaComercial Anual]]-Table3[[#This Row],[PrimaComercial Anual]]*SUM(Table3[[#This Row],[APS]:[IVA]])</f>
        <v>3039.828696</v>
      </c>
      <c r="W23" s="2">
        <v>1.4800000000000001E-2</v>
      </c>
      <c r="X23" s="2">
        <v>8.4501000000000007E-2</v>
      </c>
      <c r="Y23">
        <v>0.03</v>
      </c>
      <c r="Z23">
        <v>0.13</v>
      </c>
      <c r="AA23" s="20">
        <f>Table3[[#This Row],[APS]]*Table3[[#This Row],[PrimaComercial Anual]]</f>
        <v>60.739200000000004</v>
      </c>
      <c r="AB23" s="8">
        <f>Table3[[#This Row],[PrimaComercial Anual]]*Table3[[#This Row],[Recargo adicional]]</f>
        <v>346.79210400000005</v>
      </c>
      <c r="AC23" s="8">
        <f>Table3[[#This Row],[PrimaComercial Anual]]*Table3[[#This Row],[IT]]</f>
        <v>123.11999999999999</v>
      </c>
      <c r="AD23" s="8">
        <f>Table3[[#This Row],[PrimaComercial Anual]]*Table3[[#This Row],[IVA]]</f>
        <v>533.52</v>
      </c>
      <c r="AE23" s="15">
        <f>Table3[[#This Row],[PrimaComercial Anual Asistencia]]</f>
        <v>4104</v>
      </c>
      <c r="AG23">
        <v>4104</v>
      </c>
    </row>
    <row r="24" spans="1:33" x14ac:dyDescent="0.25">
      <c r="A24" t="s">
        <v>17</v>
      </c>
      <c r="B24">
        <v>70000</v>
      </c>
      <c r="C24">
        <v>22</v>
      </c>
      <c r="D24" s="2">
        <f>Table3[[#This Row],[PrimaTécnica]]-Table3[[#This Row],[PrimaTécnica]]*SUM(Table3[[#This Row],[Gastos Adm]:[Cobranza]])</f>
        <v>1739.7164903040002</v>
      </c>
      <c r="E24">
        <v>0</v>
      </c>
      <c r="F24">
        <v>0.15</v>
      </c>
      <c r="G24">
        <v>0.05</v>
      </c>
      <c r="H24">
        <v>0.01</v>
      </c>
      <c r="I24">
        <v>0.01</v>
      </c>
      <c r="J24" s="8">
        <f>Table3[[#This Row],[PrimaTécnica]]*Table3[[#This Row],[Gastos Adm]]</f>
        <v>334.56086352000005</v>
      </c>
      <c r="K24" s="8">
        <f>Table3[[#This Row],[PrimaTécnica]]*Table3[[#This Row],[Utilidad]]</f>
        <v>111.52028784000002</v>
      </c>
      <c r="L24" s="8">
        <f>Table3[[#This Row],[PrimaTécnica]]*Table3[[#This Row],[Marketing]]</f>
        <v>22.304057568000005</v>
      </c>
      <c r="M24" s="8">
        <f>Table3[[#This Row],[PrimaTécnica]]*Table3[[#This Row],[Cobranza]]</f>
        <v>22.304057568000005</v>
      </c>
      <c r="N2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2230.4057568000003</v>
      </c>
      <c r="O24">
        <v>21.84</v>
      </c>
      <c r="P24">
        <v>54.6</v>
      </c>
      <c r="Q24">
        <v>80.64</v>
      </c>
      <c r="R24">
        <v>44.377200000000002</v>
      </c>
      <c r="S24">
        <v>0.2</v>
      </c>
      <c r="T24">
        <v>0.02</v>
      </c>
      <c r="U24" s="8">
        <f>Table3[[#This Row],[PrimaNeta]]*Table3[[#This Row],[Comisión]]</f>
        <v>607.96573920000003</v>
      </c>
      <c r="V24" s="15">
        <f>Table3[[#This Row],[PrimaComercial Anual]]-Table3[[#This Row],[PrimaComercial Anual]]*SUM(Table3[[#This Row],[APS]:[IVA]])</f>
        <v>3039.828696</v>
      </c>
      <c r="W24" s="2">
        <v>1.4800000000000001E-2</v>
      </c>
      <c r="X24" s="2">
        <v>8.4501000000000007E-2</v>
      </c>
      <c r="Y24">
        <v>0.03</v>
      </c>
      <c r="Z24">
        <v>0.13</v>
      </c>
      <c r="AA24" s="20">
        <f>Table3[[#This Row],[APS]]*Table3[[#This Row],[PrimaComercial Anual]]</f>
        <v>60.739200000000004</v>
      </c>
      <c r="AB24" s="8">
        <f>Table3[[#This Row],[PrimaComercial Anual]]*Table3[[#This Row],[Recargo adicional]]</f>
        <v>346.79210400000005</v>
      </c>
      <c r="AC24" s="8">
        <f>Table3[[#This Row],[PrimaComercial Anual]]*Table3[[#This Row],[IT]]</f>
        <v>123.11999999999999</v>
      </c>
      <c r="AD24" s="8">
        <f>Table3[[#This Row],[PrimaComercial Anual]]*Table3[[#This Row],[IVA]]</f>
        <v>533.52</v>
      </c>
      <c r="AE24" s="15">
        <f>Table3[[#This Row],[PrimaComercial Anual Asistencia]]</f>
        <v>4104</v>
      </c>
      <c r="AG24">
        <v>4104</v>
      </c>
    </row>
    <row r="25" spans="1:33" x14ac:dyDescent="0.25">
      <c r="A25" t="s">
        <v>17</v>
      </c>
      <c r="B25">
        <v>70000</v>
      </c>
      <c r="C25">
        <v>23</v>
      </c>
      <c r="D25" s="2">
        <f>Table3[[#This Row],[PrimaTécnica]]-Table3[[#This Row],[PrimaTécnica]]*SUM(Table3[[#This Row],[Gastos Adm]:[Cobranza]])</f>
        <v>1739.7164903040002</v>
      </c>
      <c r="E25">
        <v>0</v>
      </c>
      <c r="F25">
        <v>0.15</v>
      </c>
      <c r="G25">
        <v>0.05</v>
      </c>
      <c r="H25">
        <v>0.01</v>
      </c>
      <c r="I25">
        <v>0.01</v>
      </c>
      <c r="J25" s="8">
        <f>Table3[[#This Row],[PrimaTécnica]]*Table3[[#This Row],[Gastos Adm]]</f>
        <v>334.56086352000005</v>
      </c>
      <c r="K25" s="8">
        <f>Table3[[#This Row],[PrimaTécnica]]*Table3[[#This Row],[Utilidad]]</f>
        <v>111.52028784000002</v>
      </c>
      <c r="L25" s="8">
        <f>Table3[[#This Row],[PrimaTécnica]]*Table3[[#This Row],[Marketing]]</f>
        <v>22.304057568000005</v>
      </c>
      <c r="M25" s="8">
        <f>Table3[[#This Row],[PrimaTécnica]]*Table3[[#This Row],[Cobranza]]</f>
        <v>22.304057568000005</v>
      </c>
      <c r="N2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2230.4057568000003</v>
      </c>
      <c r="O25">
        <v>21.84</v>
      </c>
      <c r="P25">
        <v>54.6</v>
      </c>
      <c r="Q25">
        <v>80.64</v>
      </c>
      <c r="R25">
        <v>44.377200000000002</v>
      </c>
      <c r="S25">
        <v>0.2</v>
      </c>
      <c r="T25">
        <v>0.02</v>
      </c>
      <c r="U25" s="8">
        <f>Table3[[#This Row],[PrimaNeta]]*Table3[[#This Row],[Comisión]]</f>
        <v>607.96573920000003</v>
      </c>
      <c r="V25" s="15">
        <f>Table3[[#This Row],[PrimaComercial Anual]]-Table3[[#This Row],[PrimaComercial Anual]]*SUM(Table3[[#This Row],[APS]:[IVA]])</f>
        <v>3039.828696</v>
      </c>
      <c r="W25" s="2">
        <v>1.4800000000000001E-2</v>
      </c>
      <c r="X25" s="2">
        <v>8.4501000000000007E-2</v>
      </c>
      <c r="Y25">
        <v>0.03</v>
      </c>
      <c r="Z25">
        <v>0.13</v>
      </c>
      <c r="AA25" s="20">
        <f>Table3[[#This Row],[APS]]*Table3[[#This Row],[PrimaComercial Anual]]</f>
        <v>60.739200000000004</v>
      </c>
      <c r="AB25" s="8">
        <f>Table3[[#This Row],[PrimaComercial Anual]]*Table3[[#This Row],[Recargo adicional]]</f>
        <v>346.79210400000005</v>
      </c>
      <c r="AC25" s="8">
        <f>Table3[[#This Row],[PrimaComercial Anual]]*Table3[[#This Row],[IT]]</f>
        <v>123.11999999999999</v>
      </c>
      <c r="AD25" s="8">
        <f>Table3[[#This Row],[PrimaComercial Anual]]*Table3[[#This Row],[IVA]]</f>
        <v>533.52</v>
      </c>
      <c r="AE25" s="15">
        <f>Table3[[#This Row],[PrimaComercial Anual Asistencia]]</f>
        <v>4104</v>
      </c>
      <c r="AG25">
        <v>4104</v>
      </c>
    </row>
    <row r="26" spans="1:33" x14ac:dyDescent="0.25">
      <c r="A26" t="s">
        <v>17</v>
      </c>
      <c r="B26">
        <v>70000</v>
      </c>
      <c r="C26">
        <v>24</v>
      </c>
      <c r="D26" s="2">
        <f>Table3[[#This Row],[PrimaTécnica]]-Table3[[#This Row],[PrimaTécnica]]*SUM(Table3[[#This Row],[Gastos Adm]:[Cobranza]])</f>
        <v>1739.7164903040002</v>
      </c>
      <c r="E26">
        <v>0</v>
      </c>
      <c r="F26">
        <v>0.15</v>
      </c>
      <c r="G26">
        <v>0.05</v>
      </c>
      <c r="H26">
        <v>0.01</v>
      </c>
      <c r="I26">
        <v>0.01</v>
      </c>
      <c r="J26" s="8">
        <f>Table3[[#This Row],[PrimaTécnica]]*Table3[[#This Row],[Gastos Adm]]</f>
        <v>334.56086352000005</v>
      </c>
      <c r="K26" s="8">
        <f>Table3[[#This Row],[PrimaTécnica]]*Table3[[#This Row],[Utilidad]]</f>
        <v>111.52028784000002</v>
      </c>
      <c r="L26" s="8">
        <f>Table3[[#This Row],[PrimaTécnica]]*Table3[[#This Row],[Marketing]]</f>
        <v>22.304057568000005</v>
      </c>
      <c r="M26" s="8">
        <f>Table3[[#This Row],[PrimaTécnica]]*Table3[[#This Row],[Cobranza]]</f>
        <v>22.304057568000005</v>
      </c>
      <c r="N2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2230.4057568000003</v>
      </c>
      <c r="O26">
        <v>21.84</v>
      </c>
      <c r="P26">
        <v>54.6</v>
      </c>
      <c r="Q26">
        <v>80.64</v>
      </c>
      <c r="R26">
        <v>44.377200000000002</v>
      </c>
      <c r="S26">
        <v>0.2</v>
      </c>
      <c r="T26">
        <v>0.02</v>
      </c>
      <c r="U26" s="8">
        <f>Table3[[#This Row],[PrimaNeta]]*Table3[[#This Row],[Comisión]]</f>
        <v>607.96573920000003</v>
      </c>
      <c r="V26" s="15">
        <f>Table3[[#This Row],[PrimaComercial Anual]]-Table3[[#This Row],[PrimaComercial Anual]]*SUM(Table3[[#This Row],[APS]:[IVA]])</f>
        <v>3039.828696</v>
      </c>
      <c r="W26" s="2">
        <v>1.4800000000000001E-2</v>
      </c>
      <c r="X26" s="2">
        <v>8.4501000000000007E-2</v>
      </c>
      <c r="Y26">
        <v>0.03</v>
      </c>
      <c r="Z26">
        <v>0.13</v>
      </c>
      <c r="AA26" s="20">
        <f>Table3[[#This Row],[APS]]*Table3[[#This Row],[PrimaComercial Anual]]</f>
        <v>60.739200000000004</v>
      </c>
      <c r="AB26" s="8">
        <f>Table3[[#This Row],[PrimaComercial Anual]]*Table3[[#This Row],[Recargo adicional]]</f>
        <v>346.79210400000005</v>
      </c>
      <c r="AC26" s="8">
        <f>Table3[[#This Row],[PrimaComercial Anual]]*Table3[[#This Row],[IT]]</f>
        <v>123.11999999999999</v>
      </c>
      <c r="AD26" s="8">
        <f>Table3[[#This Row],[PrimaComercial Anual]]*Table3[[#This Row],[IVA]]</f>
        <v>533.52</v>
      </c>
      <c r="AE26" s="15">
        <f>Table3[[#This Row],[PrimaComercial Anual Asistencia]]</f>
        <v>4104</v>
      </c>
      <c r="AG26">
        <v>4104</v>
      </c>
    </row>
    <row r="27" spans="1:33" x14ac:dyDescent="0.25">
      <c r="A27" t="s">
        <v>17</v>
      </c>
      <c r="B27">
        <v>70000</v>
      </c>
      <c r="C27">
        <v>25</v>
      </c>
      <c r="D27" s="2">
        <f>Table3[[#This Row],[PrimaTécnica]]-Table3[[#This Row],[PrimaTécnica]]*SUM(Table3[[#This Row],[Gastos Adm]:[Cobranza]])</f>
        <v>1739.7164903040002</v>
      </c>
      <c r="E27">
        <v>0</v>
      </c>
      <c r="F27">
        <v>0.15</v>
      </c>
      <c r="G27">
        <v>0.05</v>
      </c>
      <c r="H27">
        <v>0.01</v>
      </c>
      <c r="I27">
        <v>0.01</v>
      </c>
      <c r="J27" s="8">
        <f>Table3[[#This Row],[PrimaTécnica]]*Table3[[#This Row],[Gastos Adm]]</f>
        <v>334.56086352000005</v>
      </c>
      <c r="K27" s="8">
        <f>Table3[[#This Row],[PrimaTécnica]]*Table3[[#This Row],[Utilidad]]</f>
        <v>111.52028784000002</v>
      </c>
      <c r="L27" s="8">
        <f>Table3[[#This Row],[PrimaTécnica]]*Table3[[#This Row],[Marketing]]</f>
        <v>22.304057568000005</v>
      </c>
      <c r="M27" s="8">
        <f>Table3[[#This Row],[PrimaTécnica]]*Table3[[#This Row],[Cobranza]]</f>
        <v>22.304057568000005</v>
      </c>
      <c r="N2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2230.4057568000003</v>
      </c>
      <c r="O27">
        <v>21.84</v>
      </c>
      <c r="P27">
        <v>54.6</v>
      </c>
      <c r="Q27">
        <v>80.64</v>
      </c>
      <c r="R27">
        <v>44.377200000000002</v>
      </c>
      <c r="S27">
        <v>0.2</v>
      </c>
      <c r="T27">
        <v>0.02</v>
      </c>
      <c r="U27" s="8">
        <f>Table3[[#This Row],[PrimaNeta]]*Table3[[#This Row],[Comisión]]</f>
        <v>607.96573920000003</v>
      </c>
      <c r="V27" s="15">
        <f>Table3[[#This Row],[PrimaComercial Anual]]-Table3[[#This Row],[PrimaComercial Anual]]*SUM(Table3[[#This Row],[APS]:[IVA]])</f>
        <v>3039.828696</v>
      </c>
      <c r="W27" s="2">
        <v>1.4800000000000001E-2</v>
      </c>
      <c r="X27" s="2">
        <v>8.4501000000000007E-2</v>
      </c>
      <c r="Y27">
        <v>0.03</v>
      </c>
      <c r="Z27">
        <v>0.13</v>
      </c>
      <c r="AA27" s="20">
        <f>Table3[[#This Row],[APS]]*Table3[[#This Row],[PrimaComercial Anual]]</f>
        <v>60.739200000000004</v>
      </c>
      <c r="AB27" s="8">
        <f>Table3[[#This Row],[PrimaComercial Anual]]*Table3[[#This Row],[Recargo adicional]]</f>
        <v>346.79210400000005</v>
      </c>
      <c r="AC27" s="8">
        <f>Table3[[#This Row],[PrimaComercial Anual]]*Table3[[#This Row],[IT]]</f>
        <v>123.11999999999999</v>
      </c>
      <c r="AD27" s="8">
        <f>Table3[[#This Row],[PrimaComercial Anual]]*Table3[[#This Row],[IVA]]</f>
        <v>533.52</v>
      </c>
      <c r="AE27" s="15">
        <f>Table3[[#This Row],[PrimaComercial Anual Asistencia]]</f>
        <v>4104</v>
      </c>
      <c r="AG27">
        <v>4104</v>
      </c>
    </row>
    <row r="28" spans="1:33" x14ac:dyDescent="0.25">
      <c r="A28" t="s">
        <v>17</v>
      </c>
      <c r="B28">
        <v>70000</v>
      </c>
      <c r="C28">
        <v>26</v>
      </c>
      <c r="D28" s="2">
        <f>Table3[[#This Row],[PrimaTécnica]]-Table3[[#This Row],[PrimaTécnica]]*SUM(Table3[[#This Row],[Gastos Adm]:[Cobranza]])</f>
        <v>1739.7164903040002</v>
      </c>
      <c r="E28">
        <v>0</v>
      </c>
      <c r="F28">
        <v>0.15</v>
      </c>
      <c r="G28">
        <v>0.05</v>
      </c>
      <c r="H28">
        <v>0.01</v>
      </c>
      <c r="I28">
        <v>0.01</v>
      </c>
      <c r="J28" s="8">
        <f>Table3[[#This Row],[PrimaTécnica]]*Table3[[#This Row],[Gastos Adm]]</f>
        <v>334.56086352000005</v>
      </c>
      <c r="K28" s="8">
        <f>Table3[[#This Row],[PrimaTécnica]]*Table3[[#This Row],[Utilidad]]</f>
        <v>111.52028784000002</v>
      </c>
      <c r="L28" s="8">
        <f>Table3[[#This Row],[PrimaTécnica]]*Table3[[#This Row],[Marketing]]</f>
        <v>22.304057568000005</v>
      </c>
      <c r="M28" s="8">
        <f>Table3[[#This Row],[PrimaTécnica]]*Table3[[#This Row],[Cobranza]]</f>
        <v>22.304057568000005</v>
      </c>
      <c r="N2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2230.4057568000003</v>
      </c>
      <c r="O28">
        <v>21.84</v>
      </c>
      <c r="P28">
        <v>54.6</v>
      </c>
      <c r="Q28">
        <v>80.64</v>
      </c>
      <c r="R28">
        <v>44.377200000000002</v>
      </c>
      <c r="S28">
        <v>0.2</v>
      </c>
      <c r="T28">
        <v>0.02</v>
      </c>
      <c r="U28" s="8">
        <f>Table3[[#This Row],[PrimaNeta]]*Table3[[#This Row],[Comisión]]</f>
        <v>607.96573920000003</v>
      </c>
      <c r="V28" s="15">
        <f>Table3[[#This Row],[PrimaComercial Anual]]-Table3[[#This Row],[PrimaComercial Anual]]*SUM(Table3[[#This Row],[APS]:[IVA]])</f>
        <v>3039.828696</v>
      </c>
      <c r="W28" s="2">
        <v>1.4800000000000001E-2</v>
      </c>
      <c r="X28" s="2">
        <v>8.4501000000000007E-2</v>
      </c>
      <c r="Y28">
        <v>0.03</v>
      </c>
      <c r="Z28">
        <v>0.13</v>
      </c>
      <c r="AA28" s="20">
        <f>Table3[[#This Row],[APS]]*Table3[[#This Row],[PrimaComercial Anual]]</f>
        <v>60.739200000000004</v>
      </c>
      <c r="AB28" s="8">
        <f>Table3[[#This Row],[PrimaComercial Anual]]*Table3[[#This Row],[Recargo adicional]]</f>
        <v>346.79210400000005</v>
      </c>
      <c r="AC28" s="8">
        <f>Table3[[#This Row],[PrimaComercial Anual]]*Table3[[#This Row],[IT]]</f>
        <v>123.11999999999999</v>
      </c>
      <c r="AD28" s="8">
        <f>Table3[[#This Row],[PrimaComercial Anual]]*Table3[[#This Row],[IVA]]</f>
        <v>533.52</v>
      </c>
      <c r="AE28" s="15">
        <f>Table3[[#This Row],[PrimaComercial Anual Asistencia]]</f>
        <v>4104</v>
      </c>
      <c r="AG28">
        <v>4104</v>
      </c>
    </row>
    <row r="29" spans="1:33" x14ac:dyDescent="0.25">
      <c r="A29" t="s">
        <v>17</v>
      </c>
      <c r="B29">
        <v>70000</v>
      </c>
      <c r="C29">
        <v>27</v>
      </c>
      <c r="D29" s="2">
        <f>Table3[[#This Row],[PrimaTécnica]]-Table3[[#This Row],[PrimaTécnica]]*SUM(Table3[[#This Row],[Gastos Adm]:[Cobranza]])</f>
        <v>1739.7164903040002</v>
      </c>
      <c r="E29">
        <v>0</v>
      </c>
      <c r="F29">
        <v>0.15</v>
      </c>
      <c r="G29">
        <v>0.05</v>
      </c>
      <c r="H29">
        <v>0.01</v>
      </c>
      <c r="I29">
        <v>0.01</v>
      </c>
      <c r="J29" s="8">
        <f>Table3[[#This Row],[PrimaTécnica]]*Table3[[#This Row],[Gastos Adm]]</f>
        <v>334.56086352000005</v>
      </c>
      <c r="K29" s="8">
        <f>Table3[[#This Row],[PrimaTécnica]]*Table3[[#This Row],[Utilidad]]</f>
        <v>111.52028784000002</v>
      </c>
      <c r="L29" s="8">
        <f>Table3[[#This Row],[PrimaTécnica]]*Table3[[#This Row],[Marketing]]</f>
        <v>22.304057568000005</v>
      </c>
      <c r="M29" s="8">
        <f>Table3[[#This Row],[PrimaTécnica]]*Table3[[#This Row],[Cobranza]]</f>
        <v>22.304057568000005</v>
      </c>
      <c r="N2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2230.4057568000003</v>
      </c>
      <c r="O29">
        <v>21.84</v>
      </c>
      <c r="P29">
        <v>54.6</v>
      </c>
      <c r="Q29">
        <v>80.64</v>
      </c>
      <c r="R29">
        <v>44.377200000000002</v>
      </c>
      <c r="S29">
        <v>0.2</v>
      </c>
      <c r="T29">
        <v>0.02</v>
      </c>
      <c r="U29" s="8">
        <f>Table3[[#This Row],[PrimaNeta]]*Table3[[#This Row],[Comisión]]</f>
        <v>607.96573920000003</v>
      </c>
      <c r="V29" s="15">
        <f>Table3[[#This Row],[PrimaComercial Anual]]-Table3[[#This Row],[PrimaComercial Anual]]*SUM(Table3[[#This Row],[APS]:[IVA]])</f>
        <v>3039.828696</v>
      </c>
      <c r="W29" s="2">
        <v>1.4800000000000001E-2</v>
      </c>
      <c r="X29" s="2">
        <v>8.4501000000000007E-2</v>
      </c>
      <c r="Y29">
        <v>0.03</v>
      </c>
      <c r="Z29">
        <v>0.13</v>
      </c>
      <c r="AA29" s="20">
        <f>Table3[[#This Row],[APS]]*Table3[[#This Row],[PrimaComercial Anual]]</f>
        <v>60.739200000000004</v>
      </c>
      <c r="AB29" s="8">
        <f>Table3[[#This Row],[PrimaComercial Anual]]*Table3[[#This Row],[Recargo adicional]]</f>
        <v>346.79210400000005</v>
      </c>
      <c r="AC29" s="8">
        <f>Table3[[#This Row],[PrimaComercial Anual]]*Table3[[#This Row],[IT]]</f>
        <v>123.11999999999999</v>
      </c>
      <c r="AD29" s="8">
        <f>Table3[[#This Row],[PrimaComercial Anual]]*Table3[[#This Row],[IVA]]</f>
        <v>533.52</v>
      </c>
      <c r="AE29" s="15">
        <f>Table3[[#This Row],[PrimaComercial Anual Asistencia]]</f>
        <v>4104</v>
      </c>
      <c r="AG29">
        <v>4104</v>
      </c>
    </row>
    <row r="30" spans="1:33" x14ac:dyDescent="0.25">
      <c r="A30" t="s">
        <v>17</v>
      </c>
      <c r="B30">
        <v>70000</v>
      </c>
      <c r="C30">
        <v>28</v>
      </c>
      <c r="D30" s="2">
        <f>Table3[[#This Row],[PrimaTécnica]]-Table3[[#This Row],[PrimaTécnica]]*SUM(Table3[[#This Row],[Gastos Adm]:[Cobranza]])</f>
        <v>1739.7164903040002</v>
      </c>
      <c r="E30">
        <v>0</v>
      </c>
      <c r="F30">
        <v>0.15</v>
      </c>
      <c r="G30">
        <v>0.05</v>
      </c>
      <c r="H30">
        <v>0.01</v>
      </c>
      <c r="I30">
        <v>0.01</v>
      </c>
      <c r="J30" s="8">
        <f>Table3[[#This Row],[PrimaTécnica]]*Table3[[#This Row],[Gastos Adm]]</f>
        <v>334.56086352000005</v>
      </c>
      <c r="K30" s="8">
        <f>Table3[[#This Row],[PrimaTécnica]]*Table3[[#This Row],[Utilidad]]</f>
        <v>111.52028784000002</v>
      </c>
      <c r="L30" s="8">
        <f>Table3[[#This Row],[PrimaTécnica]]*Table3[[#This Row],[Marketing]]</f>
        <v>22.304057568000005</v>
      </c>
      <c r="M30" s="8">
        <f>Table3[[#This Row],[PrimaTécnica]]*Table3[[#This Row],[Cobranza]]</f>
        <v>22.304057568000005</v>
      </c>
      <c r="N3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2230.4057568000003</v>
      </c>
      <c r="O30">
        <v>21.84</v>
      </c>
      <c r="P30">
        <v>54.6</v>
      </c>
      <c r="Q30">
        <v>80.64</v>
      </c>
      <c r="R30">
        <v>44.377200000000002</v>
      </c>
      <c r="S30">
        <v>0.2</v>
      </c>
      <c r="T30">
        <v>0.02</v>
      </c>
      <c r="U30" s="8">
        <f>Table3[[#This Row],[PrimaNeta]]*Table3[[#This Row],[Comisión]]</f>
        <v>607.96573920000003</v>
      </c>
      <c r="V30" s="15">
        <f>Table3[[#This Row],[PrimaComercial Anual]]-Table3[[#This Row],[PrimaComercial Anual]]*SUM(Table3[[#This Row],[APS]:[IVA]])</f>
        <v>3039.828696</v>
      </c>
      <c r="W30" s="2">
        <v>1.4800000000000001E-2</v>
      </c>
      <c r="X30" s="2">
        <v>8.4501000000000007E-2</v>
      </c>
      <c r="Y30">
        <v>0.03</v>
      </c>
      <c r="Z30">
        <v>0.13</v>
      </c>
      <c r="AA30" s="20">
        <f>Table3[[#This Row],[APS]]*Table3[[#This Row],[PrimaComercial Anual]]</f>
        <v>60.739200000000004</v>
      </c>
      <c r="AB30" s="8">
        <f>Table3[[#This Row],[PrimaComercial Anual]]*Table3[[#This Row],[Recargo adicional]]</f>
        <v>346.79210400000005</v>
      </c>
      <c r="AC30" s="8">
        <f>Table3[[#This Row],[PrimaComercial Anual]]*Table3[[#This Row],[IT]]</f>
        <v>123.11999999999999</v>
      </c>
      <c r="AD30" s="8">
        <f>Table3[[#This Row],[PrimaComercial Anual]]*Table3[[#This Row],[IVA]]</f>
        <v>533.52</v>
      </c>
      <c r="AE30" s="15">
        <f>Table3[[#This Row],[PrimaComercial Anual Asistencia]]</f>
        <v>4104</v>
      </c>
      <c r="AG30">
        <v>4104</v>
      </c>
    </row>
    <row r="31" spans="1:33" x14ac:dyDescent="0.25">
      <c r="A31" t="s">
        <v>17</v>
      </c>
      <c r="B31">
        <v>70000</v>
      </c>
      <c r="C31">
        <v>29</v>
      </c>
      <c r="D31" s="2">
        <f>Table3[[#This Row],[PrimaTécnica]]-Table3[[#This Row],[PrimaTécnica]]*SUM(Table3[[#This Row],[Gastos Adm]:[Cobranza]])</f>
        <v>1739.7164903040002</v>
      </c>
      <c r="E31">
        <v>0</v>
      </c>
      <c r="F31">
        <v>0.15</v>
      </c>
      <c r="G31">
        <v>0.05</v>
      </c>
      <c r="H31">
        <v>0.01</v>
      </c>
      <c r="I31">
        <v>0.01</v>
      </c>
      <c r="J31" s="8">
        <f>Table3[[#This Row],[PrimaTécnica]]*Table3[[#This Row],[Gastos Adm]]</f>
        <v>334.56086352000005</v>
      </c>
      <c r="K31" s="8">
        <f>Table3[[#This Row],[PrimaTécnica]]*Table3[[#This Row],[Utilidad]]</f>
        <v>111.52028784000002</v>
      </c>
      <c r="L31" s="8">
        <f>Table3[[#This Row],[PrimaTécnica]]*Table3[[#This Row],[Marketing]]</f>
        <v>22.304057568000005</v>
      </c>
      <c r="M31" s="8">
        <f>Table3[[#This Row],[PrimaTécnica]]*Table3[[#This Row],[Cobranza]]</f>
        <v>22.304057568000005</v>
      </c>
      <c r="N3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2230.4057568000003</v>
      </c>
      <c r="O31">
        <v>21.84</v>
      </c>
      <c r="P31">
        <v>54.6</v>
      </c>
      <c r="Q31">
        <v>80.64</v>
      </c>
      <c r="R31">
        <v>44.377200000000002</v>
      </c>
      <c r="S31">
        <v>0.2</v>
      </c>
      <c r="T31">
        <v>0.02</v>
      </c>
      <c r="U31" s="8">
        <f>Table3[[#This Row],[PrimaNeta]]*Table3[[#This Row],[Comisión]]</f>
        <v>607.96573920000003</v>
      </c>
      <c r="V31" s="15">
        <f>Table3[[#This Row],[PrimaComercial Anual]]-Table3[[#This Row],[PrimaComercial Anual]]*SUM(Table3[[#This Row],[APS]:[IVA]])</f>
        <v>3039.828696</v>
      </c>
      <c r="W31" s="2">
        <v>1.4800000000000001E-2</v>
      </c>
      <c r="X31" s="2">
        <v>8.4501000000000007E-2</v>
      </c>
      <c r="Y31">
        <v>0.03</v>
      </c>
      <c r="Z31">
        <v>0.13</v>
      </c>
      <c r="AA31" s="20">
        <f>Table3[[#This Row],[APS]]*Table3[[#This Row],[PrimaComercial Anual]]</f>
        <v>60.739200000000004</v>
      </c>
      <c r="AB31" s="8">
        <f>Table3[[#This Row],[PrimaComercial Anual]]*Table3[[#This Row],[Recargo adicional]]</f>
        <v>346.79210400000005</v>
      </c>
      <c r="AC31" s="8">
        <f>Table3[[#This Row],[PrimaComercial Anual]]*Table3[[#This Row],[IT]]</f>
        <v>123.11999999999999</v>
      </c>
      <c r="AD31" s="8">
        <f>Table3[[#This Row],[PrimaComercial Anual]]*Table3[[#This Row],[IVA]]</f>
        <v>533.52</v>
      </c>
      <c r="AE31" s="15">
        <f>Table3[[#This Row],[PrimaComercial Anual Asistencia]]</f>
        <v>4104</v>
      </c>
      <c r="AG31">
        <v>4104</v>
      </c>
    </row>
    <row r="32" spans="1:33" x14ac:dyDescent="0.25">
      <c r="A32" t="s">
        <v>17</v>
      </c>
      <c r="B32">
        <v>70000</v>
      </c>
      <c r="C32">
        <v>30</v>
      </c>
      <c r="D32" s="2">
        <f>Table3[[#This Row],[PrimaTécnica]]-Table3[[#This Row],[PrimaTécnica]]*SUM(Table3[[#This Row],[Gastos Adm]:[Cobranza]])</f>
        <v>1887.2495096831999</v>
      </c>
      <c r="E32">
        <v>0</v>
      </c>
      <c r="F32">
        <v>0.15</v>
      </c>
      <c r="G32">
        <v>0.05</v>
      </c>
      <c r="H32">
        <v>0.01</v>
      </c>
      <c r="I32">
        <v>0.01</v>
      </c>
      <c r="J32" s="8">
        <f>Table3[[#This Row],[PrimaTécnica]]*Table3[[#This Row],[Gastos Adm]]</f>
        <v>362.93259801599999</v>
      </c>
      <c r="K32" s="8">
        <f>Table3[[#This Row],[PrimaTécnica]]*Table3[[#This Row],[Utilidad]]</f>
        <v>120.97753267200001</v>
      </c>
      <c r="L32" s="8">
        <f>Table3[[#This Row],[PrimaTécnica]]*Table3[[#This Row],[Marketing]]</f>
        <v>24.195506534400003</v>
      </c>
      <c r="M32" s="8">
        <f>Table3[[#This Row],[PrimaTécnica]]*Table3[[#This Row],[Cobranza]]</f>
        <v>24.195506534400003</v>
      </c>
      <c r="N3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2419.5506534400001</v>
      </c>
      <c r="O32">
        <v>21.84</v>
      </c>
      <c r="P32">
        <v>54.6</v>
      </c>
      <c r="Q32">
        <v>80.64</v>
      </c>
      <c r="R32">
        <v>44.377200000000002</v>
      </c>
      <c r="S32">
        <v>0.2</v>
      </c>
      <c r="T32">
        <v>0.02</v>
      </c>
      <c r="U32" s="8">
        <f>Table3[[#This Row],[PrimaNeta]]*Table3[[#This Row],[Comisión]]</f>
        <v>655.25196335999999</v>
      </c>
      <c r="V32" s="15">
        <f>Table3[[#This Row],[PrimaComercial Anual]]-Table3[[#This Row],[PrimaComercial Anual]]*SUM(Table3[[#This Row],[APS]:[IVA]])</f>
        <v>3276.2598168</v>
      </c>
      <c r="W32" s="2">
        <v>1.4800000000000001E-2</v>
      </c>
      <c r="X32" s="2">
        <v>8.4501000000000007E-2</v>
      </c>
      <c r="Y32">
        <v>0.03</v>
      </c>
      <c r="Z32">
        <v>0.13</v>
      </c>
      <c r="AA32" s="20">
        <f>Table3[[#This Row],[APS]]*Table3[[#This Row],[PrimaComercial Anual]]</f>
        <v>65.463359999999994</v>
      </c>
      <c r="AB32" s="8">
        <f>Table3[[#This Row],[PrimaComercial Anual]]*Table3[[#This Row],[Recargo adicional]]</f>
        <v>373.76482320000002</v>
      </c>
      <c r="AC32" s="8">
        <f>Table3[[#This Row],[PrimaComercial Anual]]*Table3[[#This Row],[IT]]</f>
        <v>132.696</v>
      </c>
      <c r="AD32" s="8">
        <f>Table3[[#This Row],[PrimaComercial Anual]]*Table3[[#This Row],[IVA]]</f>
        <v>575.01599999999996</v>
      </c>
      <c r="AE32" s="15">
        <f>Table3[[#This Row],[PrimaComercial Anual Asistencia]]</f>
        <v>4423.2</v>
      </c>
      <c r="AG32">
        <v>4423.2</v>
      </c>
    </row>
    <row r="33" spans="1:33" x14ac:dyDescent="0.25">
      <c r="A33" t="s">
        <v>17</v>
      </c>
      <c r="B33">
        <v>70000</v>
      </c>
      <c r="C33">
        <v>31</v>
      </c>
      <c r="D33" s="2">
        <f>Table3[[#This Row],[PrimaTécnica]]-Table3[[#This Row],[PrimaTécnica]]*SUM(Table3[[#This Row],[Gastos Adm]:[Cobranza]])</f>
        <v>1887.2495096831999</v>
      </c>
      <c r="E33">
        <v>0</v>
      </c>
      <c r="F33">
        <v>0.15</v>
      </c>
      <c r="G33">
        <v>0.05</v>
      </c>
      <c r="H33">
        <v>0.01</v>
      </c>
      <c r="I33">
        <v>0.01</v>
      </c>
      <c r="J33" s="8">
        <f>Table3[[#This Row],[PrimaTécnica]]*Table3[[#This Row],[Gastos Adm]]</f>
        <v>362.93259801599999</v>
      </c>
      <c r="K33" s="8">
        <f>Table3[[#This Row],[PrimaTécnica]]*Table3[[#This Row],[Utilidad]]</f>
        <v>120.97753267200001</v>
      </c>
      <c r="L33" s="8">
        <f>Table3[[#This Row],[PrimaTécnica]]*Table3[[#This Row],[Marketing]]</f>
        <v>24.195506534400003</v>
      </c>
      <c r="M33" s="8">
        <f>Table3[[#This Row],[PrimaTécnica]]*Table3[[#This Row],[Cobranza]]</f>
        <v>24.195506534400003</v>
      </c>
      <c r="N3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2419.5506534400001</v>
      </c>
      <c r="O33">
        <v>21.84</v>
      </c>
      <c r="P33">
        <v>54.6</v>
      </c>
      <c r="Q33">
        <v>80.64</v>
      </c>
      <c r="R33">
        <v>44.377200000000002</v>
      </c>
      <c r="S33">
        <v>0.2</v>
      </c>
      <c r="T33">
        <v>0.02</v>
      </c>
      <c r="U33" s="8">
        <f>Table3[[#This Row],[PrimaNeta]]*Table3[[#This Row],[Comisión]]</f>
        <v>655.25196335999999</v>
      </c>
      <c r="V33" s="15">
        <f>Table3[[#This Row],[PrimaComercial Anual]]-Table3[[#This Row],[PrimaComercial Anual]]*SUM(Table3[[#This Row],[APS]:[IVA]])</f>
        <v>3276.2598168</v>
      </c>
      <c r="W33" s="2">
        <v>1.4800000000000001E-2</v>
      </c>
      <c r="X33" s="2">
        <v>8.4501000000000007E-2</v>
      </c>
      <c r="Y33">
        <v>0.03</v>
      </c>
      <c r="Z33">
        <v>0.13</v>
      </c>
      <c r="AA33" s="20">
        <f>Table3[[#This Row],[APS]]*Table3[[#This Row],[PrimaComercial Anual]]</f>
        <v>65.463359999999994</v>
      </c>
      <c r="AB33" s="8">
        <f>Table3[[#This Row],[PrimaComercial Anual]]*Table3[[#This Row],[Recargo adicional]]</f>
        <v>373.76482320000002</v>
      </c>
      <c r="AC33" s="8">
        <f>Table3[[#This Row],[PrimaComercial Anual]]*Table3[[#This Row],[IT]]</f>
        <v>132.696</v>
      </c>
      <c r="AD33" s="8">
        <f>Table3[[#This Row],[PrimaComercial Anual]]*Table3[[#This Row],[IVA]]</f>
        <v>575.01599999999996</v>
      </c>
      <c r="AE33" s="15">
        <f>Table3[[#This Row],[PrimaComercial Anual Asistencia]]</f>
        <v>4423.2</v>
      </c>
      <c r="AG33">
        <v>4423.2</v>
      </c>
    </row>
    <row r="34" spans="1:33" x14ac:dyDescent="0.25">
      <c r="A34" t="s">
        <v>17</v>
      </c>
      <c r="B34">
        <v>70000</v>
      </c>
      <c r="C34">
        <v>32</v>
      </c>
      <c r="D34" s="2">
        <f>Table3[[#This Row],[PrimaTécnica]]-Table3[[#This Row],[PrimaTécnica]]*SUM(Table3[[#This Row],[Gastos Adm]:[Cobranza]])</f>
        <v>1887.2495096831999</v>
      </c>
      <c r="E34">
        <v>0</v>
      </c>
      <c r="F34">
        <v>0.15</v>
      </c>
      <c r="G34">
        <v>0.05</v>
      </c>
      <c r="H34">
        <v>0.01</v>
      </c>
      <c r="I34">
        <v>0.01</v>
      </c>
      <c r="J34" s="8">
        <f>Table3[[#This Row],[PrimaTécnica]]*Table3[[#This Row],[Gastos Adm]]</f>
        <v>362.93259801599999</v>
      </c>
      <c r="K34" s="8">
        <f>Table3[[#This Row],[PrimaTécnica]]*Table3[[#This Row],[Utilidad]]</f>
        <v>120.97753267200001</v>
      </c>
      <c r="L34" s="8">
        <f>Table3[[#This Row],[PrimaTécnica]]*Table3[[#This Row],[Marketing]]</f>
        <v>24.195506534400003</v>
      </c>
      <c r="M34" s="8">
        <f>Table3[[#This Row],[PrimaTécnica]]*Table3[[#This Row],[Cobranza]]</f>
        <v>24.195506534400003</v>
      </c>
      <c r="N3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2419.5506534400001</v>
      </c>
      <c r="O34">
        <v>21.84</v>
      </c>
      <c r="P34">
        <v>54.6</v>
      </c>
      <c r="Q34">
        <v>80.64</v>
      </c>
      <c r="R34">
        <v>44.377200000000002</v>
      </c>
      <c r="S34">
        <v>0.2</v>
      </c>
      <c r="T34">
        <v>0.02</v>
      </c>
      <c r="U34" s="8">
        <f>Table3[[#This Row],[PrimaNeta]]*Table3[[#This Row],[Comisión]]</f>
        <v>655.25196335999999</v>
      </c>
      <c r="V34" s="15">
        <f>Table3[[#This Row],[PrimaComercial Anual]]-Table3[[#This Row],[PrimaComercial Anual]]*SUM(Table3[[#This Row],[APS]:[IVA]])</f>
        <v>3276.2598168</v>
      </c>
      <c r="W34" s="2">
        <v>1.4800000000000001E-2</v>
      </c>
      <c r="X34" s="2">
        <v>8.4501000000000007E-2</v>
      </c>
      <c r="Y34">
        <v>0.03</v>
      </c>
      <c r="Z34">
        <v>0.13</v>
      </c>
      <c r="AA34" s="20">
        <f>Table3[[#This Row],[APS]]*Table3[[#This Row],[PrimaComercial Anual]]</f>
        <v>65.463359999999994</v>
      </c>
      <c r="AB34" s="8">
        <f>Table3[[#This Row],[PrimaComercial Anual]]*Table3[[#This Row],[Recargo adicional]]</f>
        <v>373.76482320000002</v>
      </c>
      <c r="AC34" s="8">
        <f>Table3[[#This Row],[PrimaComercial Anual]]*Table3[[#This Row],[IT]]</f>
        <v>132.696</v>
      </c>
      <c r="AD34" s="8">
        <f>Table3[[#This Row],[PrimaComercial Anual]]*Table3[[#This Row],[IVA]]</f>
        <v>575.01599999999996</v>
      </c>
      <c r="AE34" s="15">
        <f>Table3[[#This Row],[PrimaComercial Anual Asistencia]]</f>
        <v>4423.2</v>
      </c>
      <c r="AG34">
        <v>4423.2</v>
      </c>
    </row>
    <row r="35" spans="1:33" x14ac:dyDescent="0.25">
      <c r="A35" t="s">
        <v>17</v>
      </c>
      <c r="B35">
        <v>70000</v>
      </c>
      <c r="C35">
        <v>33</v>
      </c>
      <c r="D35" s="2">
        <f>Table3[[#This Row],[PrimaTécnica]]-Table3[[#This Row],[PrimaTécnica]]*SUM(Table3[[#This Row],[Gastos Adm]:[Cobranza]])</f>
        <v>1887.2495096831999</v>
      </c>
      <c r="E35">
        <v>0</v>
      </c>
      <c r="F35">
        <v>0.15</v>
      </c>
      <c r="G35">
        <v>0.05</v>
      </c>
      <c r="H35">
        <v>0.01</v>
      </c>
      <c r="I35">
        <v>0.01</v>
      </c>
      <c r="J35" s="8">
        <f>Table3[[#This Row],[PrimaTécnica]]*Table3[[#This Row],[Gastos Adm]]</f>
        <v>362.93259801599999</v>
      </c>
      <c r="K35" s="8">
        <f>Table3[[#This Row],[PrimaTécnica]]*Table3[[#This Row],[Utilidad]]</f>
        <v>120.97753267200001</v>
      </c>
      <c r="L35" s="8">
        <f>Table3[[#This Row],[PrimaTécnica]]*Table3[[#This Row],[Marketing]]</f>
        <v>24.195506534400003</v>
      </c>
      <c r="M35" s="8">
        <f>Table3[[#This Row],[PrimaTécnica]]*Table3[[#This Row],[Cobranza]]</f>
        <v>24.195506534400003</v>
      </c>
      <c r="N3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2419.5506534400001</v>
      </c>
      <c r="O35">
        <v>21.84</v>
      </c>
      <c r="P35">
        <v>54.6</v>
      </c>
      <c r="Q35">
        <v>80.64</v>
      </c>
      <c r="R35">
        <v>44.377200000000002</v>
      </c>
      <c r="S35">
        <v>0.2</v>
      </c>
      <c r="T35">
        <v>0.02</v>
      </c>
      <c r="U35" s="8">
        <f>Table3[[#This Row],[PrimaNeta]]*Table3[[#This Row],[Comisión]]</f>
        <v>655.25196335999999</v>
      </c>
      <c r="V35" s="15">
        <f>Table3[[#This Row],[PrimaComercial Anual]]-Table3[[#This Row],[PrimaComercial Anual]]*SUM(Table3[[#This Row],[APS]:[IVA]])</f>
        <v>3276.2598168</v>
      </c>
      <c r="W35" s="2">
        <v>1.4800000000000001E-2</v>
      </c>
      <c r="X35" s="2">
        <v>8.4501000000000007E-2</v>
      </c>
      <c r="Y35">
        <v>0.03</v>
      </c>
      <c r="Z35">
        <v>0.13</v>
      </c>
      <c r="AA35" s="20">
        <f>Table3[[#This Row],[APS]]*Table3[[#This Row],[PrimaComercial Anual]]</f>
        <v>65.463359999999994</v>
      </c>
      <c r="AB35" s="8">
        <f>Table3[[#This Row],[PrimaComercial Anual]]*Table3[[#This Row],[Recargo adicional]]</f>
        <v>373.76482320000002</v>
      </c>
      <c r="AC35" s="8">
        <f>Table3[[#This Row],[PrimaComercial Anual]]*Table3[[#This Row],[IT]]</f>
        <v>132.696</v>
      </c>
      <c r="AD35" s="8">
        <f>Table3[[#This Row],[PrimaComercial Anual]]*Table3[[#This Row],[IVA]]</f>
        <v>575.01599999999996</v>
      </c>
      <c r="AE35" s="15">
        <f>Table3[[#This Row],[PrimaComercial Anual Asistencia]]</f>
        <v>4423.2</v>
      </c>
      <c r="AG35">
        <v>4423.2</v>
      </c>
    </row>
    <row r="36" spans="1:33" x14ac:dyDescent="0.25">
      <c r="A36" t="s">
        <v>17</v>
      </c>
      <c r="B36">
        <v>70000</v>
      </c>
      <c r="C36">
        <v>34</v>
      </c>
      <c r="D36" s="2">
        <f>Table3[[#This Row],[PrimaTécnica]]-Table3[[#This Row],[PrimaTécnica]]*SUM(Table3[[#This Row],[Gastos Adm]:[Cobranza]])</f>
        <v>1887.2495096831999</v>
      </c>
      <c r="E36">
        <v>0</v>
      </c>
      <c r="F36">
        <v>0.15</v>
      </c>
      <c r="G36">
        <v>0.05</v>
      </c>
      <c r="H36">
        <v>0.01</v>
      </c>
      <c r="I36">
        <v>0.01</v>
      </c>
      <c r="J36" s="8">
        <f>Table3[[#This Row],[PrimaTécnica]]*Table3[[#This Row],[Gastos Adm]]</f>
        <v>362.93259801599999</v>
      </c>
      <c r="K36" s="8">
        <f>Table3[[#This Row],[PrimaTécnica]]*Table3[[#This Row],[Utilidad]]</f>
        <v>120.97753267200001</v>
      </c>
      <c r="L36" s="8">
        <f>Table3[[#This Row],[PrimaTécnica]]*Table3[[#This Row],[Marketing]]</f>
        <v>24.195506534400003</v>
      </c>
      <c r="M36" s="8">
        <f>Table3[[#This Row],[PrimaTécnica]]*Table3[[#This Row],[Cobranza]]</f>
        <v>24.195506534400003</v>
      </c>
      <c r="N3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2419.5506534400001</v>
      </c>
      <c r="O36">
        <v>21.84</v>
      </c>
      <c r="P36">
        <v>54.6</v>
      </c>
      <c r="Q36">
        <v>80.64</v>
      </c>
      <c r="R36">
        <v>44.377200000000002</v>
      </c>
      <c r="S36">
        <v>0.2</v>
      </c>
      <c r="T36">
        <v>0.02</v>
      </c>
      <c r="U36" s="8">
        <f>Table3[[#This Row],[PrimaNeta]]*Table3[[#This Row],[Comisión]]</f>
        <v>655.25196335999999</v>
      </c>
      <c r="V36" s="15">
        <f>Table3[[#This Row],[PrimaComercial Anual]]-Table3[[#This Row],[PrimaComercial Anual]]*SUM(Table3[[#This Row],[APS]:[IVA]])</f>
        <v>3276.2598168</v>
      </c>
      <c r="W36" s="2">
        <v>1.4800000000000001E-2</v>
      </c>
      <c r="X36" s="2">
        <v>8.4501000000000007E-2</v>
      </c>
      <c r="Y36">
        <v>0.03</v>
      </c>
      <c r="Z36">
        <v>0.13</v>
      </c>
      <c r="AA36" s="20">
        <f>Table3[[#This Row],[APS]]*Table3[[#This Row],[PrimaComercial Anual]]</f>
        <v>65.463359999999994</v>
      </c>
      <c r="AB36" s="8">
        <f>Table3[[#This Row],[PrimaComercial Anual]]*Table3[[#This Row],[Recargo adicional]]</f>
        <v>373.76482320000002</v>
      </c>
      <c r="AC36" s="8">
        <f>Table3[[#This Row],[PrimaComercial Anual]]*Table3[[#This Row],[IT]]</f>
        <v>132.696</v>
      </c>
      <c r="AD36" s="8">
        <f>Table3[[#This Row],[PrimaComercial Anual]]*Table3[[#This Row],[IVA]]</f>
        <v>575.01599999999996</v>
      </c>
      <c r="AE36" s="15">
        <f>Table3[[#This Row],[PrimaComercial Anual Asistencia]]</f>
        <v>4423.2</v>
      </c>
      <c r="AG36">
        <v>4423.2</v>
      </c>
    </row>
    <row r="37" spans="1:33" x14ac:dyDescent="0.25">
      <c r="A37" t="s">
        <v>17</v>
      </c>
      <c r="B37">
        <v>70000</v>
      </c>
      <c r="C37">
        <v>35</v>
      </c>
      <c r="D37" s="2">
        <f>Table3[[#This Row],[PrimaTécnica]]-Table3[[#This Row],[PrimaTécnica]]*SUM(Table3[[#This Row],[Gastos Adm]:[Cobranza]])</f>
        <v>1887.2495096831999</v>
      </c>
      <c r="E37">
        <v>0</v>
      </c>
      <c r="F37">
        <v>0.15</v>
      </c>
      <c r="G37">
        <v>0.05</v>
      </c>
      <c r="H37">
        <v>0.01</v>
      </c>
      <c r="I37">
        <v>0.01</v>
      </c>
      <c r="J37" s="8">
        <f>Table3[[#This Row],[PrimaTécnica]]*Table3[[#This Row],[Gastos Adm]]</f>
        <v>362.93259801599999</v>
      </c>
      <c r="K37" s="8">
        <f>Table3[[#This Row],[PrimaTécnica]]*Table3[[#This Row],[Utilidad]]</f>
        <v>120.97753267200001</v>
      </c>
      <c r="L37" s="8">
        <f>Table3[[#This Row],[PrimaTécnica]]*Table3[[#This Row],[Marketing]]</f>
        <v>24.195506534400003</v>
      </c>
      <c r="M37" s="8">
        <f>Table3[[#This Row],[PrimaTécnica]]*Table3[[#This Row],[Cobranza]]</f>
        <v>24.195506534400003</v>
      </c>
      <c r="N3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2419.5506534400001</v>
      </c>
      <c r="O37">
        <v>21.84</v>
      </c>
      <c r="P37">
        <v>54.6</v>
      </c>
      <c r="Q37">
        <v>80.64</v>
      </c>
      <c r="R37">
        <v>44.377200000000002</v>
      </c>
      <c r="S37">
        <v>0.2</v>
      </c>
      <c r="T37">
        <v>0.02</v>
      </c>
      <c r="U37" s="8">
        <f>Table3[[#This Row],[PrimaNeta]]*Table3[[#This Row],[Comisión]]</f>
        <v>655.25196335999999</v>
      </c>
      <c r="V37" s="15">
        <f>Table3[[#This Row],[PrimaComercial Anual]]-Table3[[#This Row],[PrimaComercial Anual]]*SUM(Table3[[#This Row],[APS]:[IVA]])</f>
        <v>3276.2598168</v>
      </c>
      <c r="W37" s="2">
        <v>1.4800000000000001E-2</v>
      </c>
      <c r="X37" s="2">
        <v>8.4501000000000007E-2</v>
      </c>
      <c r="Y37">
        <v>0.03</v>
      </c>
      <c r="Z37">
        <v>0.13</v>
      </c>
      <c r="AA37" s="20">
        <f>Table3[[#This Row],[APS]]*Table3[[#This Row],[PrimaComercial Anual]]</f>
        <v>65.463359999999994</v>
      </c>
      <c r="AB37" s="8">
        <f>Table3[[#This Row],[PrimaComercial Anual]]*Table3[[#This Row],[Recargo adicional]]</f>
        <v>373.76482320000002</v>
      </c>
      <c r="AC37" s="8">
        <f>Table3[[#This Row],[PrimaComercial Anual]]*Table3[[#This Row],[IT]]</f>
        <v>132.696</v>
      </c>
      <c r="AD37" s="8">
        <f>Table3[[#This Row],[PrimaComercial Anual]]*Table3[[#This Row],[IVA]]</f>
        <v>575.01599999999996</v>
      </c>
      <c r="AE37" s="15">
        <f>Table3[[#This Row],[PrimaComercial Anual Asistencia]]</f>
        <v>4423.2</v>
      </c>
      <c r="AG37">
        <v>4423.2</v>
      </c>
    </row>
    <row r="38" spans="1:33" x14ac:dyDescent="0.25">
      <c r="A38" t="s">
        <v>17</v>
      </c>
      <c r="B38">
        <v>70000</v>
      </c>
      <c r="C38">
        <v>36</v>
      </c>
      <c r="D38" s="2">
        <f>Table3[[#This Row],[PrimaTécnica]]-Table3[[#This Row],[PrimaTécnica]]*SUM(Table3[[#This Row],[Gastos Adm]:[Cobranza]])</f>
        <v>1887.2495096831999</v>
      </c>
      <c r="E38">
        <v>0</v>
      </c>
      <c r="F38">
        <v>0.15</v>
      </c>
      <c r="G38">
        <v>0.05</v>
      </c>
      <c r="H38">
        <v>0.01</v>
      </c>
      <c r="I38">
        <v>0.01</v>
      </c>
      <c r="J38" s="8">
        <f>Table3[[#This Row],[PrimaTécnica]]*Table3[[#This Row],[Gastos Adm]]</f>
        <v>362.93259801599999</v>
      </c>
      <c r="K38" s="8">
        <f>Table3[[#This Row],[PrimaTécnica]]*Table3[[#This Row],[Utilidad]]</f>
        <v>120.97753267200001</v>
      </c>
      <c r="L38" s="8">
        <f>Table3[[#This Row],[PrimaTécnica]]*Table3[[#This Row],[Marketing]]</f>
        <v>24.195506534400003</v>
      </c>
      <c r="M38" s="8">
        <f>Table3[[#This Row],[PrimaTécnica]]*Table3[[#This Row],[Cobranza]]</f>
        <v>24.195506534400003</v>
      </c>
      <c r="N3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2419.5506534400001</v>
      </c>
      <c r="O38">
        <v>21.84</v>
      </c>
      <c r="P38">
        <v>54.6</v>
      </c>
      <c r="Q38">
        <v>80.64</v>
      </c>
      <c r="R38">
        <v>44.377200000000002</v>
      </c>
      <c r="S38">
        <v>0.2</v>
      </c>
      <c r="T38">
        <v>0.02</v>
      </c>
      <c r="U38" s="8">
        <f>Table3[[#This Row],[PrimaNeta]]*Table3[[#This Row],[Comisión]]</f>
        <v>655.25196335999999</v>
      </c>
      <c r="V38" s="15">
        <f>Table3[[#This Row],[PrimaComercial Anual]]-Table3[[#This Row],[PrimaComercial Anual]]*SUM(Table3[[#This Row],[APS]:[IVA]])</f>
        <v>3276.2598168</v>
      </c>
      <c r="W38" s="2">
        <v>1.4800000000000001E-2</v>
      </c>
      <c r="X38" s="2">
        <v>8.4501000000000007E-2</v>
      </c>
      <c r="Y38">
        <v>0.03</v>
      </c>
      <c r="Z38">
        <v>0.13</v>
      </c>
      <c r="AA38" s="20">
        <f>Table3[[#This Row],[APS]]*Table3[[#This Row],[PrimaComercial Anual]]</f>
        <v>65.463359999999994</v>
      </c>
      <c r="AB38" s="8">
        <f>Table3[[#This Row],[PrimaComercial Anual]]*Table3[[#This Row],[Recargo adicional]]</f>
        <v>373.76482320000002</v>
      </c>
      <c r="AC38" s="8">
        <f>Table3[[#This Row],[PrimaComercial Anual]]*Table3[[#This Row],[IT]]</f>
        <v>132.696</v>
      </c>
      <c r="AD38" s="8">
        <f>Table3[[#This Row],[PrimaComercial Anual]]*Table3[[#This Row],[IVA]]</f>
        <v>575.01599999999996</v>
      </c>
      <c r="AE38" s="15">
        <f>Table3[[#This Row],[PrimaComercial Anual Asistencia]]</f>
        <v>4423.2</v>
      </c>
      <c r="AG38">
        <v>4423.2</v>
      </c>
    </row>
    <row r="39" spans="1:33" x14ac:dyDescent="0.25">
      <c r="A39" t="s">
        <v>17</v>
      </c>
      <c r="B39">
        <v>70000</v>
      </c>
      <c r="C39">
        <v>37</v>
      </c>
      <c r="D39" s="2">
        <f>Table3[[#This Row],[PrimaTécnica]]-Table3[[#This Row],[PrimaTécnica]]*SUM(Table3[[#This Row],[Gastos Adm]:[Cobranza]])</f>
        <v>1887.2495096831999</v>
      </c>
      <c r="E39">
        <v>0</v>
      </c>
      <c r="F39">
        <v>0.15</v>
      </c>
      <c r="G39">
        <v>0.05</v>
      </c>
      <c r="H39">
        <v>0.01</v>
      </c>
      <c r="I39">
        <v>0.01</v>
      </c>
      <c r="J39" s="8">
        <f>Table3[[#This Row],[PrimaTécnica]]*Table3[[#This Row],[Gastos Adm]]</f>
        <v>362.93259801599999</v>
      </c>
      <c r="K39" s="8">
        <f>Table3[[#This Row],[PrimaTécnica]]*Table3[[#This Row],[Utilidad]]</f>
        <v>120.97753267200001</v>
      </c>
      <c r="L39" s="8">
        <f>Table3[[#This Row],[PrimaTécnica]]*Table3[[#This Row],[Marketing]]</f>
        <v>24.195506534400003</v>
      </c>
      <c r="M39" s="8">
        <f>Table3[[#This Row],[PrimaTécnica]]*Table3[[#This Row],[Cobranza]]</f>
        <v>24.195506534400003</v>
      </c>
      <c r="N3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2419.5506534400001</v>
      </c>
      <c r="O39">
        <v>21.84</v>
      </c>
      <c r="P39">
        <v>54.6</v>
      </c>
      <c r="Q39">
        <v>80.64</v>
      </c>
      <c r="R39">
        <v>44.377200000000002</v>
      </c>
      <c r="S39">
        <v>0.2</v>
      </c>
      <c r="T39">
        <v>0.02</v>
      </c>
      <c r="U39" s="8">
        <f>Table3[[#This Row],[PrimaNeta]]*Table3[[#This Row],[Comisión]]</f>
        <v>655.25196335999999</v>
      </c>
      <c r="V39" s="15">
        <f>Table3[[#This Row],[PrimaComercial Anual]]-Table3[[#This Row],[PrimaComercial Anual]]*SUM(Table3[[#This Row],[APS]:[IVA]])</f>
        <v>3276.2598168</v>
      </c>
      <c r="W39" s="2">
        <v>1.4800000000000001E-2</v>
      </c>
      <c r="X39" s="2">
        <v>8.4501000000000007E-2</v>
      </c>
      <c r="Y39">
        <v>0.03</v>
      </c>
      <c r="Z39">
        <v>0.13</v>
      </c>
      <c r="AA39" s="20">
        <f>Table3[[#This Row],[APS]]*Table3[[#This Row],[PrimaComercial Anual]]</f>
        <v>65.463359999999994</v>
      </c>
      <c r="AB39" s="8">
        <f>Table3[[#This Row],[PrimaComercial Anual]]*Table3[[#This Row],[Recargo adicional]]</f>
        <v>373.76482320000002</v>
      </c>
      <c r="AC39" s="8">
        <f>Table3[[#This Row],[PrimaComercial Anual]]*Table3[[#This Row],[IT]]</f>
        <v>132.696</v>
      </c>
      <c r="AD39" s="8">
        <f>Table3[[#This Row],[PrimaComercial Anual]]*Table3[[#This Row],[IVA]]</f>
        <v>575.01599999999996</v>
      </c>
      <c r="AE39" s="15">
        <f>Table3[[#This Row],[PrimaComercial Anual Asistencia]]</f>
        <v>4423.2</v>
      </c>
      <c r="AG39">
        <v>4423.2</v>
      </c>
    </row>
    <row r="40" spans="1:33" x14ac:dyDescent="0.25">
      <c r="A40" t="s">
        <v>17</v>
      </c>
      <c r="B40">
        <v>70000</v>
      </c>
      <c r="C40">
        <v>38</v>
      </c>
      <c r="D40" s="2">
        <f>Table3[[#This Row],[PrimaTécnica]]-Table3[[#This Row],[PrimaTécnica]]*SUM(Table3[[#This Row],[Gastos Adm]:[Cobranza]])</f>
        <v>1887.2495096831999</v>
      </c>
      <c r="E40">
        <v>0</v>
      </c>
      <c r="F40">
        <v>0.15</v>
      </c>
      <c r="G40">
        <v>0.05</v>
      </c>
      <c r="H40">
        <v>0.01</v>
      </c>
      <c r="I40">
        <v>0.01</v>
      </c>
      <c r="J40" s="8">
        <f>Table3[[#This Row],[PrimaTécnica]]*Table3[[#This Row],[Gastos Adm]]</f>
        <v>362.93259801599999</v>
      </c>
      <c r="K40" s="8">
        <f>Table3[[#This Row],[PrimaTécnica]]*Table3[[#This Row],[Utilidad]]</f>
        <v>120.97753267200001</v>
      </c>
      <c r="L40" s="8">
        <f>Table3[[#This Row],[PrimaTécnica]]*Table3[[#This Row],[Marketing]]</f>
        <v>24.195506534400003</v>
      </c>
      <c r="M40" s="8">
        <f>Table3[[#This Row],[PrimaTécnica]]*Table3[[#This Row],[Cobranza]]</f>
        <v>24.195506534400003</v>
      </c>
      <c r="N4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2419.5506534400001</v>
      </c>
      <c r="O40">
        <v>21.84</v>
      </c>
      <c r="P40">
        <v>54.6</v>
      </c>
      <c r="Q40">
        <v>80.64</v>
      </c>
      <c r="R40">
        <v>44.377200000000002</v>
      </c>
      <c r="S40">
        <v>0.2</v>
      </c>
      <c r="T40">
        <v>0.02</v>
      </c>
      <c r="U40" s="8">
        <f>Table3[[#This Row],[PrimaNeta]]*Table3[[#This Row],[Comisión]]</f>
        <v>655.25196335999999</v>
      </c>
      <c r="V40" s="15">
        <f>Table3[[#This Row],[PrimaComercial Anual]]-Table3[[#This Row],[PrimaComercial Anual]]*SUM(Table3[[#This Row],[APS]:[IVA]])</f>
        <v>3276.2598168</v>
      </c>
      <c r="W40" s="2">
        <v>1.4800000000000001E-2</v>
      </c>
      <c r="X40" s="2">
        <v>8.4501000000000007E-2</v>
      </c>
      <c r="Y40">
        <v>0.03</v>
      </c>
      <c r="Z40">
        <v>0.13</v>
      </c>
      <c r="AA40" s="20">
        <f>Table3[[#This Row],[APS]]*Table3[[#This Row],[PrimaComercial Anual]]</f>
        <v>65.463359999999994</v>
      </c>
      <c r="AB40" s="8">
        <f>Table3[[#This Row],[PrimaComercial Anual]]*Table3[[#This Row],[Recargo adicional]]</f>
        <v>373.76482320000002</v>
      </c>
      <c r="AC40" s="8">
        <f>Table3[[#This Row],[PrimaComercial Anual]]*Table3[[#This Row],[IT]]</f>
        <v>132.696</v>
      </c>
      <c r="AD40" s="8">
        <f>Table3[[#This Row],[PrimaComercial Anual]]*Table3[[#This Row],[IVA]]</f>
        <v>575.01599999999996</v>
      </c>
      <c r="AE40" s="15">
        <f>Table3[[#This Row],[PrimaComercial Anual Asistencia]]</f>
        <v>4423.2</v>
      </c>
      <c r="AG40">
        <v>4423.2</v>
      </c>
    </row>
    <row r="41" spans="1:33" x14ac:dyDescent="0.25">
      <c r="A41" t="s">
        <v>17</v>
      </c>
      <c r="B41">
        <v>70000</v>
      </c>
      <c r="C41">
        <v>39</v>
      </c>
      <c r="D41" s="2">
        <f>Table3[[#This Row],[PrimaTécnica]]-Table3[[#This Row],[PrimaTécnica]]*SUM(Table3[[#This Row],[Gastos Adm]:[Cobranza]])</f>
        <v>1887.2495096831999</v>
      </c>
      <c r="E41">
        <v>0</v>
      </c>
      <c r="F41">
        <v>0.15</v>
      </c>
      <c r="G41">
        <v>0.05</v>
      </c>
      <c r="H41">
        <v>0.01</v>
      </c>
      <c r="I41">
        <v>0.01</v>
      </c>
      <c r="J41" s="8">
        <f>Table3[[#This Row],[PrimaTécnica]]*Table3[[#This Row],[Gastos Adm]]</f>
        <v>362.93259801599999</v>
      </c>
      <c r="K41" s="8">
        <f>Table3[[#This Row],[PrimaTécnica]]*Table3[[#This Row],[Utilidad]]</f>
        <v>120.97753267200001</v>
      </c>
      <c r="L41" s="8">
        <f>Table3[[#This Row],[PrimaTécnica]]*Table3[[#This Row],[Marketing]]</f>
        <v>24.195506534400003</v>
      </c>
      <c r="M41" s="8">
        <f>Table3[[#This Row],[PrimaTécnica]]*Table3[[#This Row],[Cobranza]]</f>
        <v>24.195506534400003</v>
      </c>
      <c r="N4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2419.5506534400001</v>
      </c>
      <c r="O41">
        <v>21.84</v>
      </c>
      <c r="P41">
        <v>54.6</v>
      </c>
      <c r="Q41">
        <v>80.64</v>
      </c>
      <c r="R41">
        <v>44.377200000000002</v>
      </c>
      <c r="S41">
        <v>0.2</v>
      </c>
      <c r="T41">
        <v>0.02</v>
      </c>
      <c r="U41" s="8">
        <f>Table3[[#This Row],[PrimaNeta]]*Table3[[#This Row],[Comisión]]</f>
        <v>655.25196335999999</v>
      </c>
      <c r="V41" s="15">
        <f>Table3[[#This Row],[PrimaComercial Anual]]-Table3[[#This Row],[PrimaComercial Anual]]*SUM(Table3[[#This Row],[APS]:[IVA]])</f>
        <v>3276.2598168</v>
      </c>
      <c r="W41" s="2">
        <v>1.4800000000000001E-2</v>
      </c>
      <c r="X41" s="2">
        <v>8.4501000000000007E-2</v>
      </c>
      <c r="Y41">
        <v>0.03</v>
      </c>
      <c r="Z41">
        <v>0.13</v>
      </c>
      <c r="AA41" s="20">
        <f>Table3[[#This Row],[APS]]*Table3[[#This Row],[PrimaComercial Anual]]</f>
        <v>65.463359999999994</v>
      </c>
      <c r="AB41" s="8">
        <f>Table3[[#This Row],[PrimaComercial Anual]]*Table3[[#This Row],[Recargo adicional]]</f>
        <v>373.76482320000002</v>
      </c>
      <c r="AC41" s="8">
        <f>Table3[[#This Row],[PrimaComercial Anual]]*Table3[[#This Row],[IT]]</f>
        <v>132.696</v>
      </c>
      <c r="AD41" s="8">
        <f>Table3[[#This Row],[PrimaComercial Anual]]*Table3[[#This Row],[IVA]]</f>
        <v>575.01599999999996</v>
      </c>
      <c r="AE41" s="15">
        <f>Table3[[#This Row],[PrimaComercial Anual Asistencia]]</f>
        <v>4423.2</v>
      </c>
      <c r="AG41">
        <v>4423.2</v>
      </c>
    </row>
    <row r="42" spans="1:33" x14ac:dyDescent="0.25">
      <c r="A42" t="s">
        <v>17</v>
      </c>
      <c r="B42">
        <v>70000</v>
      </c>
      <c r="C42">
        <v>40</v>
      </c>
      <c r="D42" s="2">
        <f>Table3[[#This Row],[PrimaTécnica]]-Table3[[#This Row],[PrimaTécnica]]*SUM(Table3[[#This Row],[Gastos Adm]:[Cobranza]])</f>
        <v>2624.9146065792002</v>
      </c>
      <c r="E42">
        <v>0</v>
      </c>
      <c r="F42">
        <v>0.15</v>
      </c>
      <c r="G42">
        <v>0.05</v>
      </c>
      <c r="H42">
        <v>0.01</v>
      </c>
      <c r="I42">
        <v>0.01</v>
      </c>
      <c r="J42" s="8">
        <f>Table3[[#This Row],[PrimaTécnica]]*Table3[[#This Row],[Gastos Adm]]</f>
        <v>504.79127049600004</v>
      </c>
      <c r="K42" s="8">
        <f>Table3[[#This Row],[PrimaTécnica]]*Table3[[#This Row],[Utilidad]]</f>
        <v>168.26375683200001</v>
      </c>
      <c r="L42" s="8">
        <f>Table3[[#This Row],[PrimaTécnica]]*Table3[[#This Row],[Marketing]]</f>
        <v>33.652751366400004</v>
      </c>
      <c r="M42" s="8">
        <f>Table3[[#This Row],[PrimaTécnica]]*Table3[[#This Row],[Cobranza]]</f>
        <v>33.652751366400004</v>
      </c>
      <c r="N4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3365.2751366400003</v>
      </c>
      <c r="O42">
        <v>21.84</v>
      </c>
      <c r="P42">
        <v>54.6</v>
      </c>
      <c r="Q42">
        <v>80.64</v>
      </c>
      <c r="R42">
        <v>44.377200000000002</v>
      </c>
      <c r="S42">
        <v>0.2</v>
      </c>
      <c r="T42">
        <v>0.02</v>
      </c>
      <c r="U42" s="8">
        <f>Table3[[#This Row],[PrimaNeta]]*Table3[[#This Row],[Comisión]]</f>
        <v>891.68308416000002</v>
      </c>
      <c r="V42" s="15">
        <f>Table3[[#This Row],[PrimaComercial Anual]]-Table3[[#This Row],[PrimaComercial Anual]]*SUM(Table3[[#This Row],[APS]:[IVA]])</f>
        <v>4458.4154208</v>
      </c>
      <c r="W42" s="2">
        <v>1.4800000000000001E-2</v>
      </c>
      <c r="X42" s="2">
        <v>8.4501000000000007E-2</v>
      </c>
      <c r="Y42">
        <v>0.03</v>
      </c>
      <c r="Z42">
        <v>0.13</v>
      </c>
      <c r="AA42" s="20">
        <f>Table3[[#This Row],[APS]]*Table3[[#This Row],[PrimaComercial Anual]]</f>
        <v>89.084159999999997</v>
      </c>
      <c r="AB42" s="8">
        <f>Table3[[#This Row],[PrimaComercial Anual]]*Table3[[#This Row],[Recargo adicional]]</f>
        <v>508.62841920000005</v>
      </c>
      <c r="AC42" s="8">
        <f>Table3[[#This Row],[PrimaComercial Anual]]*Table3[[#This Row],[IT]]</f>
        <v>180.57599999999999</v>
      </c>
      <c r="AD42" s="8">
        <f>Table3[[#This Row],[PrimaComercial Anual]]*Table3[[#This Row],[IVA]]</f>
        <v>782.49599999999998</v>
      </c>
      <c r="AE42" s="15">
        <f>Table3[[#This Row],[PrimaComercial Anual Asistencia]]</f>
        <v>6019.2</v>
      </c>
      <c r="AG42">
        <v>6019.2</v>
      </c>
    </row>
    <row r="43" spans="1:33" x14ac:dyDescent="0.25">
      <c r="A43" t="s">
        <v>17</v>
      </c>
      <c r="B43">
        <v>70000</v>
      </c>
      <c r="C43">
        <v>41</v>
      </c>
      <c r="D43" s="2">
        <f>Table3[[#This Row],[PrimaTécnica]]-Table3[[#This Row],[PrimaTécnica]]*SUM(Table3[[#This Row],[Gastos Adm]:[Cobranza]])</f>
        <v>2624.9146065792002</v>
      </c>
      <c r="E43">
        <v>0</v>
      </c>
      <c r="F43">
        <v>0.15</v>
      </c>
      <c r="G43">
        <v>0.05</v>
      </c>
      <c r="H43">
        <v>0.01</v>
      </c>
      <c r="I43">
        <v>0.01</v>
      </c>
      <c r="J43" s="8">
        <f>Table3[[#This Row],[PrimaTécnica]]*Table3[[#This Row],[Gastos Adm]]</f>
        <v>504.79127049600004</v>
      </c>
      <c r="K43" s="8">
        <f>Table3[[#This Row],[PrimaTécnica]]*Table3[[#This Row],[Utilidad]]</f>
        <v>168.26375683200001</v>
      </c>
      <c r="L43" s="8">
        <f>Table3[[#This Row],[PrimaTécnica]]*Table3[[#This Row],[Marketing]]</f>
        <v>33.652751366400004</v>
      </c>
      <c r="M43" s="8">
        <f>Table3[[#This Row],[PrimaTécnica]]*Table3[[#This Row],[Cobranza]]</f>
        <v>33.652751366400004</v>
      </c>
      <c r="N4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3365.2751366400003</v>
      </c>
      <c r="O43">
        <v>21.84</v>
      </c>
      <c r="P43">
        <v>54.6</v>
      </c>
      <c r="Q43">
        <v>80.64</v>
      </c>
      <c r="R43">
        <v>44.377200000000002</v>
      </c>
      <c r="S43">
        <v>0.2</v>
      </c>
      <c r="T43">
        <v>0.02</v>
      </c>
      <c r="U43" s="8">
        <f>Table3[[#This Row],[PrimaNeta]]*Table3[[#This Row],[Comisión]]</f>
        <v>891.68308416000002</v>
      </c>
      <c r="V43" s="15">
        <f>Table3[[#This Row],[PrimaComercial Anual]]-Table3[[#This Row],[PrimaComercial Anual]]*SUM(Table3[[#This Row],[APS]:[IVA]])</f>
        <v>4458.4154208</v>
      </c>
      <c r="W43" s="2">
        <v>1.4800000000000001E-2</v>
      </c>
      <c r="X43" s="2">
        <v>8.4501000000000007E-2</v>
      </c>
      <c r="Y43">
        <v>0.03</v>
      </c>
      <c r="Z43">
        <v>0.13</v>
      </c>
      <c r="AA43" s="20">
        <f>Table3[[#This Row],[APS]]*Table3[[#This Row],[PrimaComercial Anual]]</f>
        <v>89.084159999999997</v>
      </c>
      <c r="AB43" s="8">
        <f>Table3[[#This Row],[PrimaComercial Anual]]*Table3[[#This Row],[Recargo adicional]]</f>
        <v>508.62841920000005</v>
      </c>
      <c r="AC43" s="8">
        <f>Table3[[#This Row],[PrimaComercial Anual]]*Table3[[#This Row],[IT]]</f>
        <v>180.57599999999999</v>
      </c>
      <c r="AD43" s="8">
        <f>Table3[[#This Row],[PrimaComercial Anual]]*Table3[[#This Row],[IVA]]</f>
        <v>782.49599999999998</v>
      </c>
      <c r="AE43" s="15">
        <f>Table3[[#This Row],[PrimaComercial Anual Asistencia]]</f>
        <v>6019.2</v>
      </c>
      <c r="AG43">
        <v>6019.2</v>
      </c>
    </row>
    <row r="44" spans="1:33" x14ac:dyDescent="0.25">
      <c r="A44" t="s">
        <v>17</v>
      </c>
      <c r="B44">
        <v>70000</v>
      </c>
      <c r="C44">
        <v>42</v>
      </c>
      <c r="D44" s="2">
        <f>Table3[[#This Row],[PrimaTécnica]]-Table3[[#This Row],[PrimaTécnica]]*SUM(Table3[[#This Row],[Gastos Adm]:[Cobranza]])</f>
        <v>2624.9146065792002</v>
      </c>
      <c r="E44">
        <v>0</v>
      </c>
      <c r="F44">
        <v>0.15</v>
      </c>
      <c r="G44">
        <v>0.05</v>
      </c>
      <c r="H44">
        <v>0.01</v>
      </c>
      <c r="I44">
        <v>0.01</v>
      </c>
      <c r="J44" s="8">
        <f>Table3[[#This Row],[PrimaTécnica]]*Table3[[#This Row],[Gastos Adm]]</f>
        <v>504.79127049600004</v>
      </c>
      <c r="K44" s="8">
        <f>Table3[[#This Row],[PrimaTécnica]]*Table3[[#This Row],[Utilidad]]</f>
        <v>168.26375683200001</v>
      </c>
      <c r="L44" s="8">
        <f>Table3[[#This Row],[PrimaTécnica]]*Table3[[#This Row],[Marketing]]</f>
        <v>33.652751366400004</v>
      </c>
      <c r="M44" s="8">
        <f>Table3[[#This Row],[PrimaTécnica]]*Table3[[#This Row],[Cobranza]]</f>
        <v>33.652751366400004</v>
      </c>
      <c r="N4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3365.2751366400003</v>
      </c>
      <c r="O44">
        <v>21.84</v>
      </c>
      <c r="P44">
        <v>54.6</v>
      </c>
      <c r="Q44">
        <v>80.64</v>
      </c>
      <c r="R44">
        <v>44.377200000000002</v>
      </c>
      <c r="S44">
        <v>0.2</v>
      </c>
      <c r="T44">
        <v>0.02</v>
      </c>
      <c r="U44" s="8">
        <f>Table3[[#This Row],[PrimaNeta]]*Table3[[#This Row],[Comisión]]</f>
        <v>891.68308416000002</v>
      </c>
      <c r="V44" s="15">
        <f>Table3[[#This Row],[PrimaComercial Anual]]-Table3[[#This Row],[PrimaComercial Anual]]*SUM(Table3[[#This Row],[APS]:[IVA]])</f>
        <v>4458.4154208</v>
      </c>
      <c r="W44" s="2">
        <v>1.4800000000000001E-2</v>
      </c>
      <c r="X44" s="2">
        <v>8.4501000000000007E-2</v>
      </c>
      <c r="Y44">
        <v>0.03</v>
      </c>
      <c r="Z44">
        <v>0.13</v>
      </c>
      <c r="AA44" s="20">
        <f>Table3[[#This Row],[APS]]*Table3[[#This Row],[PrimaComercial Anual]]</f>
        <v>89.084159999999997</v>
      </c>
      <c r="AB44" s="8">
        <f>Table3[[#This Row],[PrimaComercial Anual]]*Table3[[#This Row],[Recargo adicional]]</f>
        <v>508.62841920000005</v>
      </c>
      <c r="AC44" s="8">
        <f>Table3[[#This Row],[PrimaComercial Anual]]*Table3[[#This Row],[IT]]</f>
        <v>180.57599999999999</v>
      </c>
      <c r="AD44" s="8">
        <f>Table3[[#This Row],[PrimaComercial Anual]]*Table3[[#This Row],[IVA]]</f>
        <v>782.49599999999998</v>
      </c>
      <c r="AE44" s="15">
        <f>Table3[[#This Row],[PrimaComercial Anual Asistencia]]</f>
        <v>6019.2</v>
      </c>
      <c r="AG44">
        <v>6019.2</v>
      </c>
    </row>
    <row r="45" spans="1:33" x14ac:dyDescent="0.25">
      <c r="A45" t="s">
        <v>17</v>
      </c>
      <c r="B45">
        <v>70000</v>
      </c>
      <c r="C45">
        <v>43</v>
      </c>
      <c r="D45" s="2">
        <f>Table3[[#This Row],[PrimaTécnica]]-Table3[[#This Row],[PrimaTécnica]]*SUM(Table3[[#This Row],[Gastos Adm]:[Cobranza]])</f>
        <v>2624.9146065792002</v>
      </c>
      <c r="E45">
        <v>0</v>
      </c>
      <c r="F45">
        <v>0.15</v>
      </c>
      <c r="G45">
        <v>0.05</v>
      </c>
      <c r="H45">
        <v>0.01</v>
      </c>
      <c r="I45">
        <v>0.01</v>
      </c>
      <c r="J45" s="8">
        <f>Table3[[#This Row],[PrimaTécnica]]*Table3[[#This Row],[Gastos Adm]]</f>
        <v>504.79127049600004</v>
      </c>
      <c r="K45" s="8">
        <f>Table3[[#This Row],[PrimaTécnica]]*Table3[[#This Row],[Utilidad]]</f>
        <v>168.26375683200001</v>
      </c>
      <c r="L45" s="8">
        <f>Table3[[#This Row],[PrimaTécnica]]*Table3[[#This Row],[Marketing]]</f>
        <v>33.652751366400004</v>
      </c>
      <c r="M45" s="8">
        <f>Table3[[#This Row],[PrimaTécnica]]*Table3[[#This Row],[Cobranza]]</f>
        <v>33.652751366400004</v>
      </c>
      <c r="N4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3365.2751366400003</v>
      </c>
      <c r="O45">
        <v>21.84</v>
      </c>
      <c r="P45">
        <v>54.6</v>
      </c>
      <c r="Q45">
        <v>80.64</v>
      </c>
      <c r="R45">
        <v>44.377200000000002</v>
      </c>
      <c r="S45">
        <v>0.2</v>
      </c>
      <c r="T45">
        <v>0.02</v>
      </c>
      <c r="U45" s="8">
        <f>Table3[[#This Row],[PrimaNeta]]*Table3[[#This Row],[Comisión]]</f>
        <v>891.68308416000002</v>
      </c>
      <c r="V45" s="15">
        <f>Table3[[#This Row],[PrimaComercial Anual]]-Table3[[#This Row],[PrimaComercial Anual]]*SUM(Table3[[#This Row],[APS]:[IVA]])</f>
        <v>4458.4154208</v>
      </c>
      <c r="W45" s="2">
        <v>1.4800000000000001E-2</v>
      </c>
      <c r="X45" s="2">
        <v>8.4501000000000007E-2</v>
      </c>
      <c r="Y45">
        <v>0.03</v>
      </c>
      <c r="Z45">
        <v>0.13</v>
      </c>
      <c r="AA45" s="20">
        <f>Table3[[#This Row],[APS]]*Table3[[#This Row],[PrimaComercial Anual]]</f>
        <v>89.084159999999997</v>
      </c>
      <c r="AB45" s="8">
        <f>Table3[[#This Row],[PrimaComercial Anual]]*Table3[[#This Row],[Recargo adicional]]</f>
        <v>508.62841920000005</v>
      </c>
      <c r="AC45" s="8">
        <f>Table3[[#This Row],[PrimaComercial Anual]]*Table3[[#This Row],[IT]]</f>
        <v>180.57599999999999</v>
      </c>
      <c r="AD45" s="8">
        <f>Table3[[#This Row],[PrimaComercial Anual]]*Table3[[#This Row],[IVA]]</f>
        <v>782.49599999999998</v>
      </c>
      <c r="AE45" s="15">
        <f>Table3[[#This Row],[PrimaComercial Anual Asistencia]]</f>
        <v>6019.2</v>
      </c>
      <c r="AG45">
        <v>6019.2</v>
      </c>
    </row>
    <row r="46" spans="1:33" x14ac:dyDescent="0.25">
      <c r="A46" t="s">
        <v>17</v>
      </c>
      <c r="B46">
        <v>70000</v>
      </c>
      <c r="C46">
        <v>44</v>
      </c>
      <c r="D46" s="2">
        <f>Table3[[#This Row],[PrimaTécnica]]-Table3[[#This Row],[PrimaTécnica]]*SUM(Table3[[#This Row],[Gastos Adm]:[Cobranza]])</f>
        <v>2624.9146065792002</v>
      </c>
      <c r="E46">
        <v>0</v>
      </c>
      <c r="F46">
        <v>0.15</v>
      </c>
      <c r="G46">
        <v>0.05</v>
      </c>
      <c r="H46">
        <v>0.01</v>
      </c>
      <c r="I46">
        <v>0.01</v>
      </c>
      <c r="J46" s="8">
        <f>Table3[[#This Row],[PrimaTécnica]]*Table3[[#This Row],[Gastos Adm]]</f>
        <v>504.79127049600004</v>
      </c>
      <c r="K46" s="8">
        <f>Table3[[#This Row],[PrimaTécnica]]*Table3[[#This Row],[Utilidad]]</f>
        <v>168.26375683200001</v>
      </c>
      <c r="L46" s="8">
        <f>Table3[[#This Row],[PrimaTécnica]]*Table3[[#This Row],[Marketing]]</f>
        <v>33.652751366400004</v>
      </c>
      <c r="M46" s="8">
        <f>Table3[[#This Row],[PrimaTécnica]]*Table3[[#This Row],[Cobranza]]</f>
        <v>33.652751366400004</v>
      </c>
      <c r="N4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3365.2751366400003</v>
      </c>
      <c r="O46">
        <v>21.84</v>
      </c>
      <c r="P46">
        <v>54.6</v>
      </c>
      <c r="Q46">
        <v>80.64</v>
      </c>
      <c r="R46">
        <v>44.377200000000002</v>
      </c>
      <c r="S46">
        <v>0.2</v>
      </c>
      <c r="T46">
        <v>0.02</v>
      </c>
      <c r="U46" s="8">
        <f>Table3[[#This Row],[PrimaNeta]]*Table3[[#This Row],[Comisión]]</f>
        <v>891.68308416000002</v>
      </c>
      <c r="V46" s="15">
        <f>Table3[[#This Row],[PrimaComercial Anual]]-Table3[[#This Row],[PrimaComercial Anual]]*SUM(Table3[[#This Row],[APS]:[IVA]])</f>
        <v>4458.4154208</v>
      </c>
      <c r="W46" s="2">
        <v>1.4800000000000001E-2</v>
      </c>
      <c r="X46" s="2">
        <v>8.4501000000000007E-2</v>
      </c>
      <c r="Y46">
        <v>0.03</v>
      </c>
      <c r="Z46">
        <v>0.13</v>
      </c>
      <c r="AA46" s="20">
        <f>Table3[[#This Row],[APS]]*Table3[[#This Row],[PrimaComercial Anual]]</f>
        <v>89.084159999999997</v>
      </c>
      <c r="AB46" s="8">
        <f>Table3[[#This Row],[PrimaComercial Anual]]*Table3[[#This Row],[Recargo adicional]]</f>
        <v>508.62841920000005</v>
      </c>
      <c r="AC46" s="8">
        <f>Table3[[#This Row],[PrimaComercial Anual]]*Table3[[#This Row],[IT]]</f>
        <v>180.57599999999999</v>
      </c>
      <c r="AD46" s="8">
        <f>Table3[[#This Row],[PrimaComercial Anual]]*Table3[[#This Row],[IVA]]</f>
        <v>782.49599999999998</v>
      </c>
      <c r="AE46" s="15">
        <f>Table3[[#This Row],[PrimaComercial Anual Asistencia]]</f>
        <v>6019.2</v>
      </c>
      <c r="AG46">
        <v>6019.2</v>
      </c>
    </row>
    <row r="47" spans="1:33" x14ac:dyDescent="0.25">
      <c r="A47" t="s">
        <v>17</v>
      </c>
      <c r="B47">
        <v>70000</v>
      </c>
      <c r="C47">
        <v>45</v>
      </c>
      <c r="D47" s="2">
        <f>Table3[[#This Row],[PrimaTécnica]]-Table3[[#This Row],[PrimaTécnica]]*SUM(Table3[[#This Row],[Gastos Adm]:[Cobranza]])</f>
        <v>2624.9146065792002</v>
      </c>
      <c r="E47">
        <v>0</v>
      </c>
      <c r="F47">
        <v>0.15</v>
      </c>
      <c r="G47">
        <v>0.05</v>
      </c>
      <c r="H47">
        <v>0.01</v>
      </c>
      <c r="I47">
        <v>0.01</v>
      </c>
      <c r="J47" s="8">
        <f>Table3[[#This Row],[PrimaTécnica]]*Table3[[#This Row],[Gastos Adm]]</f>
        <v>504.79127049600004</v>
      </c>
      <c r="K47" s="8">
        <f>Table3[[#This Row],[PrimaTécnica]]*Table3[[#This Row],[Utilidad]]</f>
        <v>168.26375683200001</v>
      </c>
      <c r="L47" s="8">
        <f>Table3[[#This Row],[PrimaTécnica]]*Table3[[#This Row],[Marketing]]</f>
        <v>33.652751366400004</v>
      </c>
      <c r="M47" s="8">
        <f>Table3[[#This Row],[PrimaTécnica]]*Table3[[#This Row],[Cobranza]]</f>
        <v>33.652751366400004</v>
      </c>
      <c r="N4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3365.2751366400003</v>
      </c>
      <c r="O47">
        <v>21.84</v>
      </c>
      <c r="P47">
        <v>54.6</v>
      </c>
      <c r="Q47">
        <v>80.64</v>
      </c>
      <c r="R47">
        <v>44.377200000000002</v>
      </c>
      <c r="S47">
        <v>0.2</v>
      </c>
      <c r="T47">
        <v>0.02</v>
      </c>
      <c r="U47" s="8">
        <f>Table3[[#This Row],[PrimaNeta]]*Table3[[#This Row],[Comisión]]</f>
        <v>891.68308416000002</v>
      </c>
      <c r="V47" s="15">
        <f>Table3[[#This Row],[PrimaComercial Anual]]-Table3[[#This Row],[PrimaComercial Anual]]*SUM(Table3[[#This Row],[APS]:[IVA]])</f>
        <v>4458.4154208</v>
      </c>
      <c r="W47" s="2">
        <v>1.4800000000000001E-2</v>
      </c>
      <c r="X47" s="2">
        <v>8.4501000000000007E-2</v>
      </c>
      <c r="Y47">
        <v>0.03</v>
      </c>
      <c r="Z47">
        <v>0.13</v>
      </c>
      <c r="AA47" s="20">
        <f>Table3[[#This Row],[APS]]*Table3[[#This Row],[PrimaComercial Anual]]</f>
        <v>89.084159999999997</v>
      </c>
      <c r="AB47" s="8">
        <f>Table3[[#This Row],[PrimaComercial Anual]]*Table3[[#This Row],[Recargo adicional]]</f>
        <v>508.62841920000005</v>
      </c>
      <c r="AC47" s="8">
        <f>Table3[[#This Row],[PrimaComercial Anual]]*Table3[[#This Row],[IT]]</f>
        <v>180.57599999999999</v>
      </c>
      <c r="AD47" s="8">
        <f>Table3[[#This Row],[PrimaComercial Anual]]*Table3[[#This Row],[IVA]]</f>
        <v>782.49599999999998</v>
      </c>
      <c r="AE47" s="15">
        <f>Table3[[#This Row],[PrimaComercial Anual Asistencia]]</f>
        <v>6019.2</v>
      </c>
      <c r="AG47">
        <v>6019.2</v>
      </c>
    </row>
    <row r="48" spans="1:33" x14ac:dyDescent="0.25">
      <c r="A48" t="s">
        <v>17</v>
      </c>
      <c r="B48">
        <v>70000</v>
      </c>
      <c r="C48">
        <v>46</v>
      </c>
      <c r="D48" s="2">
        <f>Table3[[#This Row],[PrimaTécnica]]-Table3[[#This Row],[PrimaTécnica]]*SUM(Table3[[#This Row],[Gastos Adm]:[Cobranza]])</f>
        <v>2624.9146065792002</v>
      </c>
      <c r="E48">
        <v>0</v>
      </c>
      <c r="F48">
        <v>0.15</v>
      </c>
      <c r="G48">
        <v>0.05</v>
      </c>
      <c r="H48">
        <v>0.01</v>
      </c>
      <c r="I48">
        <v>0.01</v>
      </c>
      <c r="J48" s="8">
        <f>Table3[[#This Row],[PrimaTécnica]]*Table3[[#This Row],[Gastos Adm]]</f>
        <v>504.79127049600004</v>
      </c>
      <c r="K48" s="8">
        <f>Table3[[#This Row],[PrimaTécnica]]*Table3[[#This Row],[Utilidad]]</f>
        <v>168.26375683200001</v>
      </c>
      <c r="L48" s="8">
        <f>Table3[[#This Row],[PrimaTécnica]]*Table3[[#This Row],[Marketing]]</f>
        <v>33.652751366400004</v>
      </c>
      <c r="M48" s="8">
        <f>Table3[[#This Row],[PrimaTécnica]]*Table3[[#This Row],[Cobranza]]</f>
        <v>33.652751366400004</v>
      </c>
      <c r="N4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3365.2751366400003</v>
      </c>
      <c r="O48">
        <v>21.84</v>
      </c>
      <c r="P48">
        <v>54.6</v>
      </c>
      <c r="Q48">
        <v>80.64</v>
      </c>
      <c r="R48">
        <v>44.377200000000002</v>
      </c>
      <c r="S48">
        <v>0.2</v>
      </c>
      <c r="T48">
        <v>0.02</v>
      </c>
      <c r="U48" s="8">
        <f>Table3[[#This Row],[PrimaNeta]]*Table3[[#This Row],[Comisión]]</f>
        <v>891.68308416000002</v>
      </c>
      <c r="V48" s="15">
        <f>Table3[[#This Row],[PrimaComercial Anual]]-Table3[[#This Row],[PrimaComercial Anual]]*SUM(Table3[[#This Row],[APS]:[IVA]])</f>
        <v>4458.4154208</v>
      </c>
      <c r="W48" s="2">
        <v>1.4800000000000001E-2</v>
      </c>
      <c r="X48" s="2">
        <v>8.4501000000000007E-2</v>
      </c>
      <c r="Y48">
        <v>0.03</v>
      </c>
      <c r="Z48">
        <v>0.13</v>
      </c>
      <c r="AA48" s="20">
        <f>Table3[[#This Row],[APS]]*Table3[[#This Row],[PrimaComercial Anual]]</f>
        <v>89.084159999999997</v>
      </c>
      <c r="AB48" s="8">
        <f>Table3[[#This Row],[PrimaComercial Anual]]*Table3[[#This Row],[Recargo adicional]]</f>
        <v>508.62841920000005</v>
      </c>
      <c r="AC48" s="8">
        <f>Table3[[#This Row],[PrimaComercial Anual]]*Table3[[#This Row],[IT]]</f>
        <v>180.57599999999999</v>
      </c>
      <c r="AD48" s="8">
        <f>Table3[[#This Row],[PrimaComercial Anual]]*Table3[[#This Row],[IVA]]</f>
        <v>782.49599999999998</v>
      </c>
      <c r="AE48" s="15">
        <f>Table3[[#This Row],[PrimaComercial Anual Asistencia]]</f>
        <v>6019.2</v>
      </c>
      <c r="AG48">
        <v>6019.2</v>
      </c>
    </row>
    <row r="49" spans="1:33" x14ac:dyDescent="0.25">
      <c r="A49" t="s">
        <v>17</v>
      </c>
      <c r="B49">
        <v>70000</v>
      </c>
      <c r="C49">
        <v>47</v>
      </c>
      <c r="D49" s="2">
        <f>Table3[[#This Row],[PrimaTécnica]]-Table3[[#This Row],[PrimaTécnica]]*SUM(Table3[[#This Row],[Gastos Adm]:[Cobranza]])</f>
        <v>2624.9146065792002</v>
      </c>
      <c r="E49">
        <v>0</v>
      </c>
      <c r="F49">
        <v>0.15</v>
      </c>
      <c r="G49">
        <v>0.05</v>
      </c>
      <c r="H49">
        <v>0.01</v>
      </c>
      <c r="I49">
        <v>0.01</v>
      </c>
      <c r="J49" s="8">
        <f>Table3[[#This Row],[PrimaTécnica]]*Table3[[#This Row],[Gastos Adm]]</f>
        <v>504.79127049600004</v>
      </c>
      <c r="K49" s="8">
        <f>Table3[[#This Row],[PrimaTécnica]]*Table3[[#This Row],[Utilidad]]</f>
        <v>168.26375683200001</v>
      </c>
      <c r="L49" s="8">
        <f>Table3[[#This Row],[PrimaTécnica]]*Table3[[#This Row],[Marketing]]</f>
        <v>33.652751366400004</v>
      </c>
      <c r="M49" s="8">
        <f>Table3[[#This Row],[PrimaTécnica]]*Table3[[#This Row],[Cobranza]]</f>
        <v>33.652751366400004</v>
      </c>
      <c r="N4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3365.2751366400003</v>
      </c>
      <c r="O49">
        <v>21.84</v>
      </c>
      <c r="P49">
        <v>54.6</v>
      </c>
      <c r="Q49">
        <v>80.64</v>
      </c>
      <c r="R49">
        <v>44.377200000000002</v>
      </c>
      <c r="S49">
        <v>0.2</v>
      </c>
      <c r="T49">
        <v>0.02</v>
      </c>
      <c r="U49" s="8">
        <f>Table3[[#This Row],[PrimaNeta]]*Table3[[#This Row],[Comisión]]</f>
        <v>891.68308416000002</v>
      </c>
      <c r="V49" s="15">
        <f>Table3[[#This Row],[PrimaComercial Anual]]-Table3[[#This Row],[PrimaComercial Anual]]*SUM(Table3[[#This Row],[APS]:[IVA]])</f>
        <v>4458.4154208</v>
      </c>
      <c r="W49" s="2">
        <v>1.4800000000000001E-2</v>
      </c>
      <c r="X49" s="2">
        <v>8.4501000000000007E-2</v>
      </c>
      <c r="Y49">
        <v>0.03</v>
      </c>
      <c r="Z49">
        <v>0.13</v>
      </c>
      <c r="AA49" s="20">
        <f>Table3[[#This Row],[APS]]*Table3[[#This Row],[PrimaComercial Anual]]</f>
        <v>89.084159999999997</v>
      </c>
      <c r="AB49" s="8">
        <f>Table3[[#This Row],[PrimaComercial Anual]]*Table3[[#This Row],[Recargo adicional]]</f>
        <v>508.62841920000005</v>
      </c>
      <c r="AC49" s="8">
        <f>Table3[[#This Row],[PrimaComercial Anual]]*Table3[[#This Row],[IT]]</f>
        <v>180.57599999999999</v>
      </c>
      <c r="AD49" s="8">
        <f>Table3[[#This Row],[PrimaComercial Anual]]*Table3[[#This Row],[IVA]]</f>
        <v>782.49599999999998</v>
      </c>
      <c r="AE49" s="15">
        <f>Table3[[#This Row],[PrimaComercial Anual Asistencia]]</f>
        <v>6019.2</v>
      </c>
      <c r="AG49">
        <v>6019.2</v>
      </c>
    </row>
    <row r="50" spans="1:33" x14ac:dyDescent="0.25">
      <c r="A50" t="s">
        <v>17</v>
      </c>
      <c r="B50">
        <v>70000</v>
      </c>
      <c r="C50">
        <v>48</v>
      </c>
      <c r="D50" s="2">
        <f>Table3[[#This Row],[PrimaTécnica]]-Table3[[#This Row],[PrimaTécnica]]*SUM(Table3[[#This Row],[Gastos Adm]:[Cobranza]])</f>
        <v>2624.9146065792002</v>
      </c>
      <c r="E50">
        <v>0</v>
      </c>
      <c r="F50">
        <v>0.15</v>
      </c>
      <c r="G50">
        <v>0.05</v>
      </c>
      <c r="H50">
        <v>0.01</v>
      </c>
      <c r="I50">
        <v>0.01</v>
      </c>
      <c r="J50" s="8">
        <f>Table3[[#This Row],[PrimaTécnica]]*Table3[[#This Row],[Gastos Adm]]</f>
        <v>504.79127049600004</v>
      </c>
      <c r="K50" s="8">
        <f>Table3[[#This Row],[PrimaTécnica]]*Table3[[#This Row],[Utilidad]]</f>
        <v>168.26375683200001</v>
      </c>
      <c r="L50" s="8">
        <f>Table3[[#This Row],[PrimaTécnica]]*Table3[[#This Row],[Marketing]]</f>
        <v>33.652751366400004</v>
      </c>
      <c r="M50" s="8">
        <f>Table3[[#This Row],[PrimaTécnica]]*Table3[[#This Row],[Cobranza]]</f>
        <v>33.652751366400004</v>
      </c>
      <c r="N5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3365.2751366400003</v>
      </c>
      <c r="O50">
        <v>21.84</v>
      </c>
      <c r="P50">
        <v>54.6</v>
      </c>
      <c r="Q50">
        <v>80.64</v>
      </c>
      <c r="R50">
        <v>44.377200000000002</v>
      </c>
      <c r="S50">
        <v>0.2</v>
      </c>
      <c r="T50">
        <v>0.02</v>
      </c>
      <c r="U50" s="8">
        <f>Table3[[#This Row],[PrimaNeta]]*Table3[[#This Row],[Comisión]]</f>
        <v>891.68308416000002</v>
      </c>
      <c r="V50" s="15">
        <f>Table3[[#This Row],[PrimaComercial Anual]]-Table3[[#This Row],[PrimaComercial Anual]]*SUM(Table3[[#This Row],[APS]:[IVA]])</f>
        <v>4458.4154208</v>
      </c>
      <c r="W50" s="2">
        <v>1.4800000000000001E-2</v>
      </c>
      <c r="X50" s="2">
        <v>8.4501000000000007E-2</v>
      </c>
      <c r="Y50">
        <v>0.03</v>
      </c>
      <c r="Z50">
        <v>0.13</v>
      </c>
      <c r="AA50" s="20">
        <f>Table3[[#This Row],[APS]]*Table3[[#This Row],[PrimaComercial Anual]]</f>
        <v>89.084159999999997</v>
      </c>
      <c r="AB50" s="8">
        <f>Table3[[#This Row],[PrimaComercial Anual]]*Table3[[#This Row],[Recargo adicional]]</f>
        <v>508.62841920000005</v>
      </c>
      <c r="AC50" s="8">
        <f>Table3[[#This Row],[PrimaComercial Anual]]*Table3[[#This Row],[IT]]</f>
        <v>180.57599999999999</v>
      </c>
      <c r="AD50" s="8">
        <f>Table3[[#This Row],[PrimaComercial Anual]]*Table3[[#This Row],[IVA]]</f>
        <v>782.49599999999998</v>
      </c>
      <c r="AE50" s="15">
        <f>Table3[[#This Row],[PrimaComercial Anual Asistencia]]</f>
        <v>6019.2</v>
      </c>
      <c r="AG50">
        <v>6019.2</v>
      </c>
    </row>
    <row r="51" spans="1:33" x14ac:dyDescent="0.25">
      <c r="A51" t="s">
        <v>17</v>
      </c>
      <c r="B51">
        <v>70000</v>
      </c>
      <c r="C51">
        <v>49</v>
      </c>
      <c r="D51" s="2">
        <f>Table3[[#This Row],[PrimaTécnica]]-Table3[[#This Row],[PrimaTécnica]]*SUM(Table3[[#This Row],[Gastos Adm]:[Cobranza]])</f>
        <v>2624.9146065792002</v>
      </c>
      <c r="E51">
        <v>0</v>
      </c>
      <c r="F51">
        <v>0.15</v>
      </c>
      <c r="G51">
        <v>0.05</v>
      </c>
      <c r="H51">
        <v>0.01</v>
      </c>
      <c r="I51">
        <v>0.01</v>
      </c>
      <c r="J51" s="8">
        <f>Table3[[#This Row],[PrimaTécnica]]*Table3[[#This Row],[Gastos Adm]]</f>
        <v>504.79127049600004</v>
      </c>
      <c r="K51" s="8">
        <f>Table3[[#This Row],[PrimaTécnica]]*Table3[[#This Row],[Utilidad]]</f>
        <v>168.26375683200001</v>
      </c>
      <c r="L51" s="8">
        <f>Table3[[#This Row],[PrimaTécnica]]*Table3[[#This Row],[Marketing]]</f>
        <v>33.652751366400004</v>
      </c>
      <c r="M51" s="8">
        <f>Table3[[#This Row],[PrimaTécnica]]*Table3[[#This Row],[Cobranza]]</f>
        <v>33.652751366400004</v>
      </c>
      <c r="N5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3365.2751366400003</v>
      </c>
      <c r="O51">
        <v>21.84</v>
      </c>
      <c r="P51">
        <v>54.6</v>
      </c>
      <c r="Q51">
        <v>80.64</v>
      </c>
      <c r="R51">
        <v>44.377200000000002</v>
      </c>
      <c r="S51">
        <v>0.2</v>
      </c>
      <c r="T51">
        <v>0.02</v>
      </c>
      <c r="U51" s="8">
        <f>Table3[[#This Row],[PrimaNeta]]*Table3[[#This Row],[Comisión]]</f>
        <v>891.68308416000002</v>
      </c>
      <c r="V51" s="15">
        <f>Table3[[#This Row],[PrimaComercial Anual]]-Table3[[#This Row],[PrimaComercial Anual]]*SUM(Table3[[#This Row],[APS]:[IVA]])</f>
        <v>4458.4154208</v>
      </c>
      <c r="W51" s="2">
        <v>1.4800000000000001E-2</v>
      </c>
      <c r="X51" s="2">
        <v>8.4501000000000007E-2</v>
      </c>
      <c r="Y51">
        <v>0.03</v>
      </c>
      <c r="Z51">
        <v>0.13</v>
      </c>
      <c r="AA51" s="20">
        <f>Table3[[#This Row],[APS]]*Table3[[#This Row],[PrimaComercial Anual]]</f>
        <v>89.084159999999997</v>
      </c>
      <c r="AB51" s="8">
        <f>Table3[[#This Row],[PrimaComercial Anual]]*Table3[[#This Row],[Recargo adicional]]</f>
        <v>508.62841920000005</v>
      </c>
      <c r="AC51" s="8">
        <f>Table3[[#This Row],[PrimaComercial Anual]]*Table3[[#This Row],[IT]]</f>
        <v>180.57599999999999</v>
      </c>
      <c r="AD51" s="8">
        <f>Table3[[#This Row],[PrimaComercial Anual]]*Table3[[#This Row],[IVA]]</f>
        <v>782.49599999999998</v>
      </c>
      <c r="AE51" s="15">
        <f>Table3[[#This Row],[PrimaComercial Anual Asistencia]]</f>
        <v>6019.2</v>
      </c>
      <c r="AG51">
        <v>6019.2</v>
      </c>
    </row>
    <row r="52" spans="1:33" s="17" customFormat="1" x14ac:dyDescent="0.25">
      <c r="A52" s="17" t="s">
        <v>17</v>
      </c>
      <c r="B52" s="17">
        <v>70000</v>
      </c>
      <c r="C52" s="17">
        <v>50</v>
      </c>
      <c r="D52" s="17">
        <f>Table3[[#This Row],[PrimaTécnica]]-Table3[[#This Row],[PrimaTécnica]]*SUM(Table3[[#This Row],[Gastos Adm]:[Cobranza]])</f>
        <v>3436.3462131647993</v>
      </c>
      <c r="E52" s="17">
        <v>0</v>
      </c>
      <c r="F52" s="17">
        <v>0.15</v>
      </c>
      <c r="G52" s="17">
        <v>0.05</v>
      </c>
      <c r="H52" s="17">
        <v>0.01</v>
      </c>
      <c r="I52" s="17">
        <v>0.01</v>
      </c>
      <c r="J52" s="18">
        <f>Table3[[#This Row],[PrimaTécnica]]*Table3[[#This Row],[Gastos Adm]]</f>
        <v>660.83581022399994</v>
      </c>
      <c r="K52" s="18">
        <f>Table3[[#This Row],[PrimaTécnica]]*Table3[[#This Row],[Utilidad]]</f>
        <v>220.27860340799998</v>
      </c>
      <c r="L52" s="18">
        <f>Table3[[#This Row],[PrimaTécnica]]*Table3[[#This Row],[Marketing]]</f>
        <v>44.0557206816</v>
      </c>
      <c r="M52" s="18">
        <f>Table3[[#This Row],[PrimaTécnica]]*Table3[[#This Row],[Cobranza]]</f>
        <v>44.0557206816</v>
      </c>
      <c r="N52" s="17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52" s="17">
        <v>21.84</v>
      </c>
      <c r="P52" s="17">
        <v>54.6</v>
      </c>
      <c r="Q52" s="17">
        <v>80.64</v>
      </c>
      <c r="R52" s="17">
        <v>44.377200000000002</v>
      </c>
      <c r="S52" s="17">
        <v>0.2</v>
      </c>
      <c r="T52" s="17">
        <v>0.02</v>
      </c>
      <c r="U52" s="18">
        <f>Table3[[#This Row],[PrimaNeta]]*Table3[[#This Row],[Comisión]]</f>
        <v>1151.7573170400001</v>
      </c>
      <c r="V52" s="19">
        <f>Table3[[#This Row],[PrimaComercial Anual]]-Table3[[#This Row],[PrimaComercial Anual]]*SUM(Table3[[#This Row],[APS]:[IVA]])</f>
        <v>5758.7865852000004</v>
      </c>
      <c r="W52" s="2">
        <v>1.4800000000000001E-2</v>
      </c>
      <c r="X52" s="2">
        <v>8.4501000000000007E-2</v>
      </c>
      <c r="Y52" s="17">
        <v>0.03</v>
      </c>
      <c r="Z52" s="17">
        <v>0.13</v>
      </c>
      <c r="AA52" s="19">
        <f>Table3[[#This Row],[APS]]*Table3[[#This Row],[PrimaComercial Anual]]</f>
        <v>115.06704000000001</v>
      </c>
      <c r="AB52" s="18">
        <f>Table3[[#This Row],[PrimaComercial Anual]]*Table3[[#This Row],[Recargo adicional]]</f>
        <v>656.9783748000001</v>
      </c>
      <c r="AC52" s="18">
        <f>Table3[[#This Row],[PrimaComercial Anual]]*Table3[[#This Row],[IT]]</f>
        <v>233.244</v>
      </c>
      <c r="AD52" s="18">
        <f>Table3[[#This Row],[PrimaComercial Anual]]*Table3[[#This Row],[IVA]]</f>
        <v>1010.724</v>
      </c>
      <c r="AE52" s="19">
        <f>Table3[[#This Row],[PrimaComercial Anual Asistencia]]</f>
        <v>7774.8</v>
      </c>
      <c r="AG52" s="17">
        <v>7774.8</v>
      </c>
    </row>
    <row r="53" spans="1:33" x14ac:dyDescent="0.25">
      <c r="A53" t="s">
        <v>17</v>
      </c>
      <c r="B53">
        <v>70000</v>
      </c>
      <c r="C53">
        <v>51</v>
      </c>
      <c r="D53" s="2">
        <f>Table3[[#This Row],[PrimaTécnica]]-Table3[[#This Row],[PrimaTécnica]]*SUM(Table3[[#This Row],[Gastos Adm]:[Cobranza]])</f>
        <v>3436.3462131647993</v>
      </c>
      <c r="E53">
        <v>0</v>
      </c>
      <c r="F53">
        <v>0.15</v>
      </c>
      <c r="G53">
        <v>0.05</v>
      </c>
      <c r="H53">
        <v>0.01</v>
      </c>
      <c r="I53">
        <v>0.01</v>
      </c>
      <c r="J53" s="8">
        <f>Table3[[#This Row],[PrimaTécnica]]*Table3[[#This Row],[Gastos Adm]]</f>
        <v>660.83581022399994</v>
      </c>
      <c r="K53" s="8">
        <f>Table3[[#This Row],[PrimaTécnica]]*Table3[[#This Row],[Utilidad]]</f>
        <v>220.27860340799998</v>
      </c>
      <c r="L53" s="8">
        <f>Table3[[#This Row],[PrimaTécnica]]*Table3[[#This Row],[Marketing]]</f>
        <v>44.0557206816</v>
      </c>
      <c r="M53" s="8">
        <f>Table3[[#This Row],[PrimaTécnica]]*Table3[[#This Row],[Cobranza]]</f>
        <v>44.0557206816</v>
      </c>
      <c r="N5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53">
        <v>21.84</v>
      </c>
      <c r="P53">
        <v>54.6</v>
      </c>
      <c r="Q53">
        <v>80.64</v>
      </c>
      <c r="R53">
        <v>44.377200000000002</v>
      </c>
      <c r="S53">
        <v>0.2</v>
      </c>
      <c r="T53">
        <v>0.02</v>
      </c>
      <c r="U53" s="8">
        <f>Table3[[#This Row],[PrimaNeta]]*Table3[[#This Row],[Comisión]]</f>
        <v>1151.7573170400001</v>
      </c>
      <c r="V53" s="15">
        <f>Table3[[#This Row],[PrimaComercial Anual]]-Table3[[#This Row],[PrimaComercial Anual]]*SUM(Table3[[#This Row],[APS]:[IVA]])</f>
        <v>5758.7865852000004</v>
      </c>
      <c r="W53" s="2">
        <v>1.4800000000000001E-2</v>
      </c>
      <c r="X53" s="2">
        <v>8.4501000000000007E-2</v>
      </c>
      <c r="Y53">
        <v>0.03</v>
      </c>
      <c r="Z53">
        <v>0.13</v>
      </c>
      <c r="AA53" s="20">
        <f>Table3[[#This Row],[APS]]*Table3[[#This Row],[PrimaComercial Anual]]</f>
        <v>115.06704000000001</v>
      </c>
      <c r="AB53" s="8">
        <f>Table3[[#This Row],[PrimaComercial Anual]]*Table3[[#This Row],[Recargo adicional]]</f>
        <v>656.9783748000001</v>
      </c>
      <c r="AC53" s="8">
        <f>Table3[[#This Row],[PrimaComercial Anual]]*Table3[[#This Row],[IT]]</f>
        <v>233.244</v>
      </c>
      <c r="AD53" s="8">
        <f>Table3[[#This Row],[PrimaComercial Anual]]*Table3[[#This Row],[IVA]]</f>
        <v>1010.724</v>
      </c>
      <c r="AE53" s="15">
        <f>Table3[[#This Row],[PrimaComercial Anual Asistencia]]</f>
        <v>7774.8</v>
      </c>
      <c r="AG53">
        <v>7774.8</v>
      </c>
    </row>
    <row r="54" spans="1:33" x14ac:dyDescent="0.25">
      <c r="A54" t="s">
        <v>17</v>
      </c>
      <c r="B54">
        <v>70000</v>
      </c>
      <c r="C54">
        <v>52</v>
      </c>
      <c r="D54" s="2">
        <f>Table3[[#This Row],[PrimaTécnica]]-Table3[[#This Row],[PrimaTécnica]]*SUM(Table3[[#This Row],[Gastos Adm]:[Cobranza]])</f>
        <v>3436.3462131647993</v>
      </c>
      <c r="E54">
        <v>0</v>
      </c>
      <c r="F54">
        <v>0.15</v>
      </c>
      <c r="G54">
        <v>0.05</v>
      </c>
      <c r="H54">
        <v>0.01</v>
      </c>
      <c r="I54">
        <v>0.01</v>
      </c>
      <c r="J54" s="8">
        <f>Table3[[#This Row],[PrimaTécnica]]*Table3[[#This Row],[Gastos Adm]]</f>
        <v>660.83581022399994</v>
      </c>
      <c r="K54" s="8">
        <f>Table3[[#This Row],[PrimaTécnica]]*Table3[[#This Row],[Utilidad]]</f>
        <v>220.27860340799998</v>
      </c>
      <c r="L54" s="8">
        <f>Table3[[#This Row],[PrimaTécnica]]*Table3[[#This Row],[Marketing]]</f>
        <v>44.0557206816</v>
      </c>
      <c r="M54" s="8">
        <f>Table3[[#This Row],[PrimaTécnica]]*Table3[[#This Row],[Cobranza]]</f>
        <v>44.0557206816</v>
      </c>
      <c r="N5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54">
        <v>21.84</v>
      </c>
      <c r="P54">
        <v>54.6</v>
      </c>
      <c r="Q54">
        <v>80.64</v>
      </c>
      <c r="R54">
        <v>44.377200000000002</v>
      </c>
      <c r="S54">
        <v>0.2</v>
      </c>
      <c r="T54">
        <v>0.02</v>
      </c>
      <c r="U54" s="8">
        <f>Table3[[#This Row],[PrimaNeta]]*Table3[[#This Row],[Comisión]]</f>
        <v>1151.7573170400001</v>
      </c>
      <c r="V54" s="15">
        <f>Table3[[#This Row],[PrimaComercial Anual]]-Table3[[#This Row],[PrimaComercial Anual]]*SUM(Table3[[#This Row],[APS]:[IVA]])</f>
        <v>5758.7865852000004</v>
      </c>
      <c r="W54" s="2">
        <v>1.4800000000000001E-2</v>
      </c>
      <c r="X54" s="2">
        <v>8.4501000000000007E-2</v>
      </c>
      <c r="Y54">
        <v>0.03</v>
      </c>
      <c r="Z54">
        <v>0.13</v>
      </c>
      <c r="AA54" s="20">
        <f>Table3[[#This Row],[APS]]*Table3[[#This Row],[PrimaComercial Anual]]</f>
        <v>115.06704000000001</v>
      </c>
      <c r="AB54" s="8">
        <f>Table3[[#This Row],[PrimaComercial Anual]]*Table3[[#This Row],[Recargo adicional]]</f>
        <v>656.9783748000001</v>
      </c>
      <c r="AC54" s="8">
        <f>Table3[[#This Row],[PrimaComercial Anual]]*Table3[[#This Row],[IT]]</f>
        <v>233.244</v>
      </c>
      <c r="AD54" s="8">
        <f>Table3[[#This Row],[PrimaComercial Anual]]*Table3[[#This Row],[IVA]]</f>
        <v>1010.724</v>
      </c>
      <c r="AE54" s="15">
        <f>Table3[[#This Row],[PrimaComercial Anual Asistencia]]</f>
        <v>7774.8</v>
      </c>
      <c r="AG54">
        <v>7774.8</v>
      </c>
    </row>
    <row r="55" spans="1:33" x14ac:dyDescent="0.25">
      <c r="A55" t="s">
        <v>17</v>
      </c>
      <c r="B55">
        <v>70000</v>
      </c>
      <c r="C55">
        <v>53</v>
      </c>
      <c r="D55" s="2">
        <f>Table3[[#This Row],[PrimaTécnica]]-Table3[[#This Row],[PrimaTécnica]]*SUM(Table3[[#This Row],[Gastos Adm]:[Cobranza]])</f>
        <v>3436.3462131647993</v>
      </c>
      <c r="E55">
        <v>0</v>
      </c>
      <c r="F55">
        <v>0.15</v>
      </c>
      <c r="G55">
        <v>0.05</v>
      </c>
      <c r="H55">
        <v>0.01</v>
      </c>
      <c r="I55">
        <v>0.01</v>
      </c>
      <c r="J55" s="8">
        <f>Table3[[#This Row],[PrimaTécnica]]*Table3[[#This Row],[Gastos Adm]]</f>
        <v>660.83581022399994</v>
      </c>
      <c r="K55" s="8">
        <f>Table3[[#This Row],[PrimaTécnica]]*Table3[[#This Row],[Utilidad]]</f>
        <v>220.27860340799998</v>
      </c>
      <c r="L55" s="8">
        <f>Table3[[#This Row],[PrimaTécnica]]*Table3[[#This Row],[Marketing]]</f>
        <v>44.0557206816</v>
      </c>
      <c r="M55" s="8">
        <f>Table3[[#This Row],[PrimaTécnica]]*Table3[[#This Row],[Cobranza]]</f>
        <v>44.0557206816</v>
      </c>
      <c r="N5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55">
        <v>21.84</v>
      </c>
      <c r="P55">
        <v>54.6</v>
      </c>
      <c r="Q55">
        <v>80.64</v>
      </c>
      <c r="R55">
        <v>44.377200000000002</v>
      </c>
      <c r="S55">
        <v>0.2</v>
      </c>
      <c r="T55">
        <v>0.02</v>
      </c>
      <c r="U55" s="8">
        <f>Table3[[#This Row],[PrimaNeta]]*Table3[[#This Row],[Comisión]]</f>
        <v>1151.7573170400001</v>
      </c>
      <c r="V55" s="15">
        <f>Table3[[#This Row],[PrimaComercial Anual]]-Table3[[#This Row],[PrimaComercial Anual]]*SUM(Table3[[#This Row],[APS]:[IVA]])</f>
        <v>5758.7865852000004</v>
      </c>
      <c r="W55" s="2">
        <v>1.4800000000000001E-2</v>
      </c>
      <c r="X55" s="2">
        <v>8.4501000000000007E-2</v>
      </c>
      <c r="Y55">
        <v>0.03</v>
      </c>
      <c r="Z55">
        <v>0.13</v>
      </c>
      <c r="AA55" s="20">
        <f>Table3[[#This Row],[APS]]*Table3[[#This Row],[PrimaComercial Anual]]</f>
        <v>115.06704000000001</v>
      </c>
      <c r="AB55" s="8">
        <f>Table3[[#This Row],[PrimaComercial Anual]]*Table3[[#This Row],[Recargo adicional]]</f>
        <v>656.9783748000001</v>
      </c>
      <c r="AC55" s="8">
        <f>Table3[[#This Row],[PrimaComercial Anual]]*Table3[[#This Row],[IT]]</f>
        <v>233.244</v>
      </c>
      <c r="AD55" s="8">
        <f>Table3[[#This Row],[PrimaComercial Anual]]*Table3[[#This Row],[IVA]]</f>
        <v>1010.724</v>
      </c>
      <c r="AE55" s="15">
        <f>Table3[[#This Row],[PrimaComercial Anual Asistencia]]</f>
        <v>7774.8</v>
      </c>
      <c r="AG55">
        <v>7774.8</v>
      </c>
    </row>
    <row r="56" spans="1:33" x14ac:dyDescent="0.25">
      <c r="A56" t="s">
        <v>17</v>
      </c>
      <c r="B56">
        <v>70000</v>
      </c>
      <c r="C56">
        <v>54</v>
      </c>
      <c r="D56" s="2">
        <f>Table3[[#This Row],[PrimaTécnica]]-Table3[[#This Row],[PrimaTécnica]]*SUM(Table3[[#This Row],[Gastos Adm]:[Cobranza]])</f>
        <v>3436.3462131647993</v>
      </c>
      <c r="E56">
        <v>0</v>
      </c>
      <c r="F56">
        <v>0.15</v>
      </c>
      <c r="G56">
        <v>0.05</v>
      </c>
      <c r="H56">
        <v>0.01</v>
      </c>
      <c r="I56">
        <v>0.01</v>
      </c>
      <c r="J56" s="8">
        <f>Table3[[#This Row],[PrimaTécnica]]*Table3[[#This Row],[Gastos Adm]]</f>
        <v>660.83581022399994</v>
      </c>
      <c r="K56" s="8">
        <f>Table3[[#This Row],[PrimaTécnica]]*Table3[[#This Row],[Utilidad]]</f>
        <v>220.27860340799998</v>
      </c>
      <c r="L56" s="8">
        <f>Table3[[#This Row],[PrimaTécnica]]*Table3[[#This Row],[Marketing]]</f>
        <v>44.0557206816</v>
      </c>
      <c r="M56" s="8">
        <f>Table3[[#This Row],[PrimaTécnica]]*Table3[[#This Row],[Cobranza]]</f>
        <v>44.0557206816</v>
      </c>
      <c r="N5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56">
        <v>21.84</v>
      </c>
      <c r="P56">
        <v>54.6</v>
      </c>
      <c r="Q56">
        <v>80.64</v>
      </c>
      <c r="R56">
        <v>44.377200000000002</v>
      </c>
      <c r="S56">
        <v>0.2</v>
      </c>
      <c r="T56">
        <v>0.02</v>
      </c>
      <c r="U56" s="8">
        <f>Table3[[#This Row],[PrimaNeta]]*Table3[[#This Row],[Comisión]]</f>
        <v>1151.7573170400001</v>
      </c>
      <c r="V56" s="15">
        <f>Table3[[#This Row],[PrimaComercial Anual]]-Table3[[#This Row],[PrimaComercial Anual]]*SUM(Table3[[#This Row],[APS]:[IVA]])</f>
        <v>5758.7865852000004</v>
      </c>
      <c r="W56" s="2">
        <v>1.4800000000000001E-2</v>
      </c>
      <c r="X56" s="2">
        <v>8.4501000000000007E-2</v>
      </c>
      <c r="Y56">
        <v>0.03</v>
      </c>
      <c r="Z56">
        <v>0.13</v>
      </c>
      <c r="AA56" s="20">
        <f>Table3[[#This Row],[APS]]*Table3[[#This Row],[PrimaComercial Anual]]</f>
        <v>115.06704000000001</v>
      </c>
      <c r="AB56" s="8">
        <f>Table3[[#This Row],[PrimaComercial Anual]]*Table3[[#This Row],[Recargo adicional]]</f>
        <v>656.9783748000001</v>
      </c>
      <c r="AC56" s="8">
        <f>Table3[[#This Row],[PrimaComercial Anual]]*Table3[[#This Row],[IT]]</f>
        <v>233.244</v>
      </c>
      <c r="AD56" s="8">
        <f>Table3[[#This Row],[PrimaComercial Anual]]*Table3[[#This Row],[IVA]]</f>
        <v>1010.724</v>
      </c>
      <c r="AE56" s="15">
        <f>Table3[[#This Row],[PrimaComercial Anual Asistencia]]</f>
        <v>7774.8</v>
      </c>
      <c r="AG56">
        <v>7774.8</v>
      </c>
    </row>
    <row r="57" spans="1:33" x14ac:dyDescent="0.25">
      <c r="A57" t="s">
        <v>17</v>
      </c>
      <c r="B57">
        <v>70000</v>
      </c>
      <c r="C57">
        <v>55</v>
      </c>
      <c r="D57" s="2">
        <f>Table3[[#This Row],[PrimaTécnica]]-Table3[[#This Row],[PrimaTécnica]]*SUM(Table3[[#This Row],[Gastos Adm]:[Cobranza]])</f>
        <v>3436.3462131647993</v>
      </c>
      <c r="E57">
        <v>0</v>
      </c>
      <c r="F57">
        <v>0.15</v>
      </c>
      <c r="G57">
        <v>0.05</v>
      </c>
      <c r="H57">
        <v>0.01</v>
      </c>
      <c r="I57">
        <v>0.01</v>
      </c>
      <c r="J57" s="8">
        <f>Table3[[#This Row],[PrimaTécnica]]*Table3[[#This Row],[Gastos Adm]]</f>
        <v>660.83581022399994</v>
      </c>
      <c r="K57" s="8">
        <f>Table3[[#This Row],[PrimaTécnica]]*Table3[[#This Row],[Utilidad]]</f>
        <v>220.27860340799998</v>
      </c>
      <c r="L57" s="8">
        <f>Table3[[#This Row],[PrimaTécnica]]*Table3[[#This Row],[Marketing]]</f>
        <v>44.0557206816</v>
      </c>
      <c r="M57" s="8">
        <f>Table3[[#This Row],[PrimaTécnica]]*Table3[[#This Row],[Cobranza]]</f>
        <v>44.0557206816</v>
      </c>
      <c r="N5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57">
        <v>21.84</v>
      </c>
      <c r="P57">
        <v>54.6</v>
      </c>
      <c r="Q57">
        <v>80.64</v>
      </c>
      <c r="R57">
        <v>44.377200000000002</v>
      </c>
      <c r="S57">
        <v>0.2</v>
      </c>
      <c r="T57">
        <v>0.02</v>
      </c>
      <c r="U57" s="8">
        <f>Table3[[#This Row],[PrimaNeta]]*Table3[[#This Row],[Comisión]]</f>
        <v>1151.7573170400001</v>
      </c>
      <c r="V57" s="15">
        <f>Table3[[#This Row],[PrimaComercial Anual]]-Table3[[#This Row],[PrimaComercial Anual]]*SUM(Table3[[#This Row],[APS]:[IVA]])</f>
        <v>5758.7865852000004</v>
      </c>
      <c r="W57" s="2">
        <v>1.4800000000000001E-2</v>
      </c>
      <c r="X57" s="2">
        <v>8.4501000000000007E-2</v>
      </c>
      <c r="Y57">
        <v>0.03</v>
      </c>
      <c r="Z57">
        <v>0.13</v>
      </c>
      <c r="AA57" s="20">
        <f>Table3[[#This Row],[APS]]*Table3[[#This Row],[PrimaComercial Anual]]</f>
        <v>115.06704000000001</v>
      </c>
      <c r="AB57" s="8">
        <f>Table3[[#This Row],[PrimaComercial Anual]]*Table3[[#This Row],[Recargo adicional]]</f>
        <v>656.9783748000001</v>
      </c>
      <c r="AC57" s="8">
        <f>Table3[[#This Row],[PrimaComercial Anual]]*Table3[[#This Row],[IT]]</f>
        <v>233.244</v>
      </c>
      <c r="AD57" s="8">
        <f>Table3[[#This Row],[PrimaComercial Anual]]*Table3[[#This Row],[IVA]]</f>
        <v>1010.724</v>
      </c>
      <c r="AE57" s="15">
        <f>Table3[[#This Row],[PrimaComercial Anual Asistencia]]</f>
        <v>7774.8</v>
      </c>
      <c r="AG57">
        <v>7774.8</v>
      </c>
    </row>
    <row r="58" spans="1:33" x14ac:dyDescent="0.25">
      <c r="A58" t="s">
        <v>17</v>
      </c>
      <c r="B58">
        <v>70000</v>
      </c>
      <c r="C58">
        <v>56</v>
      </c>
      <c r="D58" s="2">
        <f>Table3[[#This Row],[PrimaTécnica]]-Table3[[#This Row],[PrimaTécnica]]*SUM(Table3[[#This Row],[Gastos Adm]:[Cobranza]])</f>
        <v>4100.2448003711997</v>
      </c>
      <c r="E58">
        <v>0</v>
      </c>
      <c r="F58">
        <v>0.15</v>
      </c>
      <c r="G58">
        <v>0.05</v>
      </c>
      <c r="H58">
        <v>0.01</v>
      </c>
      <c r="I58">
        <v>0.01</v>
      </c>
      <c r="J58" s="8">
        <f>Table3[[#This Row],[PrimaTécnica]]*Table3[[#This Row],[Gastos Adm]]</f>
        <v>788.50861545600003</v>
      </c>
      <c r="K58" s="8">
        <f>Table3[[#This Row],[PrimaTécnica]]*Table3[[#This Row],[Utilidad]]</f>
        <v>262.83620515199999</v>
      </c>
      <c r="L58" s="8">
        <f>Table3[[#This Row],[PrimaTécnica]]*Table3[[#This Row],[Marketing]]</f>
        <v>52.567241030399998</v>
      </c>
      <c r="M58" s="8">
        <f>Table3[[#This Row],[PrimaTécnica]]*Table3[[#This Row],[Cobranza]]</f>
        <v>52.567241030399998</v>
      </c>
      <c r="N5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5256.72410304</v>
      </c>
      <c r="O58">
        <v>21.84</v>
      </c>
      <c r="P58">
        <v>54.6</v>
      </c>
      <c r="Q58">
        <v>80.64</v>
      </c>
      <c r="R58">
        <v>44.377200000000002</v>
      </c>
      <c r="S58">
        <v>0.2</v>
      </c>
      <c r="T58">
        <v>0.02</v>
      </c>
      <c r="U58" s="8">
        <f>Table3[[#This Row],[PrimaNeta]]*Table3[[#This Row],[Comisión]]</f>
        <v>1364.5453257600002</v>
      </c>
      <c r="V58" s="15">
        <f>Table3[[#This Row],[PrimaComercial Anual]]-Table3[[#This Row],[PrimaComercial Anual]]*SUM(Table3[[#This Row],[APS]:[IVA]])</f>
        <v>6822.726628800001</v>
      </c>
      <c r="W58" s="2">
        <v>1.4800000000000001E-2</v>
      </c>
      <c r="X58" s="2">
        <v>8.4501000000000007E-2</v>
      </c>
      <c r="Y58">
        <v>0.03</v>
      </c>
      <c r="Z58">
        <v>0.13</v>
      </c>
      <c r="AA58" s="20">
        <f>Table3[[#This Row],[APS]]*Table3[[#This Row],[PrimaComercial Anual]]</f>
        <v>136.32576000000003</v>
      </c>
      <c r="AB58" s="8">
        <f>Table3[[#This Row],[PrimaComercial Anual]]*Table3[[#This Row],[Recargo adicional]]</f>
        <v>778.35561120000011</v>
      </c>
      <c r="AC58" s="8">
        <f>Table3[[#This Row],[PrimaComercial Anual]]*Table3[[#This Row],[IT]]</f>
        <v>276.33600000000001</v>
      </c>
      <c r="AD58" s="8">
        <f>Table3[[#This Row],[PrimaComercial Anual]]*Table3[[#This Row],[IVA]]</f>
        <v>1197.4560000000001</v>
      </c>
      <c r="AE58" s="15">
        <f>Table3[[#This Row],[PrimaComercial Anual Asistencia]]</f>
        <v>9211.2000000000007</v>
      </c>
      <c r="AG58">
        <v>9211.2000000000007</v>
      </c>
    </row>
    <row r="59" spans="1:33" x14ac:dyDescent="0.25">
      <c r="A59" t="s">
        <v>17</v>
      </c>
      <c r="B59">
        <v>70000</v>
      </c>
      <c r="C59">
        <v>57</v>
      </c>
      <c r="D59" s="2">
        <f>Table3[[#This Row],[PrimaTécnica]]-Table3[[#This Row],[PrimaTécnica]]*SUM(Table3[[#This Row],[Gastos Adm]:[Cobranza]])</f>
        <v>4100.2448003711997</v>
      </c>
      <c r="E59">
        <v>0</v>
      </c>
      <c r="F59">
        <v>0.15</v>
      </c>
      <c r="G59">
        <v>0.05</v>
      </c>
      <c r="H59">
        <v>0.01</v>
      </c>
      <c r="I59">
        <v>0.01</v>
      </c>
      <c r="J59" s="8">
        <f>Table3[[#This Row],[PrimaTécnica]]*Table3[[#This Row],[Gastos Adm]]</f>
        <v>788.50861545600003</v>
      </c>
      <c r="K59" s="8">
        <f>Table3[[#This Row],[PrimaTécnica]]*Table3[[#This Row],[Utilidad]]</f>
        <v>262.83620515199999</v>
      </c>
      <c r="L59" s="8">
        <f>Table3[[#This Row],[PrimaTécnica]]*Table3[[#This Row],[Marketing]]</f>
        <v>52.567241030399998</v>
      </c>
      <c r="M59" s="8">
        <f>Table3[[#This Row],[PrimaTécnica]]*Table3[[#This Row],[Cobranza]]</f>
        <v>52.567241030399998</v>
      </c>
      <c r="N5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5256.72410304</v>
      </c>
      <c r="O59">
        <v>21.84</v>
      </c>
      <c r="P59">
        <v>54.6</v>
      </c>
      <c r="Q59">
        <v>80.64</v>
      </c>
      <c r="R59">
        <v>44.377200000000002</v>
      </c>
      <c r="S59">
        <v>0.2</v>
      </c>
      <c r="T59">
        <v>0.02</v>
      </c>
      <c r="U59" s="8">
        <f>Table3[[#This Row],[PrimaNeta]]*Table3[[#This Row],[Comisión]]</f>
        <v>1364.5453257600002</v>
      </c>
      <c r="V59" s="15">
        <f>Table3[[#This Row],[PrimaComercial Anual]]-Table3[[#This Row],[PrimaComercial Anual]]*SUM(Table3[[#This Row],[APS]:[IVA]])</f>
        <v>6822.726628800001</v>
      </c>
      <c r="W59" s="2">
        <v>1.4800000000000001E-2</v>
      </c>
      <c r="X59" s="2">
        <v>8.4501000000000007E-2</v>
      </c>
      <c r="Y59">
        <v>0.03</v>
      </c>
      <c r="Z59">
        <v>0.13</v>
      </c>
      <c r="AA59" s="20">
        <f>Table3[[#This Row],[APS]]*Table3[[#This Row],[PrimaComercial Anual]]</f>
        <v>136.32576000000003</v>
      </c>
      <c r="AB59" s="8">
        <f>Table3[[#This Row],[PrimaComercial Anual]]*Table3[[#This Row],[Recargo adicional]]</f>
        <v>778.35561120000011</v>
      </c>
      <c r="AC59" s="8">
        <f>Table3[[#This Row],[PrimaComercial Anual]]*Table3[[#This Row],[IT]]</f>
        <v>276.33600000000001</v>
      </c>
      <c r="AD59" s="8">
        <f>Table3[[#This Row],[PrimaComercial Anual]]*Table3[[#This Row],[IVA]]</f>
        <v>1197.4560000000001</v>
      </c>
      <c r="AE59" s="15">
        <f>Table3[[#This Row],[PrimaComercial Anual Asistencia]]</f>
        <v>9211.2000000000007</v>
      </c>
      <c r="AG59">
        <v>9211.2000000000007</v>
      </c>
    </row>
    <row r="60" spans="1:33" x14ac:dyDescent="0.25">
      <c r="A60" t="s">
        <v>17</v>
      </c>
      <c r="B60">
        <v>70000</v>
      </c>
      <c r="C60">
        <v>58</v>
      </c>
      <c r="D60" s="2">
        <f>Table3[[#This Row],[PrimaTécnica]]-Table3[[#This Row],[PrimaTécnica]]*SUM(Table3[[#This Row],[Gastos Adm]:[Cobranza]])</f>
        <v>4100.2448003711997</v>
      </c>
      <c r="E60">
        <v>0</v>
      </c>
      <c r="F60">
        <v>0.15</v>
      </c>
      <c r="G60">
        <v>0.05</v>
      </c>
      <c r="H60">
        <v>0.01</v>
      </c>
      <c r="I60">
        <v>0.01</v>
      </c>
      <c r="J60" s="8">
        <f>Table3[[#This Row],[PrimaTécnica]]*Table3[[#This Row],[Gastos Adm]]</f>
        <v>788.50861545600003</v>
      </c>
      <c r="K60" s="8">
        <f>Table3[[#This Row],[PrimaTécnica]]*Table3[[#This Row],[Utilidad]]</f>
        <v>262.83620515199999</v>
      </c>
      <c r="L60" s="8">
        <f>Table3[[#This Row],[PrimaTécnica]]*Table3[[#This Row],[Marketing]]</f>
        <v>52.567241030399998</v>
      </c>
      <c r="M60" s="8">
        <f>Table3[[#This Row],[PrimaTécnica]]*Table3[[#This Row],[Cobranza]]</f>
        <v>52.567241030399998</v>
      </c>
      <c r="N6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5256.72410304</v>
      </c>
      <c r="O60">
        <v>21.84</v>
      </c>
      <c r="P60">
        <v>54.6</v>
      </c>
      <c r="Q60">
        <v>80.64</v>
      </c>
      <c r="R60">
        <v>44.377200000000002</v>
      </c>
      <c r="S60">
        <v>0.2</v>
      </c>
      <c r="T60">
        <v>0.02</v>
      </c>
      <c r="U60" s="8">
        <f>Table3[[#This Row],[PrimaNeta]]*Table3[[#This Row],[Comisión]]</f>
        <v>1364.5453257600002</v>
      </c>
      <c r="V60" s="15">
        <f>Table3[[#This Row],[PrimaComercial Anual]]-Table3[[#This Row],[PrimaComercial Anual]]*SUM(Table3[[#This Row],[APS]:[IVA]])</f>
        <v>6822.726628800001</v>
      </c>
      <c r="W60" s="2">
        <v>1.4800000000000001E-2</v>
      </c>
      <c r="X60" s="2">
        <v>8.4501000000000007E-2</v>
      </c>
      <c r="Y60">
        <v>0.03</v>
      </c>
      <c r="Z60">
        <v>0.13</v>
      </c>
      <c r="AA60" s="20">
        <f>Table3[[#This Row],[APS]]*Table3[[#This Row],[PrimaComercial Anual]]</f>
        <v>136.32576000000003</v>
      </c>
      <c r="AB60" s="8">
        <f>Table3[[#This Row],[PrimaComercial Anual]]*Table3[[#This Row],[Recargo adicional]]</f>
        <v>778.35561120000011</v>
      </c>
      <c r="AC60" s="8">
        <f>Table3[[#This Row],[PrimaComercial Anual]]*Table3[[#This Row],[IT]]</f>
        <v>276.33600000000001</v>
      </c>
      <c r="AD60" s="8">
        <f>Table3[[#This Row],[PrimaComercial Anual]]*Table3[[#This Row],[IVA]]</f>
        <v>1197.4560000000001</v>
      </c>
      <c r="AE60" s="15">
        <f>Table3[[#This Row],[PrimaComercial Anual Asistencia]]</f>
        <v>9211.2000000000007</v>
      </c>
      <c r="AG60">
        <v>9211.2000000000007</v>
      </c>
    </row>
    <row r="61" spans="1:33" x14ac:dyDescent="0.25">
      <c r="A61" t="s">
        <v>17</v>
      </c>
      <c r="B61">
        <v>70000</v>
      </c>
      <c r="C61">
        <v>59</v>
      </c>
      <c r="D61" s="2">
        <f>Table3[[#This Row],[PrimaTécnica]]-Table3[[#This Row],[PrimaTécnica]]*SUM(Table3[[#This Row],[Gastos Adm]:[Cobranza]])</f>
        <v>4100.2448003711997</v>
      </c>
      <c r="E61">
        <v>0</v>
      </c>
      <c r="F61">
        <v>0.15</v>
      </c>
      <c r="G61">
        <v>0.05</v>
      </c>
      <c r="H61">
        <v>0.01</v>
      </c>
      <c r="I61">
        <v>0.01</v>
      </c>
      <c r="J61" s="8">
        <f>Table3[[#This Row],[PrimaTécnica]]*Table3[[#This Row],[Gastos Adm]]</f>
        <v>788.50861545600003</v>
      </c>
      <c r="K61" s="8">
        <f>Table3[[#This Row],[PrimaTécnica]]*Table3[[#This Row],[Utilidad]]</f>
        <v>262.83620515199999</v>
      </c>
      <c r="L61" s="8">
        <f>Table3[[#This Row],[PrimaTécnica]]*Table3[[#This Row],[Marketing]]</f>
        <v>52.567241030399998</v>
      </c>
      <c r="M61" s="8">
        <f>Table3[[#This Row],[PrimaTécnica]]*Table3[[#This Row],[Cobranza]]</f>
        <v>52.567241030399998</v>
      </c>
      <c r="N6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5256.72410304</v>
      </c>
      <c r="O61">
        <v>21.84</v>
      </c>
      <c r="P61">
        <v>54.6</v>
      </c>
      <c r="Q61">
        <v>80.64</v>
      </c>
      <c r="R61">
        <v>44.377200000000002</v>
      </c>
      <c r="S61">
        <v>0.2</v>
      </c>
      <c r="T61">
        <v>0.02</v>
      </c>
      <c r="U61" s="8">
        <f>Table3[[#This Row],[PrimaNeta]]*Table3[[#This Row],[Comisión]]</f>
        <v>1364.5453257600002</v>
      </c>
      <c r="V61" s="15">
        <f>Table3[[#This Row],[PrimaComercial Anual]]-Table3[[#This Row],[PrimaComercial Anual]]*SUM(Table3[[#This Row],[APS]:[IVA]])</f>
        <v>6822.726628800001</v>
      </c>
      <c r="W61" s="2">
        <v>1.4800000000000001E-2</v>
      </c>
      <c r="X61" s="2">
        <v>8.4501000000000007E-2</v>
      </c>
      <c r="Y61">
        <v>0.03</v>
      </c>
      <c r="Z61">
        <v>0.13</v>
      </c>
      <c r="AA61" s="20">
        <f>Table3[[#This Row],[APS]]*Table3[[#This Row],[PrimaComercial Anual]]</f>
        <v>136.32576000000003</v>
      </c>
      <c r="AB61" s="8">
        <f>Table3[[#This Row],[PrimaComercial Anual]]*Table3[[#This Row],[Recargo adicional]]</f>
        <v>778.35561120000011</v>
      </c>
      <c r="AC61" s="8">
        <f>Table3[[#This Row],[PrimaComercial Anual]]*Table3[[#This Row],[IT]]</f>
        <v>276.33600000000001</v>
      </c>
      <c r="AD61" s="8">
        <f>Table3[[#This Row],[PrimaComercial Anual]]*Table3[[#This Row],[IVA]]</f>
        <v>1197.4560000000001</v>
      </c>
      <c r="AE61" s="15">
        <f>Table3[[#This Row],[PrimaComercial Anual Asistencia]]</f>
        <v>9211.2000000000007</v>
      </c>
      <c r="AG61">
        <v>9211.2000000000007</v>
      </c>
    </row>
    <row r="62" spans="1:33" x14ac:dyDescent="0.25">
      <c r="A62" t="s">
        <v>17</v>
      </c>
      <c r="B62">
        <v>70000</v>
      </c>
      <c r="C62">
        <v>60</v>
      </c>
      <c r="D62" s="2">
        <f>Table3[[#This Row],[PrimaTécnica]]-Table3[[#This Row],[PrimaTécnica]]*SUM(Table3[[#This Row],[Gastos Adm]:[Cobranza]])</f>
        <v>6977.1386782655991</v>
      </c>
      <c r="E62">
        <v>0</v>
      </c>
      <c r="F62">
        <v>0.15</v>
      </c>
      <c r="G62">
        <v>0.05</v>
      </c>
      <c r="H62">
        <v>0.01</v>
      </c>
      <c r="I62">
        <v>0.01</v>
      </c>
      <c r="J62" s="8">
        <f>Table3[[#This Row],[PrimaTécnica]]*Table3[[#This Row],[Gastos Adm]]</f>
        <v>1341.7574381279999</v>
      </c>
      <c r="K62" s="8">
        <f>Table3[[#This Row],[PrimaTécnica]]*Table3[[#This Row],[Utilidad]]</f>
        <v>447.252479376</v>
      </c>
      <c r="L62" s="8">
        <f>Table3[[#This Row],[PrimaTécnica]]*Table3[[#This Row],[Marketing]]</f>
        <v>89.450495875199991</v>
      </c>
      <c r="M62" s="8">
        <f>Table3[[#This Row],[PrimaTécnica]]*Table3[[#This Row],[Cobranza]]</f>
        <v>89.450495875199991</v>
      </c>
      <c r="N6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8945.0495875199995</v>
      </c>
      <c r="O62">
        <v>21.84</v>
      </c>
      <c r="P62">
        <v>54.6</v>
      </c>
      <c r="Q62">
        <v>80.64</v>
      </c>
      <c r="R62">
        <v>44.377200000000002</v>
      </c>
      <c r="S62">
        <v>0.2</v>
      </c>
      <c r="T62">
        <v>0.02</v>
      </c>
      <c r="U62" s="8">
        <f>Table3[[#This Row],[PrimaNeta]]*Table3[[#This Row],[Comisión]]</f>
        <v>2286.6266968800005</v>
      </c>
      <c r="V62" s="15">
        <f>Table3[[#This Row],[PrimaComercial Anual]]-Table3[[#This Row],[PrimaComercial Anual]]*SUM(Table3[[#This Row],[APS]:[IVA]])</f>
        <v>11433.133484400001</v>
      </c>
      <c r="W62" s="2">
        <v>1.4800000000000001E-2</v>
      </c>
      <c r="X62" s="2">
        <v>8.4501000000000007E-2</v>
      </c>
      <c r="Y62">
        <v>0.03</v>
      </c>
      <c r="Z62">
        <v>0.13</v>
      </c>
      <c r="AA62" s="20">
        <f>Table3[[#This Row],[APS]]*Table3[[#This Row],[PrimaComercial Anual]]</f>
        <v>228.44688000000002</v>
      </c>
      <c r="AB62" s="8">
        <f>Table3[[#This Row],[PrimaComercial Anual]]*Table3[[#This Row],[Recargo adicional]]</f>
        <v>1304.3236356000002</v>
      </c>
      <c r="AC62" s="8">
        <f>Table3[[#This Row],[PrimaComercial Anual]]*Table3[[#This Row],[IT]]</f>
        <v>463.06799999999998</v>
      </c>
      <c r="AD62" s="8">
        <f>Table3[[#This Row],[PrimaComercial Anual]]*Table3[[#This Row],[IVA]]</f>
        <v>2006.6280000000002</v>
      </c>
      <c r="AE62" s="15">
        <f>Table3[[#This Row],[PrimaComercial Anual Asistencia]]</f>
        <v>15435.6</v>
      </c>
      <c r="AG62">
        <v>15435.6</v>
      </c>
    </row>
    <row r="63" spans="1:33" x14ac:dyDescent="0.25">
      <c r="A63" t="s">
        <v>17</v>
      </c>
      <c r="B63">
        <v>70000</v>
      </c>
      <c r="C63">
        <v>61</v>
      </c>
      <c r="D63" s="2">
        <f>Table3[[#This Row],[PrimaTécnica]]-Table3[[#This Row],[PrimaTécnica]]*SUM(Table3[[#This Row],[Gastos Adm]:[Cobranza]])</f>
        <v>6977.1386782655991</v>
      </c>
      <c r="E63">
        <v>0</v>
      </c>
      <c r="F63">
        <v>0.15</v>
      </c>
      <c r="G63">
        <v>0.05</v>
      </c>
      <c r="H63">
        <v>0.01</v>
      </c>
      <c r="I63">
        <v>0.01</v>
      </c>
      <c r="J63" s="8">
        <f>Table3[[#This Row],[PrimaTécnica]]*Table3[[#This Row],[Gastos Adm]]</f>
        <v>1341.7574381279999</v>
      </c>
      <c r="K63" s="8">
        <f>Table3[[#This Row],[PrimaTécnica]]*Table3[[#This Row],[Utilidad]]</f>
        <v>447.252479376</v>
      </c>
      <c r="L63" s="8">
        <f>Table3[[#This Row],[PrimaTécnica]]*Table3[[#This Row],[Marketing]]</f>
        <v>89.450495875199991</v>
      </c>
      <c r="M63" s="8">
        <f>Table3[[#This Row],[PrimaTécnica]]*Table3[[#This Row],[Cobranza]]</f>
        <v>89.450495875199991</v>
      </c>
      <c r="N6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8945.0495875199995</v>
      </c>
      <c r="O63">
        <v>21.84</v>
      </c>
      <c r="P63">
        <v>54.6</v>
      </c>
      <c r="Q63">
        <v>80.64</v>
      </c>
      <c r="R63">
        <v>44.377200000000002</v>
      </c>
      <c r="S63">
        <v>0.2</v>
      </c>
      <c r="T63">
        <v>0.02</v>
      </c>
      <c r="U63" s="8">
        <f>Table3[[#This Row],[PrimaNeta]]*Table3[[#This Row],[Comisión]]</f>
        <v>2286.6266968800005</v>
      </c>
      <c r="V63" s="15">
        <f>Table3[[#This Row],[PrimaComercial Anual]]-Table3[[#This Row],[PrimaComercial Anual]]*SUM(Table3[[#This Row],[APS]:[IVA]])</f>
        <v>11433.133484400001</v>
      </c>
      <c r="W63" s="2">
        <v>1.4800000000000001E-2</v>
      </c>
      <c r="X63" s="2">
        <v>8.4501000000000007E-2</v>
      </c>
      <c r="Y63">
        <v>0.03</v>
      </c>
      <c r="Z63">
        <v>0.13</v>
      </c>
      <c r="AA63" s="20">
        <f>Table3[[#This Row],[APS]]*Table3[[#This Row],[PrimaComercial Anual]]</f>
        <v>228.44688000000002</v>
      </c>
      <c r="AB63" s="8">
        <f>Table3[[#This Row],[PrimaComercial Anual]]*Table3[[#This Row],[Recargo adicional]]</f>
        <v>1304.3236356000002</v>
      </c>
      <c r="AC63" s="8">
        <f>Table3[[#This Row],[PrimaComercial Anual]]*Table3[[#This Row],[IT]]</f>
        <v>463.06799999999998</v>
      </c>
      <c r="AD63" s="8">
        <f>Table3[[#This Row],[PrimaComercial Anual]]*Table3[[#This Row],[IVA]]</f>
        <v>2006.6280000000002</v>
      </c>
      <c r="AE63" s="15">
        <f>Table3[[#This Row],[PrimaComercial Anual Asistencia]]</f>
        <v>15435.6</v>
      </c>
      <c r="AG63">
        <v>15435.6</v>
      </c>
    </row>
    <row r="64" spans="1:33" x14ac:dyDescent="0.25">
      <c r="A64" t="s">
        <v>17</v>
      </c>
      <c r="B64">
        <v>70000</v>
      </c>
      <c r="C64">
        <v>62</v>
      </c>
      <c r="D64" s="2">
        <f>Table3[[#This Row],[PrimaTécnica]]-Table3[[#This Row],[PrimaTécnica]]*SUM(Table3[[#This Row],[Gastos Adm]:[Cobranza]])</f>
        <v>6977.1386782655991</v>
      </c>
      <c r="E64">
        <v>0</v>
      </c>
      <c r="F64">
        <v>0.15</v>
      </c>
      <c r="G64">
        <v>0.05</v>
      </c>
      <c r="H64">
        <v>0.01</v>
      </c>
      <c r="I64">
        <v>0.01</v>
      </c>
      <c r="J64" s="8">
        <f>Table3[[#This Row],[PrimaTécnica]]*Table3[[#This Row],[Gastos Adm]]</f>
        <v>1341.7574381279999</v>
      </c>
      <c r="K64" s="8">
        <f>Table3[[#This Row],[PrimaTécnica]]*Table3[[#This Row],[Utilidad]]</f>
        <v>447.252479376</v>
      </c>
      <c r="L64" s="8">
        <f>Table3[[#This Row],[PrimaTécnica]]*Table3[[#This Row],[Marketing]]</f>
        <v>89.450495875199991</v>
      </c>
      <c r="M64" s="8">
        <f>Table3[[#This Row],[PrimaTécnica]]*Table3[[#This Row],[Cobranza]]</f>
        <v>89.450495875199991</v>
      </c>
      <c r="N6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8945.0495875199995</v>
      </c>
      <c r="O64">
        <v>21.84</v>
      </c>
      <c r="P64">
        <v>54.6</v>
      </c>
      <c r="Q64">
        <v>80.64</v>
      </c>
      <c r="R64">
        <v>44.377200000000002</v>
      </c>
      <c r="S64">
        <v>0.2</v>
      </c>
      <c r="T64">
        <v>0.02</v>
      </c>
      <c r="U64" s="8">
        <f>Table3[[#This Row],[PrimaNeta]]*Table3[[#This Row],[Comisión]]</f>
        <v>2286.6266968800005</v>
      </c>
      <c r="V64" s="15">
        <f>Table3[[#This Row],[PrimaComercial Anual]]-Table3[[#This Row],[PrimaComercial Anual]]*SUM(Table3[[#This Row],[APS]:[IVA]])</f>
        <v>11433.133484400001</v>
      </c>
      <c r="W64" s="2">
        <v>1.4800000000000001E-2</v>
      </c>
      <c r="X64" s="2">
        <v>8.4501000000000007E-2</v>
      </c>
      <c r="Y64">
        <v>0.03</v>
      </c>
      <c r="Z64">
        <v>0.13</v>
      </c>
      <c r="AA64" s="20">
        <f>Table3[[#This Row],[APS]]*Table3[[#This Row],[PrimaComercial Anual]]</f>
        <v>228.44688000000002</v>
      </c>
      <c r="AB64" s="8">
        <f>Table3[[#This Row],[PrimaComercial Anual]]*Table3[[#This Row],[Recargo adicional]]</f>
        <v>1304.3236356000002</v>
      </c>
      <c r="AC64" s="8">
        <f>Table3[[#This Row],[PrimaComercial Anual]]*Table3[[#This Row],[IT]]</f>
        <v>463.06799999999998</v>
      </c>
      <c r="AD64" s="8">
        <f>Table3[[#This Row],[PrimaComercial Anual]]*Table3[[#This Row],[IVA]]</f>
        <v>2006.6280000000002</v>
      </c>
      <c r="AE64" s="15">
        <f>Table3[[#This Row],[PrimaComercial Anual Asistencia]]</f>
        <v>15435.6</v>
      </c>
      <c r="AG64">
        <v>15435.6</v>
      </c>
    </row>
    <row r="65" spans="1:33" x14ac:dyDescent="0.25">
      <c r="A65" t="s">
        <v>17</v>
      </c>
      <c r="B65">
        <v>70000</v>
      </c>
      <c r="C65">
        <v>63</v>
      </c>
      <c r="D65" s="2">
        <f>Table3[[#This Row],[PrimaTécnica]]-Table3[[#This Row],[PrimaTécnica]]*SUM(Table3[[#This Row],[Gastos Adm]:[Cobranza]])</f>
        <v>6977.1386782655991</v>
      </c>
      <c r="E65">
        <v>0</v>
      </c>
      <c r="F65">
        <v>0.15</v>
      </c>
      <c r="G65">
        <v>0.05</v>
      </c>
      <c r="H65">
        <v>0.01</v>
      </c>
      <c r="I65">
        <v>0.01</v>
      </c>
      <c r="J65" s="8">
        <f>Table3[[#This Row],[PrimaTécnica]]*Table3[[#This Row],[Gastos Adm]]</f>
        <v>1341.7574381279999</v>
      </c>
      <c r="K65" s="8">
        <f>Table3[[#This Row],[PrimaTécnica]]*Table3[[#This Row],[Utilidad]]</f>
        <v>447.252479376</v>
      </c>
      <c r="L65" s="8">
        <f>Table3[[#This Row],[PrimaTécnica]]*Table3[[#This Row],[Marketing]]</f>
        <v>89.450495875199991</v>
      </c>
      <c r="M65" s="8">
        <f>Table3[[#This Row],[PrimaTécnica]]*Table3[[#This Row],[Cobranza]]</f>
        <v>89.450495875199991</v>
      </c>
      <c r="N6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8945.0495875199995</v>
      </c>
      <c r="O65">
        <v>21.84</v>
      </c>
      <c r="P65">
        <v>54.6</v>
      </c>
      <c r="Q65">
        <v>80.64</v>
      </c>
      <c r="R65">
        <v>44.377200000000002</v>
      </c>
      <c r="S65">
        <v>0.2</v>
      </c>
      <c r="T65">
        <v>0.02</v>
      </c>
      <c r="U65" s="8">
        <f>Table3[[#This Row],[PrimaNeta]]*Table3[[#This Row],[Comisión]]</f>
        <v>2286.6266968800005</v>
      </c>
      <c r="V65" s="15">
        <f>Table3[[#This Row],[PrimaComercial Anual]]-Table3[[#This Row],[PrimaComercial Anual]]*SUM(Table3[[#This Row],[APS]:[IVA]])</f>
        <v>11433.133484400001</v>
      </c>
      <c r="W65" s="2">
        <v>1.4800000000000001E-2</v>
      </c>
      <c r="X65" s="2">
        <v>8.4501000000000007E-2</v>
      </c>
      <c r="Y65">
        <v>0.03</v>
      </c>
      <c r="Z65">
        <v>0.13</v>
      </c>
      <c r="AA65" s="20">
        <f>Table3[[#This Row],[APS]]*Table3[[#This Row],[PrimaComercial Anual]]</f>
        <v>228.44688000000002</v>
      </c>
      <c r="AB65" s="8">
        <f>Table3[[#This Row],[PrimaComercial Anual]]*Table3[[#This Row],[Recargo adicional]]</f>
        <v>1304.3236356000002</v>
      </c>
      <c r="AC65" s="8">
        <f>Table3[[#This Row],[PrimaComercial Anual]]*Table3[[#This Row],[IT]]</f>
        <v>463.06799999999998</v>
      </c>
      <c r="AD65" s="8">
        <f>Table3[[#This Row],[PrimaComercial Anual]]*Table3[[#This Row],[IVA]]</f>
        <v>2006.6280000000002</v>
      </c>
      <c r="AE65" s="15">
        <f>Table3[[#This Row],[PrimaComercial Anual Asistencia]]</f>
        <v>15435.6</v>
      </c>
      <c r="AG65">
        <v>15435.6</v>
      </c>
    </row>
    <row r="66" spans="1:33" x14ac:dyDescent="0.25">
      <c r="A66" t="s">
        <v>17</v>
      </c>
      <c r="B66">
        <v>70000</v>
      </c>
      <c r="C66">
        <v>64</v>
      </c>
      <c r="D66" s="2">
        <f>Table3[[#This Row],[PrimaTécnica]]-Table3[[#This Row],[PrimaTécnica]]*SUM(Table3[[#This Row],[Gastos Adm]:[Cobranza]])</f>
        <v>6977.1386782655991</v>
      </c>
      <c r="E66">
        <v>0</v>
      </c>
      <c r="F66">
        <v>0.15</v>
      </c>
      <c r="G66">
        <v>0.05</v>
      </c>
      <c r="H66">
        <v>0.01</v>
      </c>
      <c r="I66">
        <v>0.01</v>
      </c>
      <c r="J66" s="8">
        <f>Table3[[#This Row],[PrimaTécnica]]*Table3[[#This Row],[Gastos Adm]]</f>
        <v>1341.7574381279999</v>
      </c>
      <c r="K66" s="8">
        <f>Table3[[#This Row],[PrimaTécnica]]*Table3[[#This Row],[Utilidad]]</f>
        <v>447.252479376</v>
      </c>
      <c r="L66" s="8">
        <f>Table3[[#This Row],[PrimaTécnica]]*Table3[[#This Row],[Marketing]]</f>
        <v>89.450495875199991</v>
      </c>
      <c r="M66" s="8">
        <f>Table3[[#This Row],[PrimaTécnica]]*Table3[[#This Row],[Cobranza]]</f>
        <v>89.450495875199991</v>
      </c>
      <c r="N6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8945.0495875199995</v>
      </c>
      <c r="O66">
        <v>21.84</v>
      </c>
      <c r="P66">
        <v>54.6</v>
      </c>
      <c r="Q66">
        <v>80.64</v>
      </c>
      <c r="R66">
        <v>44.377200000000002</v>
      </c>
      <c r="S66">
        <v>0.2</v>
      </c>
      <c r="T66">
        <v>0.02</v>
      </c>
      <c r="U66" s="8">
        <f>Table3[[#This Row],[PrimaNeta]]*Table3[[#This Row],[Comisión]]</f>
        <v>2286.6266968800005</v>
      </c>
      <c r="V66" s="15">
        <f>Table3[[#This Row],[PrimaComercial Anual]]-Table3[[#This Row],[PrimaComercial Anual]]*SUM(Table3[[#This Row],[APS]:[IVA]])</f>
        <v>11433.133484400001</v>
      </c>
      <c r="W66" s="2">
        <v>1.4800000000000001E-2</v>
      </c>
      <c r="X66" s="2">
        <v>8.4501000000000007E-2</v>
      </c>
      <c r="Y66">
        <v>0.03</v>
      </c>
      <c r="Z66">
        <v>0.13</v>
      </c>
      <c r="AA66" s="20">
        <f>Table3[[#This Row],[APS]]*Table3[[#This Row],[PrimaComercial Anual]]</f>
        <v>228.44688000000002</v>
      </c>
      <c r="AB66" s="8">
        <f>Table3[[#This Row],[PrimaComercial Anual]]*Table3[[#This Row],[Recargo adicional]]</f>
        <v>1304.3236356000002</v>
      </c>
      <c r="AC66" s="8">
        <f>Table3[[#This Row],[PrimaComercial Anual]]*Table3[[#This Row],[IT]]</f>
        <v>463.06799999999998</v>
      </c>
      <c r="AD66" s="8">
        <f>Table3[[#This Row],[PrimaComercial Anual]]*Table3[[#This Row],[IVA]]</f>
        <v>2006.6280000000002</v>
      </c>
      <c r="AE66" s="15">
        <f>Table3[[#This Row],[PrimaComercial Anual Asistencia]]</f>
        <v>15435.6</v>
      </c>
      <c r="AG66">
        <v>15435.6</v>
      </c>
    </row>
    <row r="67" spans="1:33" x14ac:dyDescent="0.25">
      <c r="A67" t="s">
        <v>17</v>
      </c>
      <c r="B67">
        <v>70000</v>
      </c>
      <c r="C67">
        <v>65</v>
      </c>
      <c r="D67" s="2">
        <f>Table3[[#This Row],[PrimaTécnica]]-Table3[[#This Row],[PrimaTécnica]]*SUM(Table3[[#This Row],[Gastos Adm]:[Cobranza]])</f>
        <v>10001.5655755392</v>
      </c>
      <c r="E67">
        <v>0</v>
      </c>
      <c r="F67">
        <v>0.15</v>
      </c>
      <c r="G67">
        <v>0.05</v>
      </c>
      <c r="H67">
        <v>0.01</v>
      </c>
      <c r="I67">
        <v>0.01</v>
      </c>
      <c r="J67" s="8">
        <f>Table3[[#This Row],[PrimaTécnica]]*Table3[[#This Row],[Gastos Adm]]</f>
        <v>1923.3779952959999</v>
      </c>
      <c r="K67" s="8">
        <f>Table3[[#This Row],[PrimaTécnica]]*Table3[[#This Row],[Utilidad]]</f>
        <v>641.12599843199996</v>
      </c>
      <c r="L67" s="8">
        <f>Table3[[#This Row],[PrimaTécnica]]*Table3[[#This Row],[Marketing]]</f>
        <v>128.2251996864</v>
      </c>
      <c r="M67" s="8">
        <f>Table3[[#This Row],[PrimaTécnica]]*Table3[[#This Row],[Cobranza]]</f>
        <v>128.2251996864</v>
      </c>
      <c r="N6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12822.519968639999</v>
      </c>
      <c r="O67">
        <v>21.84</v>
      </c>
      <c r="P67">
        <v>54.6</v>
      </c>
      <c r="Q67">
        <v>80.64</v>
      </c>
      <c r="R67">
        <v>44.377200000000002</v>
      </c>
      <c r="S67">
        <v>0.2</v>
      </c>
      <c r="T67">
        <v>0.02</v>
      </c>
      <c r="U67" s="8">
        <f>Table3[[#This Row],[PrimaNeta]]*Table3[[#This Row],[Comisión]]</f>
        <v>3255.99429216</v>
      </c>
      <c r="V67" s="15">
        <f>Table3[[#This Row],[PrimaComercial Anual]]-Table3[[#This Row],[PrimaComercial Anual]]*SUM(Table3[[#This Row],[APS]:[IVA]])</f>
        <v>16279.971460799999</v>
      </c>
      <c r="W67" s="2">
        <v>1.4800000000000001E-2</v>
      </c>
      <c r="X67" s="2">
        <v>8.4501000000000007E-2</v>
      </c>
      <c r="Y67">
        <v>0.03</v>
      </c>
      <c r="Z67">
        <v>0.13</v>
      </c>
      <c r="AA67" s="20">
        <f>Table3[[#This Row],[APS]]*Table3[[#This Row],[PrimaComercial Anual]]</f>
        <v>325.29216000000002</v>
      </c>
      <c r="AB67" s="8">
        <f>Table3[[#This Row],[PrimaComercial Anual]]*Table3[[#This Row],[Recargo adicional]]</f>
        <v>1857.2643792000001</v>
      </c>
      <c r="AC67" s="8">
        <f>Table3[[#This Row],[PrimaComercial Anual]]*Table3[[#This Row],[IT]]</f>
        <v>659.37599999999998</v>
      </c>
      <c r="AD67" s="8">
        <f>Table3[[#This Row],[PrimaComercial Anual]]*Table3[[#This Row],[IVA]]</f>
        <v>2857.2960000000003</v>
      </c>
      <c r="AE67" s="15">
        <f>Table3[[#This Row],[PrimaComercial Anual Asistencia]]</f>
        <v>21979.200000000001</v>
      </c>
      <c r="AG67">
        <v>21979.200000000001</v>
      </c>
    </row>
    <row r="68" spans="1:33" x14ac:dyDescent="0.25">
      <c r="A68" t="s">
        <v>17</v>
      </c>
      <c r="B68">
        <v>70000</v>
      </c>
      <c r="C68">
        <v>66</v>
      </c>
      <c r="D68" s="2">
        <f>Table3[[#This Row],[PrimaTécnica]]-Table3[[#This Row],[PrimaTécnica]]*SUM(Table3[[#This Row],[Gastos Adm]:[Cobranza]])</f>
        <v>10001.5655755392</v>
      </c>
      <c r="E68">
        <v>0</v>
      </c>
      <c r="F68">
        <v>0.15</v>
      </c>
      <c r="G68">
        <v>0.05</v>
      </c>
      <c r="H68">
        <v>0.01</v>
      </c>
      <c r="I68">
        <v>0.01</v>
      </c>
      <c r="J68" s="8">
        <f>Table3[[#This Row],[PrimaTécnica]]*Table3[[#This Row],[Gastos Adm]]</f>
        <v>1923.3779952959999</v>
      </c>
      <c r="K68" s="8">
        <f>Table3[[#This Row],[PrimaTécnica]]*Table3[[#This Row],[Utilidad]]</f>
        <v>641.12599843199996</v>
      </c>
      <c r="L68" s="8">
        <f>Table3[[#This Row],[PrimaTécnica]]*Table3[[#This Row],[Marketing]]</f>
        <v>128.2251996864</v>
      </c>
      <c r="M68" s="8">
        <f>Table3[[#This Row],[PrimaTécnica]]*Table3[[#This Row],[Cobranza]]</f>
        <v>128.2251996864</v>
      </c>
      <c r="N6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12822.519968639999</v>
      </c>
      <c r="O68">
        <v>21.84</v>
      </c>
      <c r="P68">
        <v>54.6</v>
      </c>
      <c r="Q68">
        <v>80.64</v>
      </c>
      <c r="R68">
        <v>44.377200000000002</v>
      </c>
      <c r="S68">
        <v>0.2</v>
      </c>
      <c r="T68">
        <v>0.02</v>
      </c>
      <c r="U68" s="8">
        <f>Table3[[#This Row],[PrimaNeta]]*Table3[[#This Row],[Comisión]]</f>
        <v>3255.99429216</v>
      </c>
      <c r="V68" s="15">
        <f>Table3[[#This Row],[PrimaComercial Anual]]-Table3[[#This Row],[PrimaComercial Anual]]*SUM(Table3[[#This Row],[APS]:[IVA]])</f>
        <v>16279.971460799999</v>
      </c>
      <c r="W68" s="2">
        <v>1.4800000000000001E-2</v>
      </c>
      <c r="X68" s="2">
        <v>8.4501000000000007E-2</v>
      </c>
      <c r="Y68">
        <v>0.03</v>
      </c>
      <c r="Z68">
        <v>0.13</v>
      </c>
      <c r="AA68" s="20">
        <f>Table3[[#This Row],[APS]]*Table3[[#This Row],[PrimaComercial Anual]]</f>
        <v>325.29216000000002</v>
      </c>
      <c r="AB68" s="8">
        <f>Table3[[#This Row],[PrimaComercial Anual]]*Table3[[#This Row],[Recargo adicional]]</f>
        <v>1857.2643792000001</v>
      </c>
      <c r="AC68" s="8">
        <f>Table3[[#This Row],[PrimaComercial Anual]]*Table3[[#This Row],[IT]]</f>
        <v>659.37599999999998</v>
      </c>
      <c r="AD68" s="8">
        <f>Table3[[#This Row],[PrimaComercial Anual]]*Table3[[#This Row],[IVA]]</f>
        <v>2857.2960000000003</v>
      </c>
      <c r="AE68" s="15">
        <f>Table3[[#This Row],[PrimaComercial Anual Asistencia]]</f>
        <v>21979.200000000001</v>
      </c>
      <c r="AG68">
        <v>21979.200000000001</v>
      </c>
    </row>
    <row r="69" spans="1:33" x14ac:dyDescent="0.25">
      <c r="A69" t="s">
        <v>17</v>
      </c>
      <c r="B69">
        <v>70000</v>
      </c>
      <c r="C69">
        <v>67</v>
      </c>
      <c r="D69" s="2">
        <f>Table3[[#This Row],[PrimaTécnica]]-Table3[[#This Row],[PrimaTécnica]]*SUM(Table3[[#This Row],[Gastos Adm]:[Cobranza]])</f>
        <v>10001.5655755392</v>
      </c>
      <c r="E69">
        <v>0</v>
      </c>
      <c r="F69">
        <v>0.15</v>
      </c>
      <c r="G69">
        <v>0.05</v>
      </c>
      <c r="H69">
        <v>0.01</v>
      </c>
      <c r="I69">
        <v>0.01</v>
      </c>
      <c r="J69" s="8">
        <f>Table3[[#This Row],[PrimaTécnica]]*Table3[[#This Row],[Gastos Adm]]</f>
        <v>1923.3779952959999</v>
      </c>
      <c r="K69" s="8">
        <f>Table3[[#This Row],[PrimaTécnica]]*Table3[[#This Row],[Utilidad]]</f>
        <v>641.12599843199996</v>
      </c>
      <c r="L69" s="8">
        <f>Table3[[#This Row],[PrimaTécnica]]*Table3[[#This Row],[Marketing]]</f>
        <v>128.2251996864</v>
      </c>
      <c r="M69" s="8">
        <f>Table3[[#This Row],[PrimaTécnica]]*Table3[[#This Row],[Cobranza]]</f>
        <v>128.2251996864</v>
      </c>
      <c r="N6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12822.519968639999</v>
      </c>
      <c r="O69">
        <v>21.84</v>
      </c>
      <c r="P69">
        <v>54.6</v>
      </c>
      <c r="Q69">
        <v>80.64</v>
      </c>
      <c r="R69">
        <v>44.377200000000002</v>
      </c>
      <c r="S69">
        <v>0.2</v>
      </c>
      <c r="T69">
        <v>0.02</v>
      </c>
      <c r="U69" s="8">
        <f>Table3[[#This Row],[PrimaNeta]]*Table3[[#This Row],[Comisión]]</f>
        <v>3255.99429216</v>
      </c>
      <c r="V69" s="15">
        <f>Table3[[#This Row],[PrimaComercial Anual]]-Table3[[#This Row],[PrimaComercial Anual]]*SUM(Table3[[#This Row],[APS]:[IVA]])</f>
        <v>16279.971460799999</v>
      </c>
      <c r="W69" s="2">
        <v>1.4800000000000001E-2</v>
      </c>
      <c r="X69" s="2">
        <v>8.4501000000000007E-2</v>
      </c>
      <c r="Y69">
        <v>0.03</v>
      </c>
      <c r="Z69">
        <v>0.13</v>
      </c>
      <c r="AA69" s="20">
        <f>Table3[[#This Row],[APS]]*Table3[[#This Row],[PrimaComercial Anual]]</f>
        <v>325.29216000000002</v>
      </c>
      <c r="AB69" s="8">
        <f>Table3[[#This Row],[PrimaComercial Anual]]*Table3[[#This Row],[Recargo adicional]]</f>
        <v>1857.2643792000001</v>
      </c>
      <c r="AC69" s="8">
        <f>Table3[[#This Row],[PrimaComercial Anual]]*Table3[[#This Row],[IT]]</f>
        <v>659.37599999999998</v>
      </c>
      <c r="AD69" s="8">
        <f>Table3[[#This Row],[PrimaComercial Anual]]*Table3[[#This Row],[IVA]]</f>
        <v>2857.2960000000003</v>
      </c>
      <c r="AE69" s="15">
        <f>Table3[[#This Row],[PrimaComercial Anual Asistencia]]</f>
        <v>21979.200000000001</v>
      </c>
      <c r="AG69">
        <v>21979.200000000001</v>
      </c>
    </row>
    <row r="70" spans="1:33" x14ac:dyDescent="0.25">
      <c r="A70" t="s">
        <v>17</v>
      </c>
      <c r="B70">
        <v>70000</v>
      </c>
      <c r="C70">
        <v>68</v>
      </c>
      <c r="D70" s="2">
        <f>Table3[[#This Row],[PrimaTécnica]]-Table3[[#This Row],[PrimaTécnica]]*SUM(Table3[[#This Row],[Gastos Adm]:[Cobranza]])</f>
        <v>10001.5655755392</v>
      </c>
      <c r="E70">
        <v>0</v>
      </c>
      <c r="F70">
        <v>0.15</v>
      </c>
      <c r="G70">
        <v>0.05</v>
      </c>
      <c r="H70">
        <v>0.01</v>
      </c>
      <c r="I70">
        <v>0.01</v>
      </c>
      <c r="J70" s="8">
        <f>Table3[[#This Row],[PrimaTécnica]]*Table3[[#This Row],[Gastos Adm]]</f>
        <v>1923.3779952959999</v>
      </c>
      <c r="K70" s="8">
        <f>Table3[[#This Row],[PrimaTécnica]]*Table3[[#This Row],[Utilidad]]</f>
        <v>641.12599843199996</v>
      </c>
      <c r="L70" s="8">
        <f>Table3[[#This Row],[PrimaTécnica]]*Table3[[#This Row],[Marketing]]</f>
        <v>128.2251996864</v>
      </c>
      <c r="M70" s="8">
        <f>Table3[[#This Row],[PrimaTécnica]]*Table3[[#This Row],[Cobranza]]</f>
        <v>128.2251996864</v>
      </c>
      <c r="N7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12822.519968639999</v>
      </c>
      <c r="O70">
        <v>21.84</v>
      </c>
      <c r="P70">
        <v>54.6</v>
      </c>
      <c r="Q70">
        <v>80.64</v>
      </c>
      <c r="R70">
        <v>44.377200000000002</v>
      </c>
      <c r="S70">
        <v>0.2</v>
      </c>
      <c r="T70">
        <v>0.02</v>
      </c>
      <c r="U70" s="8">
        <f>Table3[[#This Row],[PrimaNeta]]*Table3[[#This Row],[Comisión]]</f>
        <v>3255.99429216</v>
      </c>
      <c r="V70" s="15">
        <f>Table3[[#This Row],[PrimaComercial Anual]]-Table3[[#This Row],[PrimaComercial Anual]]*SUM(Table3[[#This Row],[APS]:[IVA]])</f>
        <v>16279.971460799999</v>
      </c>
      <c r="W70" s="2">
        <v>1.4800000000000001E-2</v>
      </c>
      <c r="X70" s="2">
        <v>8.4501000000000007E-2</v>
      </c>
      <c r="Y70">
        <v>0.03</v>
      </c>
      <c r="Z70">
        <v>0.13</v>
      </c>
      <c r="AA70" s="20">
        <f>Table3[[#This Row],[APS]]*Table3[[#This Row],[PrimaComercial Anual]]</f>
        <v>325.29216000000002</v>
      </c>
      <c r="AB70" s="8">
        <f>Table3[[#This Row],[PrimaComercial Anual]]*Table3[[#This Row],[Recargo adicional]]</f>
        <v>1857.2643792000001</v>
      </c>
      <c r="AC70" s="8">
        <f>Table3[[#This Row],[PrimaComercial Anual]]*Table3[[#This Row],[IT]]</f>
        <v>659.37599999999998</v>
      </c>
      <c r="AD70" s="8">
        <f>Table3[[#This Row],[PrimaComercial Anual]]*Table3[[#This Row],[IVA]]</f>
        <v>2857.2960000000003</v>
      </c>
      <c r="AE70" s="15">
        <f>Table3[[#This Row],[PrimaComercial Anual Asistencia]]</f>
        <v>21979.200000000001</v>
      </c>
      <c r="AG70">
        <v>21979.200000000001</v>
      </c>
    </row>
    <row r="71" spans="1:33" x14ac:dyDescent="0.25">
      <c r="A71" t="s">
        <v>17</v>
      </c>
      <c r="B71">
        <v>70000</v>
      </c>
      <c r="C71">
        <v>69</v>
      </c>
      <c r="D71" s="2">
        <f>Table3[[#This Row],[PrimaTécnica]]-Table3[[#This Row],[PrimaTécnica]]*SUM(Table3[[#This Row],[Gastos Adm]:[Cobranza]])</f>
        <v>10001.5655755392</v>
      </c>
      <c r="E71">
        <v>0</v>
      </c>
      <c r="F71">
        <v>0.15</v>
      </c>
      <c r="G71">
        <v>0.05</v>
      </c>
      <c r="H71">
        <v>0.01</v>
      </c>
      <c r="I71">
        <v>0.01</v>
      </c>
      <c r="J71" s="8">
        <f>Table3[[#This Row],[PrimaTécnica]]*Table3[[#This Row],[Gastos Adm]]</f>
        <v>1923.3779952959999</v>
      </c>
      <c r="K71" s="8">
        <f>Table3[[#This Row],[PrimaTécnica]]*Table3[[#This Row],[Utilidad]]</f>
        <v>641.12599843199996</v>
      </c>
      <c r="L71" s="8">
        <f>Table3[[#This Row],[PrimaTécnica]]*Table3[[#This Row],[Marketing]]</f>
        <v>128.2251996864</v>
      </c>
      <c r="M71" s="8">
        <f>Table3[[#This Row],[PrimaTécnica]]*Table3[[#This Row],[Cobranza]]</f>
        <v>128.2251996864</v>
      </c>
      <c r="N7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12822.519968639999</v>
      </c>
      <c r="O71">
        <v>21.84</v>
      </c>
      <c r="P71">
        <v>54.6</v>
      </c>
      <c r="Q71">
        <v>80.64</v>
      </c>
      <c r="R71">
        <v>44.377200000000002</v>
      </c>
      <c r="S71">
        <v>0.2</v>
      </c>
      <c r="T71">
        <v>0.02</v>
      </c>
      <c r="U71" s="8">
        <f>Table3[[#This Row],[PrimaNeta]]*Table3[[#This Row],[Comisión]]</f>
        <v>3255.99429216</v>
      </c>
      <c r="V71" s="15">
        <f>Table3[[#This Row],[PrimaComercial Anual]]-Table3[[#This Row],[PrimaComercial Anual]]*SUM(Table3[[#This Row],[APS]:[IVA]])</f>
        <v>16279.971460799999</v>
      </c>
      <c r="W71" s="2">
        <v>1.4800000000000001E-2</v>
      </c>
      <c r="X71" s="2">
        <v>8.4501000000000007E-2</v>
      </c>
      <c r="Y71">
        <v>0.03</v>
      </c>
      <c r="Z71">
        <v>0.13</v>
      </c>
      <c r="AA71" s="20">
        <f>Table3[[#This Row],[APS]]*Table3[[#This Row],[PrimaComercial Anual]]</f>
        <v>325.29216000000002</v>
      </c>
      <c r="AB71" s="8">
        <f>Table3[[#This Row],[PrimaComercial Anual]]*Table3[[#This Row],[Recargo adicional]]</f>
        <v>1857.2643792000001</v>
      </c>
      <c r="AC71" s="8">
        <f>Table3[[#This Row],[PrimaComercial Anual]]*Table3[[#This Row],[IT]]</f>
        <v>659.37599999999998</v>
      </c>
      <c r="AD71" s="8">
        <f>Table3[[#This Row],[PrimaComercial Anual]]*Table3[[#This Row],[IVA]]</f>
        <v>2857.2960000000003</v>
      </c>
      <c r="AE71" s="15">
        <f>Table3[[#This Row],[PrimaComercial Anual Asistencia]]</f>
        <v>21979.200000000001</v>
      </c>
      <c r="AG71">
        <v>21979.200000000001</v>
      </c>
    </row>
    <row r="72" spans="1:33" x14ac:dyDescent="0.25">
      <c r="A72" t="s">
        <v>17</v>
      </c>
      <c r="B72">
        <v>70000</v>
      </c>
      <c r="C72">
        <v>70</v>
      </c>
      <c r="D72" s="2">
        <f>Table3[[#This Row],[PrimaTécnica]]-Table3[[#This Row],[PrimaTécnica]]*SUM(Table3[[#This Row],[Gastos Adm]:[Cobranza]])</f>
        <v>10001.5655755392</v>
      </c>
      <c r="E72">
        <v>0</v>
      </c>
      <c r="F72">
        <v>0.15</v>
      </c>
      <c r="G72">
        <v>0.05</v>
      </c>
      <c r="H72">
        <v>0.01</v>
      </c>
      <c r="I72">
        <v>0.01</v>
      </c>
      <c r="J72" s="8">
        <f>Table3[[#This Row],[PrimaTécnica]]*Table3[[#This Row],[Gastos Adm]]</f>
        <v>1923.3779952959999</v>
      </c>
      <c r="K72" s="8">
        <f>Table3[[#This Row],[PrimaTécnica]]*Table3[[#This Row],[Utilidad]]</f>
        <v>641.12599843199996</v>
      </c>
      <c r="L72" s="8">
        <f>Table3[[#This Row],[PrimaTécnica]]*Table3[[#This Row],[Marketing]]</f>
        <v>128.2251996864</v>
      </c>
      <c r="M72" s="8">
        <f>Table3[[#This Row],[PrimaTécnica]]*Table3[[#This Row],[Cobranza]]</f>
        <v>128.2251996864</v>
      </c>
      <c r="N7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12822.519968639999</v>
      </c>
      <c r="O72">
        <v>21.84</v>
      </c>
      <c r="P72">
        <v>54.6</v>
      </c>
      <c r="Q72">
        <v>80.64</v>
      </c>
      <c r="R72">
        <v>44.377200000000002</v>
      </c>
      <c r="S72">
        <v>0.2</v>
      </c>
      <c r="T72">
        <v>0.02</v>
      </c>
      <c r="U72" s="8">
        <f>Table3[[#This Row],[PrimaNeta]]*Table3[[#This Row],[Comisión]]</f>
        <v>3255.99429216</v>
      </c>
      <c r="V72" s="15">
        <f>Table3[[#This Row],[PrimaComercial Anual]]-Table3[[#This Row],[PrimaComercial Anual]]*SUM(Table3[[#This Row],[APS]:[IVA]])</f>
        <v>16279.971460799999</v>
      </c>
      <c r="W72" s="2">
        <v>1.4800000000000001E-2</v>
      </c>
      <c r="X72" s="2">
        <v>8.4501000000000007E-2</v>
      </c>
      <c r="Y72">
        <v>0.03</v>
      </c>
      <c r="Z72">
        <v>0.13</v>
      </c>
      <c r="AA72" s="20">
        <f>Table3[[#This Row],[APS]]*Table3[[#This Row],[PrimaComercial Anual]]</f>
        <v>325.29216000000002</v>
      </c>
      <c r="AB72" s="8">
        <f>Table3[[#This Row],[PrimaComercial Anual]]*Table3[[#This Row],[Recargo adicional]]</f>
        <v>1857.2643792000001</v>
      </c>
      <c r="AC72" s="8">
        <f>Table3[[#This Row],[PrimaComercial Anual]]*Table3[[#This Row],[IT]]</f>
        <v>659.37599999999998</v>
      </c>
      <c r="AD72" s="8">
        <f>Table3[[#This Row],[PrimaComercial Anual]]*Table3[[#This Row],[IVA]]</f>
        <v>2857.2960000000003</v>
      </c>
      <c r="AE72" s="15">
        <f>Table3[[#This Row],[PrimaComercial Anual Asistencia]]</f>
        <v>21979.200000000001</v>
      </c>
      <c r="AG72">
        <v>21979.200000000001</v>
      </c>
    </row>
    <row r="73" spans="1:33" x14ac:dyDescent="0.25">
      <c r="A73" t="s">
        <v>17</v>
      </c>
      <c r="B73">
        <v>70000</v>
      </c>
      <c r="C73">
        <v>71</v>
      </c>
      <c r="D73" s="2">
        <f>Table3[[#This Row],[PrimaTécnica]]-Table3[[#This Row],[PrimaTécnica]]*SUM(Table3[[#This Row],[Gastos Adm]:[Cobranza]])</f>
        <v>11845.728317779198</v>
      </c>
      <c r="E73">
        <v>0</v>
      </c>
      <c r="F73">
        <v>0.15</v>
      </c>
      <c r="G73">
        <v>0.05</v>
      </c>
      <c r="H73">
        <v>0.01</v>
      </c>
      <c r="I73">
        <v>0.01</v>
      </c>
      <c r="J73" s="8">
        <f>Table3[[#This Row],[PrimaTécnica]]*Table3[[#This Row],[Gastos Adm]]</f>
        <v>2278.0246764959998</v>
      </c>
      <c r="K73" s="8">
        <f>Table3[[#This Row],[PrimaTécnica]]*Table3[[#This Row],[Utilidad]]</f>
        <v>759.34155883199992</v>
      </c>
      <c r="L73" s="8">
        <f>Table3[[#This Row],[PrimaTécnica]]*Table3[[#This Row],[Marketing]]</f>
        <v>151.86831176639998</v>
      </c>
      <c r="M73" s="8">
        <f>Table3[[#This Row],[PrimaTécnica]]*Table3[[#This Row],[Cobranza]]</f>
        <v>151.86831176639998</v>
      </c>
      <c r="N7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73">
        <v>21.84</v>
      </c>
      <c r="P73">
        <v>54.6</v>
      </c>
      <c r="Q73">
        <v>80.64</v>
      </c>
      <c r="R73">
        <v>44.377200000000002</v>
      </c>
      <c r="S73">
        <v>0.2</v>
      </c>
      <c r="T73">
        <v>0.02</v>
      </c>
      <c r="U73" s="8">
        <f>Table3[[#This Row],[PrimaNeta]]*Table3[[#This Row],[Comisión]]</f>
        <v>3847.0720941599998</v>
      </c>
      <c r="V73" s="15">
        <f>Table3[[#This Row],[PrimaComercial Anual]]-Table3[[#This Row],[PrimaComercial Anual]]*SUM(Table3[[#This Row],[APS]:[IVA]])</f>
        <v>19235.360470799998</v>
      </c>
      <c r="W73" s="2">
        <v>1.4800000000000001E-2</v>
      </c>
      <c r="X73" s="2">
        <v>8.4501000000000007E-2</v>
      </c>
      <c r="Y73">
        <v>0.03</v>
      </c>
      <c r="Z73">
        <v>0.13</v>
      </c>
      <c r="AA73" s="20">
        <f>Table3[[#This Row],[APS]]*Table3[[#This Row],[PrimaComercial Anual]]</f>
        <v>384.34416000000004</v>
      </c>
      <c r="AB73" s="8">
        <f>Table3[[#This Row],[PrimaComercial Anual]]*Table3[[#This Row],[Recargo adicional]]</f>
        <v>2194.4233692000003</v>
      </c>
      <c r="AC73" s="8">
        <f>Table3[[#This Row],[PrimaComercial Anual]]*Table3[[#This Row],[IT]]</f>
        <v>779.07600000000002</v>
      </c>
      <c r="AD73" s="8">
        <f>Table3[[#This Row],[PrimaComercial Anual]]*Table3[[#This Row],[IVA]]</f>
        <v>3375.9960000000001</v>
      </c>
      <c r="AE73" s="15">
        <f>Table3[[#This Row],[PrimaComercial Anual Asistencia]]</f>
        <v>25969.200000000001</v>
      </c>
      <c r="AG73">
        <v>25969.200000000001</v>
      </c>
    </row>
    <row r="74" spans="1:33" x14ac:dyDescent="0.25">
      <c r="A74" t="s">
        <v>17</v>
      </c>
      <c r="B74">
        <v>70000</v>
      </c>
      <c r="C74">
        <v>72</v>
      </c>
      <c r="D74" s="2">
        <f>Table3[[#This Row],[PrimaTécnica]]-Table3[[#This Row],[PrimaTécnica]]*SUM(Table3[[#This Row],[Gastos Adm]:[Cobranza]])</f>
        <v>11845.728317779198</v>
      </c>
      <c r="E74">
        <v>0</v>
      </c>
      <c r="F74">
        <v>0.15</v>
      </c>
      <c r="G74">
        <v>0.05</v>
      </c>
      <c r="H74">
        <v>0.01</v>
      </c>
      <c r="I74">
        <v>0.01</v>
      </c>
      <c r="J74" s="8">
        <f>Table3[[#This Row],[PrimaTécnica]]*Table3[[#This Row],[Gastos Adm]]</f>
        <v>2278.0246764959998</v>
      </c>
      <c r="K74" s="8">
        <f>Table3[[#This Row],[PrimaTécnica]]*Table3[[#This Row],[Utilidad]]</f>
        <v>759.34155883199992</v>
      </c>
      <c r="L74" s="8">
        <f>Table3[[#This Row],[PrimaTécnica]]*Table3[[#This Row],[Marketing]]</f>
        <v>151.86831176639998</v>
      </c>
      <c r="M74" s="8">
        <f>Table3[[#This Row],[PrimaTécnica]]*Table3[[#This Row],[Cobranza]]</f>
        <v>151.86831176639998</v>
      </c>
      <c r="N7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74">
        <v>21.84</v>
      </c>
      <c r="P74">
        <v>54.6</v>
      </c>
      <c r="Q74">
        <v>80.64</v>
      </c>
      <c r="R74">
        <v>44.377200000000002</v>
      </c>
      <c r="S74">
        <v>0.2</v>
      </c>
      <c r="T74">
        <v>0.02</v>
      </c>
      <c r="U74" s="8">
        <f>Table3[[#This Row],[PrimaNeta]]*Table3[[#This Row],[Comisión]]</f>
        <v>3847.0720941599998</v>
      </c>
      <c r="V74" s="15">
        <f>Table3[[#This Row],[PrimaComercial Anual]]-Table3[[#This Row],[PrimaComercial Anual]]*SUM(Table3[[#This Row],[APS]:[IVA]])</f>
        <v>19235.360470799998</v>
      </c>
      <c r="W74" s="2">
        <v>1.4800000000000001E-2</v>
      </c>
      <c r="X74" s="2">
        <v>8.4501000000000007E-2</v>
      </c>
      <c r="Y74">
        <v>0.03</v>
      </c>
      <c r="Z74">
        <v>0.13</v>
      </c>
      <c r="AA74" s="20">
        <f>Table3[[#This Row],[APS]]*Table3[[#This Row],[PrimaComercial Anual]]</f>
        <v>384.34416000000004</v>
      </c>
      <c r="AB74" s="8">
        <f>Table3[[#This Row],[PrimaComercial Anual]]*Table3[[#This Row],[Recargo adicional]]</f>
        <v>2194.4233692000003</v>
      </c>
      <c r="AC74" s="8">
        <f>Table3[[#This Row],[PrimaComercial Anual]]*Table3[[#This Row],[IT]]</f>
        <v>779.07600000000002</v>
      </c>
      <c r="AD74" s="8">
        <f>Table3[[#This Row],[PrimaComercial Anual]]*Table3[[#This Row],[IVA]]</f>
        <v>3375.9960000000001</v>
      </c>
      <c r="AE74" s="15">
        <f>Table3[[#This Row],[PrimaComercial Anual Asistencia]]</f>
        <v>25969.200000000001</v>
      </c>
      <c r="AG74">
        <v>25969.200000000001</v>
      </c>
    </row>
    <row r="75" spans="1:33" x14ac:dyDescent="0.25">
      <c r="A75" t="s">
        <v>17</v>
      </c>
      <c r="B75">
        <v>70000</v>
      </c>
      <c r="C75">
        <v>73</v>
      </c>
      <c r="D75" s="2">
        <f>Table3[[#This Row],[PrimaTécnica]]-Table3[[#This Row],[PrimaTécnica]]*SUM(Table3[[#This Row],[Gastos Adm]:[Cobranza]])</f>
        <v>11845.728317779198</v>
      </c>
      <c r="E75">
        <v>0</v>
      </c>
      <c r="F75">
        <v>0.15</v>
      </c>
      <c r="G75">
        <v>0.05</v>
      </c>
      <c r="H75">
        <v>0.01</v>
      </c>
      <c r="I75">
        <v>0.01</v>
      </c>
      <c r="J75" s="8">
        <f>Table3[[#This Row],[PrimaTécnica]]*Table3[[#This Row],[Gastos Adm]]</f>
        <v>2278.0246764959998</v>
      </c>
      <c r="K75" s="8">
        <f>Table3[[#This Row],[PrimaTécnica]]*Table3[[#This Row],[Utilidad]]</f>
        <v>759.34155883199992</v>
      </c>
      <c r="L75" s="8">
        <f>Table3[[#This Row],[PrimaTécnica]]*Table3[[#This Row],[Marketing]]</f>
        <v>151.86831176639998</v>
      </c>
      <c r="M75" s="8">
        <f>Table3[[#This Row],[PrimaTécnica]]*Table3[[#This Row],[Cobranza]]</f>
        <v>151.86831176639998</v>
      </c>
      <c r="N7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75">
        <v>21.84</v>
      </c>
      <c r="P75">
        <v>54.6</v>
      </c>
      <c r="Q75">
        <v>80.64</v>
      </c>
      <c r="R75">
        <v>44.377200000000002</v>
      </c>
      <c r="S75">
        <v>0.2</v>
      </c>
      <c r="T75">
        <v>0.02</v>
      </c>
      <c r="U75" s="8">
        <f>Table3[[#This Row],[PrimaNeta]]*Table3[[#This Row],[Comisión]]</f>
        <v>3847.0720941599998</v>
      </c>
      <c r="V75" s="15">
        <f>Table3[[#This Row],[PrimaComercial Anual]]-Table3[[#This Row],[PrimaComercial Anual]]*SUM(Table3[[#This Row],[APS]:[IVA]])</f>
        <v>19235.360470799998</v>
      </c>
      <c r="W75" s="2">
        <v>1.4800000000000001E-2</v>
      </c>
      <c r="X75" s="2">
        <v>8.4501000000000007E-2</v>
      </c>
      <c r="Y75">
        <v>0.03</v>
      </c>
      <c r="Z75">
        <v>0.13</v>
      </c>
      <c r="AA75" s="20">
        <f>Table3[[#This Row],[APS]]*Table3[[#This Row],[PrimaComercial Anual]]</f>
        <v>384.34416000000004</v>
      </c>
      <c r="AB75" s="8">
        <f>Table3[[#This Row],[PrimaComercial Anual]]*Table3[[#This Row],[Recargo adicional]]</f>
        <v>2194.4233692000003</v>
      </c>
      <c r="AC75" s="8">
        <f>Table3[[#This Row],[PrimaComercial Anual]]*Table3[[#This Row],[IT]]</f>
        <v>779.07600000000002</v>
      </c>
      <c r="AD75" s="8">
        <f>Table3[[#This Row],[PrimaComercial Anual]]*Table3[[#This Row],[IVA]]</f>
        <v>3375.9960000000001</v>
      </c>
      <c r="AE75" s="15">
        <f>Table3[[#This Row],[PrimaComercial Anual Asistencia]]</f>
        <v>25969.200000000001</v>
      </c>
      <c r="AG75">
        <v>25969.200000000001</v>
      </c>
    </row>
    <row r="76" spans="1:33" x14ac:dyDescent="0.25">
      <c r="A76" t="s">
        <v>17</v>
      </c>
      <c r="B76">
        <v>70000</v>
      </c>
      <c r="C76">
        <v>74</v>
      </c>
      <c r="D76" s="2">
        <f>Table3[[#This Row],[PrimaTécnica]]-Table3[[#This Row],[PrimaTécnica]]*SUM(Table3[[#This Row],[Gastos Adm]:[Cobranza]])</f>
        <v>11845.728317779198</v>
      </c>
      <c r="E76">
        <v>0</v>
      </c>
      <c r="F76">
        <v>0.15</v>
      </c>
      <c r="G76">
        <v>0.05</v>
      </c>
      <c r="H76">
        <v>0.01</v>
      </c>
      <c r="I76">
        <v>0.01</v>
      </c>
      <c r="J76" s="8">
        <f>Table3[[#This Row],[PrimaTécnica]]*Table3[[#This Row],[Gastos Adm]]</f>
        <v>2278.0246764959998</v>
      </c>
      <c r="K76" s="8">
        <f>Table3[[#This Row],[PrimaTécnica]]*Table3[[#This Row],[Utilidad]]</f>
        <v>759.34155883199992</v>
      </c>
      <c r="L76" s="8">
        <f>Table3[[#This Row],[PrimaTécnica]]*Table3[[#This Row],[Marketing]]</f>
        <v>151.86831176639998</v>
      </c>
      <c r="M76" s="8">
        <f>Table3[[#This Row],[PrimaTécnica]]*Table3[[#This Row],[Cobranza]]</f>
        <v>151.86831176639998</v>
      </c>
      <c r="N7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76">
        <v>21.84</v>
      </c>
      <c r="P76">
        <v>54.6</v>
      </c>
      <c r="Q76">
        <v>80.64</v>
      </c>
      <c r="R76">
        <v>44.377200000000002</v>
      </c>
      <c r="S76">
        <v>0.2</v>
      </c>
      <c r="T76">
        <v>0.02</v>
      </c>
      <c r="U76" s="8">
        <f>Table3[[#This Row],[PrimaNeta]]*Table3[[#This Row],[Comisión]]</f>
        <v>3847.0720941599998</v>
      </c>
      <c r="V76" s="15">
        <f>Table3[[#This Row],[PrimaComercial Anual]]-Table3[[#This Row],[PrimaComercial Anual]]*SUM(Table3[[#This Row],[APS]:[IVA]])</f>
        <v>19235.360470799998</v>
      </c>
      <c r="W76" s="2">
        <v>1.4800000000000001E-2</v>
      </c>
      <c r="X76" s="2">
        <v>8.4501000000000007E-2</v>
      </c>
      <c r="Y76">
        <v>0.03</v>
      </c>
      <c r="Z76">
        <v>0.13</v>
      </c>
      <c r="AA76" s="20">
        <f>Table3[[#This Row],[APS]]*Table3[[#This Row],[PrimaComercial Anual]]</f>
        <v>384.34416000000004</v>
      </c>
      <c r="AB76" s="8">
        <f>Table3[[#This Row],[PrimaComercial Anual]]*Table3[[#This Row],[Recargo adicional]]</f>
        <v>2194.4233692000003</v>
      </c>
      <c r="AC76" s="8">
        <f>Table3[[#This Row],[PrimaComercial Anual]]*Table3[[#This Row],[IT]]</f>
        <v>779.07600000000002</v>
      </c>
      <c r="AD76" s="8">
        <f>Table3[[#This Row],[PrimaComercial Anual]]*Table3[[#This Row],[IVA]]</f>
        <v>3375.9960000000001</v>
      </c>
      <c r="AE76" s="15">
        <f>Table3[[#This Row],[PrimaComercial Anual Asistencia]]</f>
        <v>25969.200000000001</v>
      </c>
      <c r="AG76">
        <v>25969.200000000001</v>
      </c>
    </row>
    <row r="77" spans="1:33" x14ac:dyDescent="0.25">
      <c r="A77" t="s">
        <v>17</v>
      </c>
      <c r="B77">
        <v>70000</v>
      </c>
      <c r="C77">
        <v>75</v>
      </c>
      <c r="D77" s="2">
        <f>Table3[[#This Row],[PrimaTécnica]]-Table3[[#This Row],[PrimaTécnica]]*SUM(Table3[[#This Row],[Gastos Adm]:[Cobranza]])</f>
        <v>11845.728317779198</v>
      </c>
      <c r="E77">
        <v>0</v>
      </c>
      <c r="F77">
        <v>0.15</v>
      </c>
      <c r="G77">
        <v>0.05</v>
      </c>
      <c r="H77">
        <v>0.01</v>
      </c>
      <c r="I77">
        <v>0.01</v>
      </c>
      <c r="J77" s="8">
        <f>Table3[[#This Row],[PrimaTécnica]]*Table3[[#This Row],[Gastos Adm]]</f>
        <v>2278.0246764959998</v>
      </c>
      <c r="K77" s="8">
        <f>Table3[[#This Row],[PrimaTécnica]]*Table3[[#This Row],[Utilidad]]</f>
        <v>759.34155883199992</v>
      </c>
      <c r="L77" s="8">
        <f>Table3[[#This Row],[PrimaTécnica]]*Table3[[#This Row],[Marketing]]</f>
        <v>151.86831176639998</v>
      </c>
      <c r="M77" s="8">
        <f>Table3[[#This Row],[PrimaTécnica]]*Table3[[#This Row],[Cobranza]]</f>
        <v>151.86831176639998</v>
      </c>
      <c r="N7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77">
        <v>21.84</v>
      </c>
      <c r="P77">
        <v>54.6</v>
      </c>
      <c r="Q77">
        <v>80.64</v>
      </c>
      <c r="R77">
        <v>44.377200000000002</v>
      </c>
      <c r="S77">
        <v>0.2</v>
      </c>
      <c r="T77">
        <v>0.02</v>
      </c>
      <c r="U77" s="8">
        <f>Table3[[#This Row],[PrimaNeta]]*Table3[[#This Row],[Comisión]]</f>
        <v>3847.0720941599998</v>
      </c>
      <c r="V77" s="15">
        <f>Table3[[#This Row],[PrimaComercial Anual]]-Table3[[#This Row],[PrimaComercial Anual]]*SUM(Table3[[#This Row],[APS]:[IVA]])</f>
        <v>19235.360470799998</v>
      </c>
      <c r="W77" s="2">
        <v>1.4800000000000001E-2</v>
      </c>
      <c r="X77" s="2">
        <v>8.4501000000000007E-2</v>
      </c>
      <c r="Y77">
        <v>0.03</v>
      </c>
      <c r="Z77">
        <v>0.13</v>
      </c>
      <c r="AA77" s="20">
        <f>Table3[[#This Row],[APS]]*Table3[[#This Row],[PrimaComercial Anual]]</f>
        <v>384.34416000000004</v>
      </c>
      <c r="AB77" s="8">
        <f>Table3[[#This Row],[PrimaComercial Anual]]*Table3[[#This Row],[Recargo adicional]]</f>
        <v>2194.4233692000003</v>
      </c>
      <c r="AC77" s="8">
        <f>Table3[[#This Row],[PrimaComercial Anual]]*Table3[[#This Row],[IT]]</f>
        <v>779.07600000000002</v>
      </c>
      <c r="AD77" s="8">
        <f>Table3[[#This Row],[PrimaComercial Anual]]*Table3[[#This Row],[IVA]]</f>
        <v>3375.9960000000001</v>
      </c>
      <c r="AE77" s="15">
        <f>Table3[[#This Row],[PrimaComercial Anual Asistencia]]</f>
        <v>25969.200000000001</v>
      </c>
      <c r="AG77">
        <v>25969.200000000001</v>
      </c>
    </row>
    <row r="78" spans="1:33" x14ac:dyDescent="0.25">
      <c r="A78" t="s">
        <v>17</v>
      </c>
      <c r="B78">
        <v>70000</v>
      </c>
      <c r="C78">
        <v>76</v>
      </c>
      <c r="D78" s="2">
        <f>Table3[[#This Row],[PrimaTécnica]]-Table3[[#This Row],[PrimaTécnica]]*SUM(Table3[[#This Row],[Gastos Adm]:[Cobranza]])</f>
        <v>11845.728317779198</v>
      </c>
      <c r="E78">
        <v>0</v>
      </c>
      <c r="F78">
        <v>0.15</v>
      </c>
      <c r="G78">
        <v>0.05</v>
      </c>
      <c r="H78">
        <v>0.01</v>
      </c>
      <c r="I78">
        <v>0.01</v>
      </c>
      <c r="J78" s="8">
        <f>Table3[[#This Row],[PrimaTécnica]]*Table3[[#This Row],[Gastos Adm]]</f>
        <v>2278.0246764959998</v>
      </c>
      <c r="K78" s="8">
        <f>Table3[[#This Row],[PrimaTécnica]]*Table3[[#This Row],[Utilidad]]</f>
        <v>759.34155883199992</v>
      </c>
      <c r="L78" s="8">
        <f>Table3[[#This Row],[PrimaTécnica]]*Table3[[#This Row],[Marketing]]</f>
        <v>151.86831176639998</v>
      </c>
      <c r="M78" s="8">
        <f>Table3[[#This Row],[PrimaTécnica]]*Table3[[#This Row],[Cobranza]]</f>
        <v>151.86831176639998</v>
      </c>
      <c r="N7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78">
        <v>21.84</v>
      </c>
      <c r="P78">
        <v>54.6</v>
      </c>
      <c r="Q78">
        <v>80.64</v>
      </c>
      <c r="R78">
        <v>44.377200000000002</v>
      </c>
      <c r="S78">
        <v>0.2</v>
      </c>
      <c r="T78">
        <v>0.02</v>
      </c>
      <c r="U78" s="8">
        <f>Table3[[#This Row],[PrimaNeta]]*Table3[[#This Row],[Comisión]]</f>
        <v>3847.0720941599998</v>
      </c>
      <c r="V78" s="15">
        <f>Table3[[#This Row],[PrimaComercial Anual]]-Table3[[#This Row],[PrimaComercial Anual]]*SUM(Table3[[#This Row],[APS]:[IVA]])</f>
        <v>19235.360470799998</v>
      </c>
      <c r="W78" s="2">
        <v>1.4800000000000001E-2</v>
      </c>
      <c r="X78" s="2">
        <v>8.4501000000000007E-2</v>
      </c>
      <c r="Y78">
        <v>0.03</v>
      </c>
      <c r="Z78">
        <v>0.13</v>
      </c>
      <c r="AA78" s="20">
        <f>Table3[[#This Row],[APS]]*Table3[[#This Row],[PrimaComercial Anual]]</f>
        <v>384.34416000000004</v>
      </c>
      <c r="AB78" s="8">
        <f>Table3[[#This Row],[PrimaComercial Anual]]*Table3[[#This Row],[Recargo adicional]]</f>
        <v>2194.4233692000003</v>
      </c>
      <c r="AC78" s="8">
        <f>Table3[[#This Row],[PrimaComercial Anual]]*Table3[[#This Row],[IT]]</f>
        <v>779.07600000000002</v>
      </c>
      <c r="AD78" s="8">
        <f>Table3[[#This Row],[PrimaComercial Anual]]*Table3[[#This Row],[IVA]]</f>
        <v>3375.9960000000001</v>
      </c>
      <c r="AE78" s="15">
        <f>Table3[[#This Row],[PrimaComercial Anual Asistencia]]</f>
        <v>25969.200000000001</v>
      </c>
      <c r="AG78">
        <v>25969.200000000001</v>
      </c>
    </row>
    <row r="79" spans="1:33" x14ac:dyDescent="0.25">
      <c r="A79" t="s">
        <v>17</v>
      </c>
      <c r="B79">
        <v>70000</v>
      </c>
      <c r="C79">
        <v>77</v>
      </c>
      <c r="D79" s="2">
        <f>Table3[[#This Row],[PrimaTécnica]]-Table3[[#This Row],[PrimaTécnica]]*SUM(Table3[[#This Row],[Gastos Adm]:[Cobranza]])</f>
        <v>11845.728317779198</v>
      </c>
      <c r="E79">
        <v>0</v>
      </c>
      <c r="F79">
        <v>0.15</v>
      </c>
      <c r="G79">
        <v>0.05</v>
      </c>
      <c r="H79">
        <v>0.01</v>
      </c>
      <c r="I79">
        <v>0.01</v>
      </c>
      <c r="J79" s="8">
        <f>Table3[[#This Row],[PrimaTécnica]]*Table3[[#This Row],[Gastos Adm]]</f>
        <v>2278.0246764959998</v>
      </c>
      <c r="K79" s="8">
        <f>Table3[[#This Row],[PrimaTécnica]]*Table3[[#This Row],[Utilidad]]</f>
        <v>759.34155883199992</v>
      </c>
      <c r="L79" s="8">
        <f>Table3[[#This Row],[PrimaTécnica]]*Table3[[#This Row],[Marketing]]</f>
        <v>151.86831176639998</v>
      </c>
      <c r="M79" s="8">
        <f>Table3[[#This Row],[PrimaTécnica]]*Table3[[#This Row],[Cobranza]]</f>
        <v>151.86831176639998</v>
      </c>
      <c r="N7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79">
        <v>21.84</v>
      </c>
      <c r="P79">
        <v>54.6</v>
      </c>
      <c r="Q79">
        <v>80.64</v>
      </c>
      <c r="R79">
        <v>44.377200000000002</v>
      </c>
      <c r="S79">
        <v>0.2</v>
      </c>
      <c r="T79">
        <v>0.02</v>
      </c>
      <c r="U79" s="8">
        <f>Table3[[#This Row],[PrimaNeta]]*Table3[[#This Row],[Comisión]]</f>
        <v>3847.0720941599998</v>
      </c>
      <c r="V79" s="15">
        <f>Table3[[#This Row],[PrimaComercial Anual]]-Table3[[#This Row],[PrimaComercial Anual]]*SUM(Table3[[#This Row],[APS]:[IVA]])</f>
        <v>19235.360470799998</v>
      </c>
      <c r="W79" s="2">
        <v>1.4800000000000001E-2</v>
      </c>
      <c r="X79" s="2">
        <v>8.4501000000000007E-2</v>
      </c>
      <c r="Y79">
        <v>0.03</v>
      </c>
      <c r="Z79">
        <v>0.13</v>
      </c>
      <c r="AA79" s="20">
        <f>Table3[[#This Row],[APS]]*Table3[[#This Row],[PrimaComercial Anual]]</f>
        <v>384.34416000000004</v>
      </c>
      <c r="AB79" s="8">
        <f>Table3[[#This Row],[PrimaComercial Anual]]*Table3[[#This Row],[Recargo adicional]]</f>
        <v>2194.4233692000003</v>
      </c>
      <c r="AC79" s="8">
        <f>Table3[[#This Row],[PrimaComercial Anual]]*Table3[[#This Row],[IT]]</f>
        <v>779.07600000000002</v>
      </c>
      <c r="AD79" s="8">
        <f>Table3[[#This Row],[PrimaComercial Anual]]*Table3[[#This Row],[IVA]]</f>
        <v>3375.9960000000001</v>
      </c>
      <c r="AE79" s="15">
        <f>Table3[[#This Row],[PrimaComercial Anual Asistencia]]</f>
        <v>25969.200000000001</v>
      </c>
      <c r="AG79">
        <v>25969.200000000001</v>
      </c>
    </row>
    <row r="80" spans="1:33" x14ac:dyDescent="0.25">
      <c r="A80" t="s">
        <v>17</v>
      </c>
      <c r="B80">
        <v>70000</v>
      </c>
      <c r="C80">
        <v>78</v>
      </c>
      <c r="D80" s="2">
        <f>Table3[[#This Row],[PrimaTécnica]]-Table3[[#This Row],[PrimaTécnica]]*SUM(Table3[[#This Row],[Gastos Adm]:[Cobranza]])</f>
        <v>11845.728317779198</v>
      </c>
      <c r="E80">
        <v>0</v>
      </c>
      <c r="F80">
        <v>0.15</v>
      </c>
      <c r="G80">
        <v>0.05</v>
      </c>
      <c r="H80">
        <v>0.01</v>
      </c>
      <c r="I80">
        <v>0.01</v>
      </c>
      <c r="J80" s="8">
        <f>Table3[[#This Row],[PrimaTécnica]]*Table3[[#This Row],[Gastos Adm]]</f>
        <v>2278.0246764959998</v>
      </c>
      <c r="K80" s="8">
        <f>Table3[[#This Row],[PrimaTécnica]]*Table3[[#This Row],[Utilidad]]</f>
        <v>759.34155883199992</v>
      </c>
      <c r="L80" s="8">
        <f>Table3[[#This Row],[PrimaTécnica]]*Table3[[#This Row],[Marketing]]</f>
        <v>151.86831176639998</v>
      </c>
      <c r="M80" s="8">
        <f>Table3[[#This Row],[PrimaTécnica]]*Table3[[#This Row],[Cobranza]]</f>
        <v>151.86831176639998</v>
      </c>
      <c r="N8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80">
        <v>21.84</v>
      </c>
      <c r="P80">
        <v>54.6</v>
      </c>
      <c r="Q80">
        <v>80.64</v>
      </c>
      <c r="R80">
        <v>44.377200000000002</v>
      </c>
      <c r="S80">
        <v>0.2</v>
      </c>
      <c r="T80">
        <v>0.02</v>
      </c>
      <c r="U80" s="8">
        <f>Table3[[#This Row],[PrimaNeta]]*Table3[[#This Row],[Comisión]]</f>
        <v>3847.0720941599998</v>
      </c>
      <c r="V80" s="15">
        <f>Table3[[#This Row],[PrimaComercial Anual]]-Table3[[#This Row],[PrimaComercial Anual]]*SUM(Table3[[#This Row],[APS]:[IVA]])</f>
        <v>19235.360470799998</v>
      </c>
      <c r="W80" s="2">
        <v>1.4800000000000001E-2</v>
      </c>
      <c r="X80" s="2">
        <v>8.4501000000000007E-2</v>
      </c>
      <c r="Y80">
        <v>0.03</v>
      </c>
      <c r="Z80">
        <v>0.13</v>
      </c>
      <c r="AA80" s="20">
        <f>Table3[[#This Row],[APS]]*Table3[[#This Row],[PrimaComercial Anual]]</f>
        <v>384.34416000000004</v>
      </c>
      <c r="AB80" s="8">
        <f>Table3[[#This Row],[PrimaComercial Anual]]*Table3[[#This Row],[Recargo adicional]]</f>
        <v>2194.4233692000003</v>
      </c>
      <c r="AC80" s="8">
        <f>Table3[[#This Row],[PrimaComercial Anual]]*Table3[[#This Row],[IT]]</f>
        <v>779.07600000000002</v>
      </c>
      <c r="AD80" s="8">
        <f>Table3[[#This Row],[PrimaComercial Anual]]*Table3[[#This Row],[IVA]]</f>
        <v>3375.9960000000001</v>
      </c>
      <c r="AE80" s="15">
        <f>Table3[[#This Row],[PrimaComercial Anual Asistencia]]</f>
        <v>25969.200000000001</v>
      </c>
      <c r="AG80">
        <v>25969.200000000001</v>
      </c>
    </row>
    <row r="81" spans="1:33" x14ac:dyDescent="0.25">
      <c r="A81" t="s">
        <v>17</v>
      </c>
      <c r="B81">
        <v>70000</v>
      </c>
      <c r="C81">
        <v>79</v>
      </c>
      <c r="D81" s="2">
        <f>Table3[[#This Row],[PrimaTécnica]]-Table3[[#This Row],[PrimaTécnica]]*SUM(Table3[[#This Row],[Gastos Adm]:[Cobranza]])</f>
        <v>11845.728317779198</v>
      </c>
      <c r="E81">
        <v>0</v>
      </c>
      <c r="F81">
        <v>0.15</v>
      </c>
      <c r="G81">
        <v>0.05</v>
      </c>
      <c r="H81">
        <v>0.01</v>
      </c>
      <c r="I81">
        <v>0.01</v>
      </c>
      <c r="J81" s="8">
        <f>Table3[[#This Row],[PrimaTécnica]]*Table3[[#This Row],[Gastos Adm]]</f>
        <v>2278.0246764959998</v>
      </c>
      <c r="K81" s="8">
        <f>Table3[[#This Row],[PrimaTécnica]]*Table3[[#This Row],[Utilidad]]</f>
        <v>759.34155883199992</v>
      </c>
      <c r="L81" s="8">
        <f>Table3[[#This Row],[PrimaTécnica]]*Table3[[#This Row],[Marketing]]</f>
        <v>151.86831176639998</v>
      </c>
      <c r="M81" s="8">
        <f>Table3[[#This Row],[PrimaTécnica]]*Table3[[#This Row],[Cobranza]]</f>
        <v>151.86831176639998</v>
      </c>
      <c r="N8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81">
        <v>21.84</v>
      </c>
      <c r="P81">
        <v>54.6</v>
      </c>
      <c r="Q81">
        <v>80.64</v>
      </c>
      <c r="R81">
        <v>44.377200000000002</v>
      </c>
      <c r="S81">
        <v>0.2</v>
      </c>
      <c r="T81">
        <v>0.02</v>
      </c>
      <c r="U81" s="8">
        <f>Table3[[#This Row],[PrimaNeta]]*Table3[[#This Row],[Comisión]]</f>
        <v>3847.0720941599998</v>
      </c>
      <c r="V81" s="15">
        <f>Table3[[#This Row],[PrimaComercial Anual]]-Table3[[#This Row],[PrimaComercial Anual]]*SUM(Table3[[#This Row],[APS]:[IVA]])</f>
        <v>19235.360470799998</v>
      </c>
      <c r="W81" s="2">
        <v>1.4800000000000001E-2</v>
      </c>
      <c r="X81" s="2">
        <v>8.4501000000000007E-2</v>
      </c>
      <c r="Y81">
        <v>0.03</v>
      </c>
      <c r="Z81">
        <v>0.13</v>
      </c>
      <c r="AA81" s="20">
        <f>Table3[[#This Row],[APS]]*Table3[[#This Row],[PrimaComercial Anual]]</f>
        <v>384.34416000000004</v>
      </c>
      <c r="AB81" s="8">
        <f>Table3[[#This Row],[PrimaComercial Anual]]*Table3[[#This Row],[Recargo adicional]]</f>
        <v>2194.4233692000003</v>
      </c>
      <c r="AC81" s="8">
        <f>Table3[[#This Row],[PrimaComercial Anual]]*Table3[[#This Row],[IT]]</f>
        <v>779.07600000000002</v>
      </c>
      <c r="AD81" s="8">
        <f>Table3[[#This Row],[PrimaComercial Anual]]*Table3[[#This Row],[IVA]]</f>
        <v>3375.9960000000001</v>
      </c>
      <c r="AE81" s="15">
        <f>Table3[[#This Row],[PrimaComercial Anual Asistencia]]</f>
        <v>25969.200000000001</v>
      </c>
      <c r="AG81">
        <v>25969.200000000001</v>
      </c>
    </row>
    <row r="82" spans="1:33" x14ac:dyDescent="0.25">
      <c r="A82" t="s">
        <v>17</v>
      </c>
      <c r="B82">
        <v>70000</v>
      </c>
      <c r="C82">
        <v>80</v>
      </c>
      <c r="D82" s="2">
        <f>Table3[[#This Row],[PrimaTécnica]]-Table3[[#This Row],[PrimaTécnica]]*SUM(Table3[[#This Row],[Gastos Adm]:[Cobranza]])</f>
        <v>11845.728317779198</v>
      </c>
      <c r="E82">
        <v>0</v>
      </c>
      <c r="F82">
        <v>0.15</v>
      </c>
      <c r="G82">
        <v>0.05</v>
      </c>
      <c r="H82">
        <v>0.01</v>
      </c>
      <c r="I82">
        <v>0.01</v>
      </c>
      <c r="J82" s="8">
        <f>Table3[[#This Row],[PrimaTécnica]]*Table3[[#This Row],[Gastos Adm]]</f>
        <v>2278.0246764959998</v>
      </c>
      <c r="K82" s="8">
        <f>Table3[[#This Row],[PrimaTécnica]]*Table3[[#This Row],[Utilidad]]</f>
        <v>759.34155883199992</v>
      </c>
      <c r="L82" s="8">
        <f>Table3[[#This Row],[PrimaTécnica]]*Table3[[#This Row],[Marketing]]</f>
        <v>151.86831176639998</v>
      </c>
      <c r="M82" s="8">
        <f>Table3[[#This Row],[PrimaTécnica]]*Table3[[#This Row],[Cobranza]]</f>
        <v>151.86831176639998</v>
      </c>
      <c r="N8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82">
        <v>21.84</v>
      </c>
      <c r="P82">
        <v>54.6</v>
      </c>
      <c r="Q82">
        <v>80.64</v>
      </c>
      <c r="R82">
        <v>44.377200000000002</v>
      </c>
      <c r="S82">
        <v>0.2</v>
      </c>
      <c r="T82">
        <v>0.02</v>
      </c>
      <c r="U82" s="8">
        <f>Table3[[#This Row],[PrimaNeta]]*Table3[[#This Row],[Comisión]]</f>
        <v>3847.0720941599998</v>
      </c>
      <c r="V82" s="15">
        <f>Table3[[#This Row],[PrimaComercial Anual]]-Table3[[#This Row],[PrimaComercial Anual]]*SUM(Table3[[#This Row],[APS]:[IVA]])</f>
        <v>19235.360470799998</v>
      </c>
      <c r="W82" s="2">
        <v>1.4800000000000001E-2</v>
      </c>
      <c r="X82" s="2">
        <v>8.4501000000000007E-2</v>
      </c>
      <c r="Y82">
        <v>0.03</v>
      </c>
      <c r="Z82">
        <v>0.13</v>
      </c>
      <c r="AA82" s="20">
        <f>Table3[[#This Row],[APS]]*Table3[[#This Row],[PrimaComercial Anual]]</f>
        <v>384.34416000000004</v>
      </c>
      <c r="AB82" s="8">
        <f>Table3[[#This Row],[PrimaComercial Anual]]*Table3[[#This Row],[Recargo adicional]]</f>
        <v>2194.4233692000003</v>
      </c>
      <c r="AC82" s="8">
        <f>Table3[[#This Row],[PrimaComercial Anual]]*Table3[[#This Row],[IT]]</f>
        <v>779.07600000000002</v>
      </c>
      <c r="AD82" s="8">
        <f>Table3[[#This Row],[PrimaComercial Anual]]*Table3[[#This Row],[IVA]]</f>
        <v>3375.9960000000001</v>
      </c>
      <c r="AE82" s="15">
        <f>Table3[[#This Row],[PrimaComercial Anual Asistencia]]</f>
        <v>25969.200000000001</v>
      </c>
      <c r="AG82">
        <v>25969.200000000001</v>
      </c>
    </row>
    <row r="83" spans="1:33" x14ac:dyDescent="0.25">
      <c r="A83" t="s">
        <v>17</v>
      </c>
      <c r="B83">
        <v>70000</v>
      </c>
      <c r="C83">
        <v>81</v>
      </c>
      <c r="D83" s="2">
        <f>Table3[[#This Row],[PrimaTécnica]]-Table3[[#This Row],[PrimaTécnica]]*SUM(Table3[[#This Row],[Gastos Adm]:[Cobranza]])</f>
        <v>11845.728317779198</v>
      </c>
      <c r="E83">
        <v>0</v>
      </c>
      <c r="F83">
        <v>0.15</v>
      </c>
      <c r="G83">
        <v>0.05</v>
      </c>
      <c r="H83">
        <v>0.01</v>
      </c>
      <c r="I83">
        <v>0.01</v>
      </c>
      <c r="J83" s="8">
        <f>Table3[[#This Row],[PrimaTécnica]]*Table3[[#This Row],[Gastos Adm]]</f>
        <v>2278.0246764959998</v>
      </c>
      <c r="K83" s="8">
        <f>Table3[[#This Row],[PrimaTécnica]]*Table3[[#This Row],[Utilidad]]</f>
        <v>759.34155883199992</v>
      </c>
      <c r="L83" s="8">
        <f>Table3[[#This Row],[PrimaTécnica]]*Table3[[#This Row],[Marketing]]</f>
        <v>151.86831176639998</v>
      </c>
      <c r="M83" s="8">
        <f>Table3[[#This Row],[PrimaTécnica]]*Table3[[#This Row],[Cobranza]]</f>
        <v>151.86831176639998</v>
      </c>
      <c r="N8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83">
        <v>21.84</v>
      </c>
      <c r="P83">
        <v>54.6</v>
      </c>
      <c r="Q83">
        <v>80.64</v>
      </c>
      <c r="R83">
        <v>44.377200000000002</v>
      </c>
      <c r="S83">
        <v>0.2</v>
      </c>
      <c r="T83">
        <v>0.02</v>
      </c>
      <c r="U83" s="8">
        <f>Table3[[#This Row],[PrimaNeta]]*Table3[[#This Row],[Comisión]]</f>
        <v>3847.0720941599998</v>
      </c>
      <c r="V83" s="15">
        <f>Table3[[#This Row],[PrimaComercial Anual]]-Table3[[#This Row],[PrimaComercial Anual]]*SUM(Table3[[#This Row],[APS]:[IVA]])</f>
        <v>19235.360470799998</v>
      </c>
      <c r="W83" s="2">
        <v>1.4800000000000001E-2</v>
      </c>
      <c r="X83" s="2">
        <v>8.4501000000000007E-2</v>
      </c>
      <c r="Y83">
        <v>0.03</v>
      </c>
      <c r="Z83">
        <v>0.13</v>
      </c>
      <c r="AA83" s="20">
        <f>Table3[[#This Row],[APS]]*Table3[[#This Row],[PrimaComercial Anual]]</f>
        <v>384.34416000000004</v>
      </c>
      <c r="AB83" s="8">
        <f>Table3[[#This Row],[PrimaComercial Anual]]*Table3[[#This Row],[Recargo adicional]]</f>
        <v>2194.4233692000003</v>
      </c>
      <c r="AC83" s="8">
        <f>Table3[[#This Row],[PrimaComercial Anual]]*Table3[[#This Row],[IT]]</f>
        <v>779.07600000000002</v>
      </c>
      <c r="AD83" s="8">
        <f>Table3[[#This Row],[PrimaComercial Anual]]*Table3[[#This Row],[IVA]]</f>
        <v>3375.9960000000001</v>
      </c>
      <c r="AE83" s="15">
        <f>Table3[[#This Row],[PrimaComercial Anual Asistencia]]</f>
        <v>25969.200000000001</v>
      </c>
      <c r="AG83">
        <v>25969.200000000001</v>
      </c>
    </row>
    <row r="84" spans="1:33" x14ac:dyDescent="0.25">
      <c r="A84" t="s">
        <v>17</v>
      </c>
      <c r="B84">
        <v>70000</v>
      </c>
      <c r="C84">
        <v>82</v>
      </c>
      <c r="D84" s="2">
        <f>Table3[[#This Row],[PrimaTécnica]]-Table3[[#This Row],[PrimaTécnica]]*SUM(Table3[[#This Row],[Gastos Adm]:[Cobranza]])</f>
        <v>11845.728317779198</v>
      </c>
      <c r="E84">
        <v>0</v>
      </c>
      <c r="F84">
        <v>0.15</v>
      </c>
      <c r="G84">
        <v>0.05</v>
      </c>
      <c r="H84">
        <v>0.01</v>
      </c>
      <c r="I84">
        <v>0.01</v>
      </c>
      <c r="J84" s="8">
        <f>Table3[[#This Row],[PrimaTécnica]]*Table3[[#This Row],[Gastos Adm]]</f>
        <v>2278.0246764959998</v>
      </c>
      <c r="K84" s="8">
        <f>Table3[[#This Row],[PrimaTécnica]]*Table3[[#This Row],[Utilidad]]</f>
        <v>759.34155883199992</v>
      </c>
      <c r="L84" s="8">
        <f>Table3[[#This Row],[PrimaTécnica]]*Table3[[#This Row],[Marketing]]</f>
        <v>151.86831176639998</v>
      </c>
      <c r="M84" s="8">
        <f>Table3[[#This Row],[PrimaTécnica]]*Table3[[#This Row],[Cobranza]]</f>
        <v>151.86831176639998</v>
      </c>
      <c r="N8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84">
        <v>21.84</v>
      </c>
      <c r="P84">
        <v>54.6</v>
      </c>
      <c r="Q84">
        <v>80.64</v>
      </c>
      <c r="R84">
        <v>44.377200000000002</v>
      </c>
      <c r="S84">
        <v>0.2</v>
      </c>
      <c r="T84">
        <v>0.02</v>
      </c>
      <c r="U84" s="8">
        <f>Table3[[#This Row],[PrimaNeta]]*Table3[[#This Row],[Comisión]]</f>
        <v>3847.0720941599998</v>
      </c>
      <c r="V84" s="15">
        <f>Table3[[#This Row],[PrimaComercial Anual]]-Table3[[#This Row],[PrimaComercial Anual]]*SUM(Table3[[#This Row],[APS]:[IVA]])</f>
        <v>19235.360470799998</v>
      </c>
      <c r="W84" s="2">
        <v>1.4800000000000001E-2</v>
      </c>
      <c r="X84" s="2">
        <v>8.4501000000000007E-2</v>
      </c>
      <c r="Y84">
        <v>0.03</v>
      </c>
      <c r="Z84">
        <v>0.13</v>
      </c>
      <c r="AA84" s="20">
        <f>Table3[[#This Row],[APS]]*Table3[[#This Row],[PrimaComercial Anual]]</f>
        <v>384.34416000000004</v>
      </c>
      <c r="AB84" s="8">
        <f>Table3[[#This Row],[PrimaComercial Anual]]*Table3[[#This Row],[Recargo adicional]]</f>
        <v>2194.4233692000003</v>
      </c>
      <c r="AC84" s="8">
        <f>Table3[[#This Row],[PrimaComercial Anual]]*Table3[[#This Row],[IT]]</f>
        <v>779.07600000000002</v>
      </c>
      <c r="AD84" s="8">
        <f>Table3[[#This Row],[PrimaComercial Anual]]*Table3[[#This Row],[IVA]]</f>
        <v>3375.9960000000001</v>
      </c>
      <c r="AE84" s="15">
        <f>Table3[[#This Row],[PrimaComercial Anual Asistencia]]</f>
        <v>25969.200000000001</v>
      </c>
      <c r="AG84">
        <v>25969.200000000001</v>
      </c>
    </row>
    <row r="85" spans="1:33" x14ac:dyDescent="0.25">
      <c r="A85" t="s">
        <v>17</v>
      </c>
      <c r="B85">
        <v>70000</v>
      </c>
      <c r="C85">
        <v>83</v>
      </c>
      <c r="D85" s="2">
        <f>Table3[[#This Row],[PrimaTécnica]]-Table3[[#This Row],[PrimaTécnica]]*SUM(Table3[[#This Row],[Gastos Adm]:[Cobranza]])</f>
        <v>11845.728317779198</v>
      </c>
      <c r="E85">
        <v>0</v>
      </c>
      <c r="F85">
        <v>0.15</v>
      </c>
      <c r="G85">
        <v>0.05</v>
      </c>
      <c r="H85">
        <v>0.01</v>
      </c>
      <c r="I85">
        <v>0.01</v>
      </c>
      <c r="J85" s="8">
        <f>Table3[[#This Row],[PrimaTécnica]]*Table3[[#This Row],[Gastos Adm]]</f>
        <v>2278.0246764959998</v>
      </c>
      <c r="K85" s="8">
        <f>Table3[[#This Row],[PrimaTécnica]]*Table3[[#This Row],[Utilidad]]</f>
        <v>759.34155883199992</v>
      </c>
      <c r="L85" s="8">
        <f>Table3[[#This Row],[PrimaTécnica]]*Table3[[#This Row],[Marketing]]</f>
        <v>151.86831176639998</v>
      </c>
      <c r="M85" s="8">
        <f>Table3[[#This Row],[PrimaTécnica]]*Table3[[#This Row],[Cobranza]]</f>
        <v>151.86831176639998</v>
      </c>
      <c r="N8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85">
        <v>21.84</v>
      </c>
      <c r="P85">
        <v>54.6</v>
      </c>
      <c r="Q85">
        <v>80.64</v>
      </c>
      <c r="R85">
        <v>44.377200000000002</v>
      </c>
      <c r="S85">
        <v>0.2</v>
      </c>
      <c r="T85">
        <v>0.02</v>
      </c>
      <c r="U85" s="8">
        <f>Table3[[#This Row],[PrimaNeta]]*Table3[[#This Row],[Comisión]]</f>
        <v>3847.0720941599998</v>
      </c>
      <c r="V85" s="15">
        <f>Table3[[#This Row],[PrimaComercial Anual]]-Table3[[#This Row],[PrimaComercial Anual]]*SUM(Table3[[#This Row],[APS]:[IVA]])</f>
        <v>19235.360470799998</v>
      </c>
      <c r="W85" s="2">
        <v>1.4800000000000001E-2</v>
      </c>
      <c r="X85" s="2">
        <v>8.4501000000000007E-2</v>
      </c>
      <c r="Y85">
        <v>0.03</v>
      </c>
      <c r="Z85">
        <v>0.13</v>
      </c>
      <c r="AA85" s="20">
        <f>Table3[[#This Row],[APS]]*Table3[[#This Row],[PrimaComercial Anual]]</f>
        <v>384.34416000000004</v>
      </c>
      <c r="AB85" s="8">
        <f>Table3[[#This Row],[PrimaComercial Anual]]*Table3[[#This Row],[Recargo adicional]]</f>
        <v>2194.4233692000003</v>
      </c>
      <c r="AC85" s="8">
        <f>Table3[[#This Row],[PrimaComercial Anual]]*Table3[[#This Row],[IT]]</f>
        <v>779.07600000000002</v>
      </c>
      <c r="AD85" s="8">
        <f>Table3[[#This Row],[PrimaComercial Anual]]*Table3[[#This Row],[IVA]]</f>
        <v>3375.9960000000001</v>
      </c>
      <c r="AE85" s="15">
        <f>Table3[[#This Row],[PrimaComercial Anual Asistencia]]</f>
        <v>25969.200000000001</v>
      </c>
      <c r="AG85">
        <v>25969.200000000001</v>
      </c>
    </row>
    <row r="86" spans="1:33" x14ac:dyDescent="0.25">
      <c r="A86" t="s">
        <v>17</v>
      </c>
      <c r="B86">
        <v>70000</v>
      </c>
      <c r="C86">
        <v>84</v>
      </c>
      <c r="D86" s="2">
        <f>Table3[[#This Row],[PrimaTécnica]]-Table3[[#This Row],[PrimaTécnica]]*SUM(Table3[[#This Row],[Gastos Adm]:[Cobranza]])</f>
        <v>11845.728317779198</v>
      </c>
      <c r="E86">
        <v>0</v>
      </c>
      <c r="F86">
        <v>0.15</v>
      </c>
      <c r="G86">
        <v>0.05</v>
      </c>
      <c r="H86">
        <v>0.01</v>
      </c>
      <c r="I86">
        <v>0.01</v>
      </c>
      <c r="J86" s="8">
        <f>Table3[[#This Row],[PrimaTécnica]]*Table3[[#This Row],[Gastos Adm]]</f>
        <v>2278.0246764959998</v>
      </c>
      <c r="K86" s="8">
        <f>Table3[[#This Row],[PrimaTécnica]]*Table3[[#This Row],[Utilidad]]</f>
        <v>759.34155883199992</v>
      </c>
      <c r="L86" s="8">
        <f>Table3[[#This Row],[PrimaTécnica]]*Table3[[#This Row],[Marketing]]</f>
        <v>151.86831176639998</v>
      </c>
      <c r="M86" s="8">
        <f>Table3[[#This Row],[PrimaTécnica]]*Table3[[#This Row],[Cobranza]]</f>
        <v>151.86831176639998</v>
      </c>
      <c r="N8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86">
        <v>21.84</v>
      </c>
      <c r="P86">
        <v>54.6</v>
      </c>
      <c r="Q86">
        <v>80.64</v>
      </c>
      <c r="R86">
        <v>44.377200000000002</v>
      </c>
      <c r="S86">
        <v>0.2</v>
      </c>
      <c r="T86">
        <v>0.02</v>
      </c>
      <c r="U86" s="8">
        <f>Table3[[#This Row],[PrimaNeta]]*Table3[[#This Row],[Comisión]]</f>
        <v>3847.0720941599998</v>
      </c>
      <c r="V86" s="15">
        <f>Table3[[#This Row],[PrimaComercial Anual]]-Table3[[#This Row],[PrimaComercial Anual]]*SUM(Table3[[#This Row],[APS]:[IVA]])</f>
        <v>19235.360470799998</v>
      </c>
      <c r="W86" s="2">
        <v>1.4800000000000001E-2</v>
      </c>
      <c r="X86" s="2">
        <v>8.4501000000000007E-2</v>
      </c>
      <c r="Y86">
        <v>0.03</v>
      </c>
      <c r="Z86">
        <v>0.13</v>
      </c>
      <c r="AA86" s="20">
        <f>Table3[[#This Row],[APS]]*Table3[[#This Row],[PrimaComercial Anual]]</f>
        <v>384.34416000000004</v>
      </c>
      <c r="AB86" s="8">
        <f>Table3[[#This Row],[PrimaComercial Anual]]*Table3[[#This Row],[Recargo adicional]]</f>
        <v>2194.4233692000003</v>
      </c>
      <c r="AC86" s="8">
        <f>Table3[[#This Row],[PrimaComercial Anual]]*Table3[[#This Row],[IT]]</f>
        <v>779.07600000000002</v>
      </c>
      <c r="AD86" s="8">
        <f>Table3[[#This Row],[PrimaComercial Anual]]*Table3[[#This Row],[IVA]]</f>
        <v>3375.9960000000001</v>
      </c>
      <c r="AE86" s="15">
        <f>Table3[[#This Row],[PrimaComercial Anual Asistencia]]</f>
        <v>25969.200000000001</v>
      </c>
      <c r="AG86">
        <v>25969.200000000001</v>
      </c>
    </row>
    <row r="87" spans="1:33" x14ac:dyDescent="0.25">
      <c r="A87" t="s">
        <v>17</v>
      </c>
      <c r="B87">
        <v>70000</v>
      </c>
      <c r="C87">
        <v>85</v>
      </c>
      <c r="D87" s="2">
        <f>Table3[[#This Row],[PrimaTécnica]]-Table3[[#This Row],[PrimaTécnica]]*SUM(Table3[[#This Row],[Gastos Adm]:[Cobranza]])</f>
        <v>11845.728317779198</v>
      </c>
      <c r="E87">
        <v>0</v>
      </c>
      <c r="F87">
        <v>0.15</v>
      </c>
      <c r="G87">
        <v>0.05</v>
      </c>
      <c r="H87">
        <v>0.01</v>
      </c>
      <c r="I87">
        <v>0.01</v>
      </c>
      <c r="J87" s="8">
        <f>Table3[[#This Row],[PrimaTécnica]]*Table3[[#This Row],[Gastos Adm]]</f>
        <v>2278.0246764959998</v>
      </c>
      <c r="K87" s="8">
        <f>Table3[[#This Row],[PrimaTécnica]]*Table3[[#This Row],[Utilidad]]</f>
        <v>759.34155883199992</v>
      </c>
      <c r="L87" s="8">
        <f>Table3[[#This Row],[PrimaTécnica]]*Table3[[#This Row],[Marketing]]</f>
        <v>151.86831176639998</v>
      </c>
      <c r="M87" s="8">
        <f>Table3[[#This Row],[PrimaTécnica]]*Table3[[#This Row],[Cobranza]]</f>
        <v>151.86831176639998</v>
      </c>
      <c r="N8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87">
        <v>21.84</v>
      </c>
      <c r="P87">
        <v>54.6</v>
      </c>
      <c r="Q87">
        <v>80.64</v>
      </c>
      <c r="R87">
        <v>44.377200000000002</v>
      </c>
      <c r="S87">
        <v>0.2</v>
      </c>
      <c r="T87">
        <v>0.02</v>
      </c>
      <c r="U87" s="8">
        <f>Table3[[#This Row],[PrimaNeta]]*Table3[[#This Row],[Comisión]]</f>
        <v>3847.0720941599998</v>
      </c>
      <c r="V87" s="15">
        <f>Table3[[#This Row],[PrimaComercial Anual]]-Table3[[#This Row],[PrimaComercial Anual]]*SUM(Table3[[#This Row],[APS]:[IVA]])</f>
        <v>19235.360470799998</v>
      </c>
      <c r="W87" s="2">
        <v>1.4800000000000001E-2</v>
      </c>
      <c r="X87" s="2">
        <v>8.4501000000000007E-2</v>
      </c>
      <c r="Y87">
        <v>0.03</v>
      </c>
      <c r="Z87">
        <v>0.13</v>
      </c>
      <c r="AA87" s="20">
        <f>Table3[[#This Row],[APS]]*Table3[[#This Row],[PrimaComercial Anual]]</f>
        <v>384.34416000000004</v>
      </c>
      <c r="AB87" s="8">
        <f>Table3[[#This Row],[PrimaComercial Anual]]*Table3[[#This Row],[Recargo adicional]]</f>
        <v>2194.4233692000003</v>
      </c>
      <c r="AC87" s="8">
        <f>Table3[[#This Row],[PrimaComercial Anual]]*Table3[[#This Row],[IT]]</f>
        <v>779.07600000000002</v>
      </c>
      <c r="AD87" s="8">
        <f>Table3[[#This Row],[PrimaComercial Anual]]*Table3[[#This Row],[IVA]]</f>
        <v>3375.9960000000001</v>
      </c>
      <c r="AE87" s="15">
        <f>Table3[[#This Row],[PrimaComercial Anual Asistencia]]</f>
        <v>25969.200000000001</v>
      </c>
      <c r="AG87">
        <v>25969.200000000001</v>
      </c>
    </row>
    <row r="88" spans="1:33" x14ac:dyDescent="0.25">
      <c r="A88" t="s">
        <v>17</v>
      </c>
      <c r="B88">
        <v>70000</v>
      </c>
      <c r="C88">
        <v>86</v>
      </c>
      <c r="D88" s="2">
        <f>Table3[[#This Row],[PrimaTécnica]]-Table3[[#This Row],[PrimaTécnica]]*SUM(Table3[[#This Row],[Gastos Adm]:[Cobranza]])</f>
        <v>11845.728317779198</v>
      </c>
      <c r="E88">
        <v>0</v>
      </c>
      <c r="F88">
        <v>0.15</v>
      </c>
      <c r="G88">
        <v>0.05</v>
      </c>
      <c r="H88">
        <v>0.01</v>
      </c>
      <c r="I88">
        <v>0.01</v>
      </c>
      <c r="J88" s="8">
        <f>Table3[[#This Row],[PrimaTécnica]]*Table3[[#This Row],[Gastos Adm]]</f>
        <v>2278.0246764959998</v>
      </c>
      <c r="K88" s="8">
        <f>Table3[[#This Row],[PrimaTécnica]]*Table3[[#This Row],[Utilidad]]</f>
        <v>759.34155883199992</v>
      </c>
      <c r="L88" s="8">
        <f>Table3[[#This Row],[PrimaTécnica]]*Table3[[#This Row],[Marketing]]</f>
        <v>151.86831176639998</v>
      </c>
      <c r="M88" s="8">
        <f>Table3[[#This Row],[PrimaTécnica]]*Table3[[#This Row],[Cobranza]]</f>
        <v>151.86831176639998</v>
      </c>
      <c r="N8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88">
        <v>21.84</v>
      </c>
      <c r="P88">
        <v>54.6</v>
      </c>
      <c r="Q88">
        <v>80.64</v>
      </c>
      <c r="R88">
        <v>44.377200000000002</v>
      </c>
      <c r="S88">
        <v>0.2</v>
      </c>
      <c r="T88">
        <v>0.02</v>
      </c>
      <c r="U88" s="8">
        <f>Table3[[#This Row],[PrimaNeta]]*Table3[[#This Row],[Comisión]]</f>
        <v>3847.0720941599998</v>
      </c>
      <c r="V88" s="15">
        <f>Table3[[#This Row],[PrimaComercial Anual]]-Table3[[#This Row],[PrimaComercial Anual]]*SUM(Table3[[#This Row],[APS]:[IVA]])</f>
        <v>19235.360470799998</v>
      </c>
      <c r="W88" s="2">
        <v>1.4800000000000001E-2</v>
      </c>
      <c r="X88" s="2">
        <v>8.4501000000000007E-2</v>
      </c>
      <c r="Y88">
        <v>0.03</v>
      </c>
      <c r="Z88">
        <v>0.13</v>
      </c>
      <c r="AA88" s="20">
        <f>Table3[[#This Row],[APS]]*Table3[[#This Row],[PrimaComercial Anual]]</f>
        <v>384.34416000000004</v>
      </c>
      <c r="AB88" s="8">
        <f>Table3[[#This Row],[PrimaComercial Anual]]*Table3[[#This Row],[Recargo adicional]]</f>
        <v>2194.4233692000003</v>
      </c>
      <c r="AC88" s="8">
        <f>Table3[[#This Row],[PrimaComercial Anual]]*Table3[[#This Row],[IT]]</f>
        <v>779.07600000000002</v>
      </c>
      <c r="AD88" s="8">
        <f>Table3[[#This Row],[PrimaComercial Anual]]*Table3[[#This Row],[IVA]]</f>
        <v>3375.9960000000001</v>
      </c>
      <c r="AE88" s="15">
        <f>Table3[[#This Row],[PrimaComercial Anual Asistencia]]</f>
        <v>25969.200000000001</v>
      </c>
      <c r="AG88">
        <v>25969.200000000001</v>
      </c>
    </row>
    <row r="89" spans="1:33" x14ac:dyDescent="0.25">
      <c r="A89" t="s">
        <v>17</v>
      </c>
      <c r="B89">
        <v>70000</v>
      </c>
      <c r="C89">
        <v>87</v>
      </c>
      <c r="D89" s="2">
        <f>Table3[[#This Row],[PrimaTécnica]]-Table3[[#This Row],[PrimaTécnica]]*SUM(Table3[[#This Row],[Gastos Adm]:[Cobranza]])</f>
        <v>11845.728317779198</v>
      </c>
      <c r="E89">
        <v>0</v>
      </c>
      <c r="F89">
        <v>0.15</v>
      </c>
      <c r="G89">
        <v>0.05</v>
      </c>
      <c r="H89">
        <v>0.01</v>
      </c>
      <c r="I89">
        <v>0.01</v>
      </c>
      <c r="J89" s="8">
        <f>Table3[[#This Row],[PrimaTécnica]]*Table3[[#This Row],[Gastos Adm]]</f>
        <v>2278.0246764959998</v>
      </c>
      <c r="K89" s="8">
        <f>Table3[[#This Row],[PrimaTécnica]]*Table3[[#This Row],[Utilidad]]</f>
        <v>759.34155883199992</v>
      </c>
      <c r="L89" s="8">
        <f>Table3[[#This Row],[PrimaTécnica]]*Table3[[#This Row],[Marketing]]</f>
        <v>151.86831176639998</v>
      </c>
      <c r="M89" s="8">
        <f>Table3[[#This Row],[PrimaTécnica]]*Table3[[#This Row],[Cobranza]]</f>
        <v>151.86831176639998</v>
      </c>
      <c r="N8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89">
        <v>21.84</v>
      </c>
      <c r="P89">
        <v>54.6</v>
      </c>
      <c r="Q89">
        <v>80.64</v>
      </c>
      <c r="R89">
        <v>44.377200000000002</v>
      </c>
      <c r="S89">
        <v>0.2</v>
      </c>
      <c r="T89">
        <v>0.02</v>
      </c>
      <c r="U89" s="8">
        <f>Table3[[#This Row],[PrimaNeta]]*Table3[[#This Row],[Comisión]]</f>
        <v>3847.0720941599998</v>
      </c>
      <c r="V89" s="15">
        <f>Table3[[#This Row],[PrimaComercial Anual]]-Table3[[#This Row],[PrimaComercial Anual]]*SUM(Table3[[#This Row],[APS]:[IVA]])</f>
        <v>19235.360470799998</v>
      </c>
      <c r="W89" s="2">
        <v>1.4800000000000001E-2</v>
      </c>
      <c r="X89" s="2">
        <v>8.4501000000000007E-2</v>
      </c>
      <c r="Y89">
        <v>0.03</v>
      </c>
      <c r="Z89">
        <v>0.13</v>
      </c>
      <c r="AA89" s="20">
        <f>Table3[[#This Row],[APS]]*Table3[[#This Row],[PrimaComercial Anual]]</f>
        <v>384.34416000000004</v>
      </c>
      <c r="AB89" s="8">
        <f>Table3[[#This Row],[PrimaComercial Anual]]*Table3[[#This Row],[Recargo adicional]]</f>
        <v>2194.4233692000003</v>
      </c>
      <c r="AC89" s="8">
        <f>Table3[[#This Row],[PrimaComercial Anual]]*Table3[[#This Row],[IT]]</f>
        <v>779.07600000000002</v>
      </c>
      <c r="AD89" s="8">
        <f>Table3[[#This Row],[PrimaComercial Anual]]*Table3[[#This Row],[IVA]]</f>
        <v>3375.9960000000001</v>
      </c>
      <c r="AE89" s="15">
        <f>Table3[[#This Row],[PrimaComercial Anual Asistencia]]</f>
        <v>25969.200000000001</v>
      </c>
      <c r="AG89">
        <v>25969.200000000001</v>
      </c>
    </row>
    <row r="90" spans="1:33" x14ac:dyDescent="0.25">
      <c r="A90" t="s">
        <v>17</v>
      </c>
      <c r="B90">
        <v>70000</v>
      </c>
      <c r="C90">
        <v>88</v>
      </c>
      <c r="D90" s="2">
        <f>Table3[[#This Row],[PrimaTécnica]]-Table3[[#This Row],[PrimaTécnica]]*SUM(Table3[[#This Row],[Gastos Adm]:[Cobranza]])</f>
        <v>11845.728317779198</v>
      </c>
      <c r="E90">
        <v>0</v>
      </c>
      <c r="F90">
        <v>0.15</v>
      </c>
      <c r="G90">
        <v>0.05</v>
      </c>
      <c r="H90">
        <v>0.01</v>
      </c>
      <c r="I90">
        <v>0.01</v>
      </c>
      <c r="J90" s="8">
        <f>Table3[[#This Row],[PrimaTécnica]]*Table3[[#This Row],[Gastos Adm]]</f>
        <v>2278.0246764959998</v>
      </c>
      <c r="K90" s="8">
        <f>Table3[[#This Row],[PrimaTécnica]]*Table3[[#This Row],[Utilidad]]</f>
        <v>759.34155883199992</v>
      </c>
      <c r="L90" s="8">
        <f>Table3[[#This Row],[PrimaTécnica]]*Table3[[#This Row],[Marketing]]</f>
        <v>151.86831176639998</v>
      </c>
      <c r="M90" s="8">
        <f>Table3[[#This Row],[PrimaTécnica]]*Table3[[#This Row],[Cobranza]]</f>
        <v>151.86831176639998</v>
      </c>
      <c r="N9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90">
        <v>21.84</v>
      </c>
      <c r="P90">
        <v>54.6</v>
      </c>
      <c r="Q90">
        <v>80.64</v>
      </c>
      <c r="R90">
        <v>44.377200000000002</v>
      </c>
      <c r="S90">
        <v>0.2</v>
      </c>
      <c r="T90">
        <v>0.02</v>
      </c>
      <c r="U90" s="8">
        <f>Table3[[#This Row],[PrimaNeta]]*Table3[[#This Row],[Comisión]]</f>
        <v>3847.0720941599998</v>
      </c>
      <c r="V90" s="15">
        <f>Table3[[#This Row],[PrimaComercial Anual]]-Table3[[#This Row],[PrimaComercial Anual]]*SUM(Table3[[#This Row],[APS]:[IVA]])</f>
        <v>19235.360470799998</v>
      </c>
      <c r="W90" s="2">
        <v>1.4800000000000001E-2</v>
      </c>
      <c r="X90" s="2">
        <v>8.4501000000000007E-2</v>
      </c>
      <c r="Y90">
        <v>0.03</v>
      </c>
      <c r="Z90">
        <v>0.13</v>
      </c>
      <c r="AA90" s="20">
        <f>Table3[[#This Row],[APS]]*Table3[[#This Row],[PrimaComercial Anual]]</f>
        <v>384.34416000000004</v>
      </c>
      <c r="AB90" s="8">
        <f>Table3[[#This Row],[PrimaComercial Anual]]*Table3[[#This Row],[Recargo adicional]]</f>
        <v>2194.4233692000003</v>
      </c>
      <c r="AC90" s="8">
        <f>Table3[[#This Row],[PrimaComercial Anual]]*Table3[[#This Row],[IT]]</f>
        <v>779.07600000000002</v>
      </c>
      <c r="AD90" s="8">
        <f>Table3[[#This Row],[PrimaComercial Anual]]*Table3[[#This Row],[IVA]]</f>
        <v>3375.9960000000001</v>
      </c>
      <c r="AE90" s="15">
        <f>Table3[[#This Row],[PrimaComercial Anual Asistencia]]</f>
        <v>25969.200000000001</v>
      </c>
      <c r="AG90">
        <v>25969.200000000001</v>
      </c>
    </row>
    <row r="91" spans="1:33" x14ac:dyDescent="0.25">
      <c r="A91" t="s">
        <v>17</v>
      </c>
      <c r="B91">
        <v>70000</v>
      </c>
      <c r="C91">
        <v>89</v>
      </c>
      <c r="D91" s="2">
        <f>Table3[[#This Row],[PrimaTécnica]]-Table3[[#This Row],[PrimaTécnica]]*SUM(Table3[[#This Row],[Gastos Adm]:[Cobranza]])</f>
        <v>11845.728317779198</v>
      </c>
      <c r="E91">
        <v>0</v>
      </c>
      <c r="F91">
        <v>0.15</v>
      </c>
      <c r="G91">
        <v>0.05</v>
      </c>
      <c r="H91">
        <v>0.01</v>
      </c>
      <c r="I91">
        <v>0.01</v>
      </c>
      <c r="J91" s="8">
        <f>Table3[[#This Row],[PrimaTécnica]]*Table3[[#This Row],[Gastos Adm]]</f>
        <v>2278.0246764959998</v>
      </c>
      <c r="K91" s="8">
        <f>Table3[[#This Row],[PrimaTécnica]]*Table3[[#This Row],[Utilidad]]</f>
        <v>759.34155883199992</v>
      </c>
      <c r="L91" s="8">
        <f>Table3[[#This Row],[PrimaTécnica]]*Table3[[#This Row],[Marketing]]</f>
        <v>151.86831176639998</v>
      </c>
      <c r="M91" s="8">
        <f>Table3[[#This Row],[PrimaTécnica]]*Table3[[#This Row],[Cobranza]]</f>
        <v>151.86831176639998</v>
      </c>
      <c r="N9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91">
        <v>21.84</v>
      </c>
      <c r="P91">
        <v>54.6</v>
      </c>
      <c r="Q91">
        <v>80.64</v>
      </c>
      <c r="R91">
        <v>44.377200000000002</v>
      </c>
      <c r="S91">
        <v>0.2</v>
      </c>
      <c r="T91">
        <v>0.02</v>
      </c>
      <c r="U91" s="8">
        <f>Table3[[#This Row],[PrimaNeta]]*Table3[[#This Row],[Comisión]]</f>
        <v>3847.0720941599998</v>
      </c>
      <c r="V91" s="15">
        <f>Table3[[#This Row],[PrimaComercial Anual]]-Table3[[#This Row],[PrimaComercial Anual]]*SUM(Table3[[#This Row],[APS]:[IVA]])</f>
        <v>19235.360470799998</v>
      </c>
      <c r="W91" s="2">
        <v>1.4800000000000001E-2</v>
      </c>
      <c r="X91" s="2">
        <v>8.4501000000000007E-2</v>
      </c>
      <c r="Y91">
        <v>0.03</v>
      </c>
      <c r="Z91">
        <v>0.13</v>
      </c>
      <c r="AA91" s="20">
        <f>Table3[[#This Row],[APS]]*Table3[[#This Row],[PrimaComercial Anual]]</f>
        <v>384.34416000000004</v>
      </c>
      <c r="AB91" s="8">
        <f>Table3[[#This Row],[PrimaComercial Anual]]*Table3[[#This Row],[Recargo adicional]]</f>
        <v>2194.4233692000003</v>
      </c>
      <c r="AC91" s="8">
        <f>Table3[[#This Row],[PrimaComercial Anual]]*Table3[[#This Row],[IT]]</f>
        <v>779.07600000000002</v>
      </c>
      <c r="AD91" s="8">
        <f>Table3[[#This Row],[PrimaComercial Anual]]*Table3[[#This Row],[IVA]]</f>
        <v>3375.9960000000001</v>
      </c>
      <c r="AE91" s="15">
        <f>Table3[[#This Row],[PrimaComercial Anual Asistencia]]</f>
        <v>25969.200000000001</v>
      </c>
      <c r="AG91">
        <v>25969.200000000001</v>
      </c>
    </row>
    <row r="92" spans="1:33" x14ac:dyDescent="0.25">
      <c r="A92" t="s">
        <v>17</v>
      </c>
      <c r="B92">
        <v>70000</v>
      </c>
      <c r="C92">
        <v>90</v>
      </c>
      <c r="D92" s="2">
        <f>Table3[[#This Row],[PrimaTécnica]]-Table3[[#This Row],[PrimaTécnica]]*SUM(Table3[[#This Row],[Gastos Adm]:[Cobranza]])</f>
        <v>11845.728317779198</v>
      </c>
      <c r="E92">
        <v>0</v>
      </c>
      <c r="F92">
        <v>0.15</v>
      </c>
      <c r="G92">
        <v>0.05</v>
      </c>
      <c r="H92">
        <v>0.01</v>
      </c>
      <c r="I92">
        <v>0.01</v>
      </c>
      <c r="J92" s="8">
        <f>Table3[[#This Row],[PrimaTécnica]]*Table3[[#This Row],[Gastos Adm]]</f>
        <v>2278.0246764959998</v>
      </c>
      <c r="K92" s="8">
        <f>Table3[[#This Row],[PrimaTécnica]]*Table3[[#This Row],[Utilidad]]</f>
        <v>759.34155883199992</v>
      </c>
      <c r="L92" s="8">
        <f>Table3[[#This Row],[PrimaTécnica]]*Table3[[#This Row],[Marketing]]</f>
        <v>151.86831176639998</v>
      </c>
      <c r="M92" s="8">
        <f>Table3[[#This Row],[PrimaTécnica]]*Table3[[#This Row],[Cobranza]]</f>
        <v>151.86831176639998</v>
      </c>
      <c r="N9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92">
        <v>21.84</v>
      </c>
      <c r="P92">
        <v>54.6</v>
      </c>
      <c r="Q92">
        <v>80.64</v>
      </c>
      <c r="R92">
        <v>44.377200000000002</v>
      </c>
      <c r="S92">
        <v>0.2</v>
      </c>
      <c r="T92">
        <v>0.02</v>
      </c>
      <c r="U92" s="8">
        <f>Table3[[#This Row],[PrimaNeta]]*Table3[[#This Row],[Comisión]]</f>
        <v>3847.0720941599998</v>
      </c>
      <c r="V92" s="15">
        <f>Table3[[#This Row],[PrimaComercial Anual]]-Table3[[#This Row],[PrimaComercial Anual]]*SUM(Table3[[#This Row],[APS]:[IVA]])</f>
        <v>19235.360470799998</v>
      </c>
      <c r="W92" s="2">
        <v>1.4800000000000001E-2</v>
      </c>
      <c r="X92" s="2">
        <v>8.4501000000000007E-2</v>
      </c>
      <c r="Y92">
        <v>0.03</v>
      </c>
      <c r="Z92">
        <v>0.13</v>
      </c>
      <c r="AA92" s="20">
        <f>Table3[[#This Row],[APS]]*Table3[[#This Row],[PrimaComercial Anual]]</f>
        <v>384.34416000000004</v>
      </c>
      <c r="AB92" s="8">
        <f>Table3[[#This Row],[PrimaComercial Anual]]*Table3[[#This Row],[Recargo adicional]]</f>
        <v>2194.4233692000003</v>
      </c>
      <c r="AC92" s="8">
        <f>Table3[[#This Row],[PrimaComercial Anual]]*Table3[[#This Row],[IT]]</f>
        <v>779.07600000000002</v>
      </c>
      <c r="AD92" s="8">
        <f>Table3[[#This Row],[PrimaComercial Anual]]*Table3[[#This Row],[IVA]]</f>
        <v>3375.9960000000001</v>
      </c>
      <c r="AE92" s="15">
        <f>Table3[[#This Row],[PrimaComercial Anual Asistencia]]</f>
        <v>25969.200000000001</v>
      </c>
      <c r="AG92">
        <v>25969.200000000001</v>
      </c>
    </row>
    <row r="93" spans="1:33" x14ac:dyDescent="0.25">
      <c r="A93" t="s">
        <v>17</v>
      </c>
      <c r="B93">
        <v>70000</v>
      </c>
      <c r="C93">
        <v>91</v>
      </c>
      <c r="D93" s="2">
        <f>Table3[[#This Row],[PrimaTécnica]]-Table3[[#This Row],[PrimaTécnica]]*SUM(Table3[[#This Row],[Gastos Adm]:[Cobranza]])</f>
        <v>11845.728317779198</v>
      </c>
      <c r="E93">
        <v>0</v>
      </c>
      <c r="F93">
        <v>0.15</v>
      </c>
      <c r="G93">
        <v>0.05</v>
      </c>
      <c r="H93">
        <v>0.01</v>
      </c>
      <c r="I93">
        <v>0.01</v>
      </c>
      <c r="J93" s="8">
        <f>Table3[[#This Row],[PrimaTécnica]]*Table3[[#This Row],[Gastos Adm]]</f>
        <v>2278.0246764959998</v>
      </c>
      <c r="K93" s="8">
        <f>Table3[[#This Row],[PrimaTécnica]]*Table3[[#This Row],[Utilidad]]</f>
        <v>759.34155883199992</v>
      </c>
      <c r="L93" s="8">
        <f>Table3[[#This Row],[PrimaTécnica]]*Table3[[#This Row],[Marketing]]</f>
        <v>151.86831176639998</v>
      </c>
      <c r="M93" s="8">
        <f>Table3[[#This Row],[PrimaTécnica]]*Table3[[#This Row],[Cobranza]]</f>
        <v>151.86831176639998</v>
      </c>
      <c r="N9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93">
        <v>21.84</v>
      </c>
      <c r="P93">
        <v>54.6</v>
      </c>
      <c r="Q93">
        <v>80.64</v>
      </c>
      <c r="R93">
        <v>44.377200000000002</v>
      </c>
      <c r="S93">
        <v>0.2</v>
      </c>
      <c r="T93">
        <v>0.02</v>
      </c>
      <c r="U93" s="8">
        <f>Table3[[#This Row],[PrimaNeta]]*Table3[[#This Row],[Comisión]]</f>
        <v>3847.0720941599998</v>
      </c>
      <c r="V93" s="15">
        <f>Table3[[#This Row],[PrimaComercial Anual]]-Table3[[#This Row],[PrimaComercial Anual]]*SUM(Table3[[#This Row],[APS]:[IVA]])</f>
        <v>19235.360470799998</v>
      </c>
      <c r="W93" s="2">
        <v>1.4800000000000001E-2</v>
      </c>
      <c r="X93" s="2">
        <v>8.4501000000000007E-2</v>
      </c>
      <c r="Y93">
        <v>0.03</v>
      </c>
      <c r="Z93">
        <v>0.13</v>
      </c>
      <c r="AA93" s="20">
        <f>Table3[[#This Row],[APS]]*Table3[[#This Row],[PrimaComercial Anual]]</f>
        <v>384.34416000000004</v>
      </c>
      <c r="AB93" s="8">
        <f>Table3[[#This Row],[PrimaComercial Anual]]*Table3[[#This Row],[Recargo adicional]]</f>
        <v>2194.4233692000003</v>
      </c>
      <c r="AC93" s="8">
        <f>Table3[[#This Row],[PrimaComercial Anual]]*Table3[[#This Row],[IT]]</f>
        <v>779.07600000000002</v>
      </c>
      <c r="AD93" s="8">
        <f>Table3[[#This Row],[PrimaComercial Anual]]*Table3[[#This Row],[IVA]]</f>
        <v>3375.9960000000001</v>
      </c>
      <c r="AE93" s="15">
        <f>Table3[[#This Row],[PrimaComercial Anual Asistencia]]</f>
        <v>25969.200000000001</v>
      </c>
      <c r="AG93">
        <v>25969.200000000001</v>
      </c>
    </row>
    <row r="94" spans="1:33" x14ac:dyDescent="0.25">
      <c r="A94" t="s">
        <v>17</v>
      </c>
      <c r="B94">
        <v>70000</v>
      </c>
      <c r="C94">
        <v>92</v>
      </c>
      <c r="D94" s="2">
        <f>Table3[[#This Row],[PrimaTécnica]]-Table3[[#This Row],[PrimaTécnica]]*SUM(Table3[[#This Row],[Gastos Adm]:[Cobranza]])</f>
        <v>11845.728317779198</v>
      </c>
      <c r="E94">
        <v>0</v>
      </c>
      <c r="F94">
        <v>0.15</v>
      </c>
      <c r="G94">
        <v>0.05</v>
      </c>
      <c r="H94">
        <v>0.01</v>
      </c>
      <c r="I94">
        <v>0.01</v>
      </c>
      <c r="J94" s="8">
        <f>Table3[[#This Row],[PrimaTécnica]]*Table3[[#This Row],[Gastos Adm]]</f>
        <v>2278.0246764959998</v>
      </c>
      <c r="K94" s="8">
        <f>Table3[[#This Row],[PrimaTécnica]]*Table3[[#This Row],[Utilidad]]</f>
        <v>759.34155883199992</v>
      </c>
      <c r="L94" s="8">
        <f>Table3[[#This Row],[PrimaTécnica]]*Table3[[#This Row],[Marketing]]</f>
        <v>151.86831176639998</v>
      </c>
      <c r="M94" s="8">
        <f>Table3[[#This Row],[PrimaTécnica]]*Table3[[#This Row],[Cobranza]]</f>
        <v>151.86831176639998</v>
      </c>
      <c r="N9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94">
        <v>21.84</v>
      </c>
      <c r="P94">
        <v>54.6</v>
      </c>
      <c r="Q94">
        <v>80.64</v>
      </c>
      <c r="R94">
        <v>44.377200000000002</v>
      </c>
      <c r="S94">
        <v>0.2</v>
      </c>
      <c r="T94">
        <v>0.02</v>
      </c>
      <c r="U94" s="8">
        <f>Table3[[#This Row],[PrimaNeta]]*Table3[[#This Row],[Comisión]]</f>
        <v>3847.0720941599998</v>
      </c>
      <c r="V94" s="15">
        <f>Table3[[#This Row],[PrimaComercial Anual]]-Table3[[#This Row],[PrimaComercial Anual]]*SUM(Table3[[#This Row],[APS]:[IVA]])</f>
        <v>19235.360470799998</v>
      </c>
      <c r="W94" s="2">
        <v>1.4800000000000001E-2</v>
      </c>
      <c r="X94" s="2">
        <v>8.4501000000000007E-2</v>
      </c>
      <c r="Y94">
        <v>0.03</v>
      </c>
      <c r="Z94">
        <v>0.13</v>
      </c>
      <c r="AA94" s="20">
        <f>Table3[[#This Row],[APS]]*Table3[[#This Row],[PrimaComercial Anual]]</f>
        <v>384.34416000000004</v>
      </c>
      <c r="AB94" s="8">
        <f>Table3[[#This Row],[PrimaComercial Anual]]*Table3[[#This Row],[Recargo adicional]]</f>
        <v>2194.4233692000003</v>
      </c>
      <c r="AC94" s="8">
        <f>Table3[[#This Row],[PrimaComercial Anual]]*Table3[[#This Row],[IT]]</f>
        <v>779.07600000000002</v>
      </c>
      <c r="AD94" s="8">
        <f>Table3[[#This Row],[PrimaComercial Anual]]*Table3[[#This Row],[IVA]]</f>
        <v>3375.9960000000001</v>
      </c>
      <c r="AE94" s="15">
        <f>Table3[[#This Row],[PrimaComercial Anual Asistencia]]</f>
        <v>25969.200000000001</v>
      </c>
      <c r="AG94">
        <v>25969.200000000001</v>
      </c>
    </row>
    <row r="95" spans="1:33" x14ac:dyDescent="0.25">
      <c r="A95" t="s">
        <v>17</v>
      </c>
      <c r="B95">
        <v>70000</v>
      </c>
      <c r="C95">
        <v>93</v>
      </c>
      <c r="D95" s="2">
        <f>Table3[[#This Row],[PrimaTécnica]]-Table3[[#This Row],[PrimaTécnica]]*SUM(Table3[[#This Row],[Gastos Adm]:[Cobranza]])</f>
        <v>11845.728317779198</v>
      </c>
      <c r="E95">
        <v>0</v>
      </c>
      <c r="F95">
        <v>0.15</v>
      </c>
      <c r="G95">
        <v>0.05</v>
      </c>
      <c r="H95">
        <v>0.01</v>
      </c>
      <c r="I95">
        <v>0.01</v>
      </c>
      <c r="J95" s="8">
        <f>Table3[[#This Row],[PrimaTécnica]]*Table3[[#This Row],[Gastos Adm]]</f>
        <v>2278.0246764959998</v>
      </c>
      <c r="K95" s="8">
        <f>Table3[[#This Row],[PrimaTécnica]]*Table3[[#This Row],[Utilidad]]</f>
        <v>759.34155883199992</v>
      </c>
      <c r="L95" s="8">
        <f>Table3[[#This Row],[PrimaTécnica]]*Table3[[#This Row],[Marketing]]</f>
        <v>151.86831176639998</v>
      </c>
      <c r="M95" s="8">
        <f>Table3[[#This Row],[PrimaTécnica]]*Table3[[#This Row],[Cobranza]]</f>
        <v>151.86831176639998</v>
      </c>
      <c r="N9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95">
        <v>21.84</v>
      </c>
      <c r="P95">
        <v>54.6</v>
      </c>
      <c r="Q95">
        <v>80.64</v>
      </c>
      <c r="R95">
        <v>44.377200000000002</v>
      </c>
      <c r="S95">
        <v>0.2</v>
      </c>
      <c r="T95">
        <v>0.02</v>
      </c>
      <c r="U95" s="8">
        <f>Table3[[#This Row],[PrimaNeta]]*Table3[[#This Row],[Comisión]]</f>
        <v>3847.0720941599998</v>
      </c>
      <c r="V95" s="15">
        <f>Table3[[#This Row],[PrimaComercial Anual]]-Table3[[#This Row],[PrimaComercial Anual]]*SUM(Table3[[#This Row],[APS]:[IVA]])</f>
        <v>19235.360470799998</v>
      </c>
      <c r="W95" s="2">
        <v>1.4800000000000001E-2</v>
      </c>
      <c r="X95" s="2">
        <v>8.4501000000000007E-2</v>
      </c>
      <c r="Y95">
        <v>0.03</v>
      </c>
      <c r="Z95">
        <v>0.13</v>
      </c>
      <c r="AA95" s="20">
        <f>Table3[[#This Row],[APS]]*Table3[[#This Row],[PrimaComercial Anual]]</f>
        <v>384.34416000000004</v>
      </c>
      <c r="AB95" s="8">
        <f>Table3[[#This Row],[PrimaComercial Anual]]*Table3[[#This Row],[Recargo adicional]]</f>
        <v>2194.4233692000003</v>
      </c>
      <c r="AC95" s="8">
        <f>Table3[[#This Row],[PrimaComercial Anual]]*Table3[[#This Row],[IT]]</f>
        <v>779.07600000000002</v>
      </c>
      <c r="AD95" s="8">
        <f>Table3[[#This Row],[PrimaComercial Anual]]*Table3[[#This Row],[IVA]]</f>
        <v>3375.9960000000001</v>
      </c>
      <c r="AE95" s="15">
        <f>Table3[[#This Row],[PrimaComercial Anual Asistencia]]</f>
        <v>25969.200000000001</v>
      </c>
      <c r="AG95">
        <v>25969.200000000001</v>
      </c>
    </row>
    <row r="96" spans="1:33" x14ac:dyDescent="0.25">
      <c r="A96" t="s">
        <v>17</v>
      </c>
      <c r="B96">
        <v>70000</v>
      </c>
      <c r="C96">
        <v>94</v>
      </c>
      <c r="D96" s="2">
        <f>Table3[[#This Row],[PrimaTécnica]]-Table3[[#This Row],[PrimaTécnica]]*SUM(Table3[[#This Row],[Gastos Adm]:[Cobranza]])</f>
        <v>11845.728317779198</v>
      </c>
      <c r="E96">
        <v>0</v>
      </c>
      <c r="F96">
        <v>0.15</v>
      </c>
      <c r="G96">
        <v>0.05</v>
      </c>
      <c r="H96">
        <v>0.01</v>
      </c>
      <c r="I96">
        <v>0.01</v>
      </c>
      <c r="J96" s="8">
        <f>Table3[[#This Row],[PrimaTécnica]]*Table3[[#This Row],[Gastos Adm]]</f>
        <v>2278.0246764959998</v>
      </c>
      <c r="K96" s="8">
        <f>Table3[[#This Row],[PrimaTécnica]]*Table3[[#This Row],[Utilidad]]</f>
        <v>759.34155883199992</v>
      </c>
      <c r="L96" s="8">
        <f>Table3[[#This Row],[PrimaTécnica]]*Table3[[#This Row],[Marketing]]</f>
        <v>151.86831176639998</v>
      </c>
      <c r="M96" s="8">
        <f>Table3[[#This Row],[PrimaTécnica]]*Table3[[#This Row],[Cobranza]]</f>
        <v>151.86831176639998</v>
      </c>
      <c r="N9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96">
        <v>21.84</v>
      </c>
      <c r="P96">
        <v>54.6</v>
      </c>
      <c r="Q96">
        <v>80.64</v>
      </c>
      <c r="R96">
        <v>44.377200000000002</v>
      </c>
      <c r="S96">
        <v>0.2</v>
      </c>
      <c r="T96">
        <v>0.02</v>
      </c>
      <c r="U96" s="8">
        <f>Table3[[#This Row],[PrimaNeta]]*Table3[[#This Row],[Comisión]]</f>
        <v>3847.0720941599998</v>
      </c>
      <c r="V96" s="15">
        <f>Table3[[#This Row],[PrimaComercial Anual]]-Table3[[#This Row],[PrimaComercial Anual]]*SUM(Table3[[#This Row],[APS]:[IVA]])</f>
        <v>19235.360470799998</v>
      </c>
      <c r="W96" s="2">
        <v>1.4800000000000001E-2</v>
      </c>
      <c r="X96" s="2">
        <v>8.4501000000000007E-2</v>
      </c>
      <c r="Y96">
        <v>0.03</v>
      </c>
      <c r="Z96">
        <v>0.13</v>
      </c>
      <c r="AA96" s="20">
        <f>Table3[[#This Row],[APS]]*Table3[[#This Row],[PrimaComercial Anual]]</f>
        <v>384.34416000000004</v>
      </c>
      <c r="AB96" s="8">
        <f>Table3[[#This Row],[PrimaComercial Anual]]*Table3[[#This Row],[Recargo adicional]]</f>
        <v>2194.4233692000003</v>
      </c>
      <c r="AC96" s="8">
        <f>Table3[[#This Row],[PrimaComercial Anual]]*Table3[[#This Row],[IT]]</f>
        <v>779.07600000000002</v>
      </c>
      <c r="AD96" s="8">
        <f>Table3[[#This Row],[PrimaComercial Anual]]*Table3[[#This Row],[IVA]]</f>
        <v>3375.9960000000001</v>
      </c>
      <c r="AE96" s="15">
        <f>Table3[[#This Row],[PrimaComercial Anual Asistencia]]</f>
        <v>25969.200000000001</v>
      </c>
      <c r="AG96">
        <v>25969.200000000001</v>
      </c>
    </row>
    <row r="97" spans="1:33" x14ac:dyDescent="0.25">
      <c r="A97" t="s">
        <v>17</v>
      </c>
      <c r="B97">
        <v>70000</v>
      </c>
      <c r="C97">
        <v>95</v>
      </c>
      <c r="D97" s="2">
        <f>Table3[[#This Row],[PrimaTécnica]]-Table3[[#This Row],[PrimaTécnica]]*SUM(Table3[[#This Row],[Gastos Adm]:[Cobranza]])</f>
        <v>11845.728317779198</v>
      </c>
      <c r="E97">
        <v>0</v>
      </c>
      <c r="F97">
        <v>0.15</v>
      </c>
      <c r="G97">
        <v>0.05</v>
      </c>
      <c r="H97">
        <v>0.01</v>
      </c>
      <c r="I97">
        <v>0.01</v>
      </c>
      <c r="J97" s="8">
        <f>Table3[[#This Row],[PrimaTécnica]]*Table3[[#This Row],[Gastos Adm]]</f>
        <v>2278.0246764959998</v>
      </c>
      <c r="K97" s="8">
        <f>Table3[[#This Row],[PrimaTécnica]]*Table3[[#This Row],[Utilidad]]</f>
        <v>759.34155883199992</v>
      </c>
      <c r="L97" s="8">
        <f>Table3[[#This Row],[PrimaTécnica]]*Table3[[#This Row],[Marketing]]</f>
        <v>151.86831176639998</v>
      </c>
      <c r="M97" s="8">
        <f>Table3[[#This Row],[PrimaTécnica]]*Table3[[#This Row],[Cobranza]]</f>
        <v>151.86831176639998</v>
      </c>
      <c r="N9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97">
        <v>21.84</v>
      </c>
      <c r="P97">
        <v>54.6</v>
      </c>
      <c r="Q97">
        <v>80.64</v>
      </c>
      <c r="R97">
        <v>44.377200000000002</v>
      </c>
      <c r="S97">
        <v>0.2</v>
      </c>
      <c r="T97">
        <v>0.02</v>
      </c>
      <c r="U97" s="8">
        <f>Table3[[#This Row],[PrimaNeta]]*Table3[[#This Row],[Comisión]]</f>
        <v>3847.0720941599998</v>
      </c>
      <c r="V97" s="15">
        <f>Table3[[#This Row],[PrimaComercial Anual]]-Table3[[#This Row],[PrimaComercial Anual]]*SUM(Table3[[#This Row],[APS]:[IVA]])</f>
        <v>19235.360470799998</v>
      </c>
      <c r="W97" s="2">
        <v>1.4800000000000001E-2</v>
      </c>
      <c r="X97" s="2">
        <v>8.4501000000000007E-2</v>
      </c>
      <c r="Y97">
        <v>0.03</v>
      </c>
      <c r="Z97">
        <v>0.13</v>
      </c>
      <c r="AA97" s="20">
        <f>Table3[[#This Row],[APS]]*Table3[[#This Row],[PrimaComercial Anual]]</f>
        <v>384.34416000000004</v>
      </c>
      <c r="AB97" s="8">
        <f>Table3[[#This Row],[PrimaComercial Anual]]*Table3[[#This Row],[Recargo adicional]]</f>
        <v>2194.4233692000003</v>
      </c>
      <c r="AC97" s="8">
        <f>Table3[[#This Row],[PrimaComercial Anual]]*Table3[[#This Row],[IT]]</f>
        <v>779.07600000000002</v>
      </c>
      <c r="AD97" s="8">
        <f>Table3[[#This Row],[PrimaComercial Anual]]*Table3[[#This Row],[IVA]]</f>
        <v>3375.9960000000001</v>
      </c>
      <c r="AE97" s="15">
        <f>Table3[[#This Row],[PrimaComercial Anual Asistencia]]</f>
        <v>25969.200000000001</v>
      </c>
      <c r="AG97">
        <v>25969.200000000001</v>
      </c>
    </row>
    <row r="98" spans="1:33" x14ac:dyDescent="0.25">
      <c r="A98" t="s">
        <v>17</v>
      </c>
      <c r="B98">
        <v>70000</v>
      </c>
      <c r="C98">
        <v>96</v>
      </c>
      <c r="D98" s="2">
        <f>Table3[[#This Row],[PrimaTécnica]]-Table3[[#This Row],[PrimaTécnica]]*SUM(Table3[[#This Row],[Gastos Adm]:[Cobranza]])</f>
        <v>11845.728317779198</v>
      </c>
      <c r="E98">
        <v>0</v>
      </c>
      <c r="F98">
        <v>0.15</v>
      </c>
      <c r="G98">
        <v>0.05</v>
      </c>
      <c r="H98">
        <v>0.01</v>
      </c>
      <c r="I98">
        <v>0.01</v>
      </c>
      <c r="J98" s="8">
        <f>Table3[[#This Row],[PrimaTécnica]]*Table3[[#This Row],[Gastos Adm]]</f>
        <v>2278.0246764959998</v>
      </c>
      <c r="K98" s="8">
        <f>Table3[[#This Row],[PrimaTécnica]]*Table3[[#This Row],[Utilidad]]</f>
        <v>759.34155883199992</v>
      </c>
      <c r="L98" s="8">
        <f>Table3[[#This Row],[PrimaTécnica]]*Table3[[#This Row],[Marketing]]</f>
        <v>151.86831176639998</v>
      </c>
      <c r="M98" s="8">
        <f>Table3[[#This Row],[PrimaTécnica]]*Table3[[#This Row],[Cobranza]]</f>
        <v>151.86831176639998</v>
      </c>
      <c r="N9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98">
        <v>21.84</v>
      </c>
      <c r="P98">
        <v>54.6</v>
      </c>
      <c r="Q98">
        <v>80.64</v>
      </c>
      <c r="R98">
        <v>44.377200000000002</v>
      </c>
      <c r="S98">
        <v>0.2</v>
      </c>
      <c r="T98">
        <v>0.02</v>
      </c>
      <c r="U98" s="8">
        <f>Table3[[#This Row],[PrimaNeta]]*Table3[[#This Row],[Comisión]]</f>
        <v>3847.0720941599998</v>
      </c>
      <c r="V98" s="15">
        <f>Table3[[#This Row],[PrimaComercial Anual]]-Table3[[#This Row],[PrimaComercial Anual]]*SUM(Table3[[#This Row],[APS]:[IVA]])</f>
        <v>19235.360470799998</v>
      </c>
      <c r="W98" s="2">
        <v>1.4800000000000001E-2</v>
      </c>
      <c r="X98" s="2">
        <v>8.4501000000000007E-2</v>
      </c>
      <c r="Y98">
        <v>0.03</v>
      </c>
      <c r="Z98">
        <v>0.13</v>
      </c>
      <c r="AA98" s="20">
        <f>Table3[[#This Row],[APS]]*Table3[[#This Row],[PrimaComercial Anual]]</f>
        <v>384.34416000000004</v>
      </c>
      <c r="AB98" s="8">
        <f>Table3[[#This Row],[PrimaComercial Anual]]*Table3[[#This Row],[Recargo adicional]]</f>
        <v>2194.4233692000003</v>
      </c>
      <c r="AC98" s="8">
        <f>Table3[[#This Row],[PrimaComercial Anual]]*Table3[[#This Row],[IT]]</f>
        <v>779.07600000000002</v>
      </c>
      <c r="AD98" s="8">
        <f>Table3[[#This Row],[PrimaComercial Anual]]*Table3[[#This Row],[IVA]]</f>
        <v>3375.9960000000001</v>
      </c>
      <c r="AE98" s="15">
        <f>Table3[[#This Row],[PrimaComercial Anual Asistencia]]</f>
        <v>25969.200000000001</v>
      </c>
      <c r="AG98">
        <v>25969.200000000001</v>
      </c>
    </row>
    <row r="99" spans="1:33" x14ac:dyDescent="0.25">
      <c r="A99" t="s">
        <v>17</v>
      </c>
      <c r="B99">
        <v>70000</v>
      </c>
      <c r="C99">
        <v>97</v>
      </c>
      <c r="D99" s="2">
        <f>Table3[[#This Row],[PrimaTécnica]]-Table3[[#This Row],[PrimaTécnica]]*SUM(Table3[[#This Row],[Gastos Adm]:[Cobranza]])</f>
        <v>11845.728317779198</v>
      </c>
      <c r="E99">
        <v>0</v>
      </c>
      <c r="F99">
        <v>0.15</v>
      </c>
      <c r="G99">
        <v>0.05</v>
      </c>
      <c r="H99">
        <v>0.01</v>
      </c>
      <c r="I99">
        <v>0.01</v>
      </c>
      <c r="J99" s="8">
        <f>Table3[[#This Row],[PrimaTécnica]]*Table3[[#This Row],[Gastos Adm]]</f>
        <v>2278.0246764959998</v>
      </c>
      <c r="K99" s="8">
        <f>Table3[[#This Row],[PrimaTécnica]]*Table3[[#This Row],[Utilidad]]</f>
        <v>759.34155883199992</v>
      </c>
      <c r="L99" s="8">
        <f>Table3[[#This Row],[PrimaTécnica]]*Table3[[#This Row],[Marketing]]</f>
        <v>151.86831176639998</v>
      </c>
      <c r="M99" s="8">
        <f>Table3[[#This Row],[PrimaTécnica]]*Table3[[#This Row],[Cobranza]]</f>
        <v>151.86831176639998</v>
      </c>
      <c r="N9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99">
        <v>21.84</v>
      </c>
      <c r="P99">
        <v>54.6</v>
      </c>
      <c r="Q99">
        <v>80.64</v>
      </c>
      <c r="R99">
        <v>44.377200000000002</v>
      </c>
      <c r="S99">
        <v>0.2</v>
      </c>
      <c r="T99">
        <v>0.02</v>
      </c>
      <c r="U99" s="8">
        <f>Table3[[#This Row],[PrimaNeta]]*Table3[[#This Row],[Comisión]]</f>
        <v>3847.0720941599998</v>
      </c>
      <c r="V99" s="15">
        <f>Table3[[#This Row],[PrimaComercial Anual]]-Table3[[#This Row],[PrimaComercial Anual]]*SUM(Table3[[#This Row],[APS]:[IVA]])</f>
        <v>19235.360470799998</v>
      </c>
      <c r="W99" s="2">
        <v>1.4800000000000001E-2</v>
      </c>
      <c r="X99" s="2">
        <v>8.4501000000000007E-2</v>
      </c>
      <c r="Y99">
        <v>0.03</v>
      </c>
      <c r="Z99">
        <v>0.13</v>
      </c>
      <c r="AA99" s="20">
        <f>Table3[[#This Row],[APS]]*Table3[[#This Row],[PrimaComercial Anual]]</f>
        <v>384.34416000000004</v>
      </c>
      <c r="AB99" s="8">
        <f>Table3[[#This Row],[PrimaComercial Anual]]*Table3[[#This Row],[Recargo adicional]]</f>
        <v>2194.4233692000003</v>
      </c>
      <c r="AC99" s="8">
        <f>Table3[[#This Row],[PrimaComercial Anual]]*Table3[[#This Row],[IT]]</f>
        <v>779.07600000000002</v>
      </c>
      <c r="AD99" s="8">
        <f>Table3[[#This Row],[PrimaComercial Anual]]*Table3[[#This Row],[IVA]]</f>
        <v>3375.9960000000001</v>
      </c>
      <c r="AE99" s="15">
        <f>Table3[[#This Row],[PrimaComercial Anual Asistencia]]</f>
        <v>25969.200000000001</v>
      </c>
      <c r="AG99">
        <v>25969.200000000001</v>
      </c>
    </row>
    <row r="100" spans="1:33" x14ac:dyDescent="0.25">
      <c r="A100" t="s">
        <v>17</v>
      </c>
      <c r="B100">
        <v>70000</v>
      </c>
      <c r="C100">
        <v>98</v>
      </c>
      <c r="D100" s="2">
        <f>Table3[[#This Row],[PrimaTécnica]]-Table3[[#This Row],[PrimaTécnica]]*SUM(Table3[[#This Row],[Gastos Adm]:[Cobranza]])</f>
        <v>11845.728317779198</v>
      </c>
      <c r="E100">
        <v>0</v>
      </c>
      <c r="F100">
        <v>0.15</v>
      </c>
      <c r="G100">
        <v>0.05</v>
      </c>
      <c r="H100">
        <v>0.01</v>
      </c>
      <c r="I100">
        <v>0.01</v>
      </c>
      <c r="J100" s="8">
        <f>Table3[[#This Row],[PrimaTécnica]]*Table3[[#This Row],[Gastos Adm]]</f>
        <v>2278.0246764959998</v>
      </c>
      <c r="K100" s="8">
        <f>Table3[[#This Row],[PrimaTécnica]]*Table3[[#This Row],[Utilidad]]</f>
        <v>759.34155883199992</v>
      </c>
      <c r="L100" s="8">
        <f>Table3[[#This Row],[PrimaTécnica]]*Table3[[#This Row],[Marketing]]</f>
        <v>151.86831176639998</v>
      </c>
      <c r="M100" s="8">
        <f>Table3[[#This Row],[PrimaTécnica]]*Table3[[#This Row],[Cobranza]]</f>
        <v>151.86831176639998</v>
      </c>
      <c r="N10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00">
        <v>21.84</v>
      </c>
      <c r="P100">
        <v>54.6</v>
      </c>
      <c r="Q100">
        <v>80.64</v>
      </c>
      <c r="R100">
        <v>44.377200000000002</v>
      </c>
      <c r="S100">
        <v>0.2</v>
      </c>
      <c r="T100">
        <v>0.02</v>
      </c>
      <c r="U100" s="8">
        <f>Table3[[#This Row],[PrimaNeta]]*Table3[[#This Row],[Comisión]]</f>
        <v>3847.0720941599998</v>
      </c>
      <c r="V100" s="15">
        <f>Table3[[#This Row],[PrimaComercial Anual]]-Table3[[#This Row],[PrimaComercial Anual]]*SUM(Table3[[#This Row],[APS]:[IVA]])</f>
        <v>19235.360470799998</v>
      </c>
      <c r="W100" s="2">
        <v>1.4800000000000001E-2</v>
      </c>
      <c r="X100" s="2">
        <v>8.4501000000000007E-2</v>
      </c>
      <c r="Y100">
        <v>0.03</v>
      </c>
      <c r="Z100">
        <v>0.13</v>
      </c>
      <c r="AA100" s="20">
        <f>Table3[[#This Row],[APS]]*Table3[[#This Row],[PrimaComercial Anual]]</f>
        <v>384.34416000000004</v>
      </c>
      <c r="AB100" s="8">
        <f>Table3[[#This Row],[PrimaComercial Anual]]*Table3[[#This Row],[Recargo adicional]]</f>
        <v>2194.4233692000003</v>
      </c>
      <c r="AC100" s="8">
        <f>Table3[[#This Row],[PrimaComercial Anual]]*Table3[[#This Row],[IT]]</f>
        <v>779.07600000000002</v>
      </c>
      <c r="AD100" s="8">
        <f>Table3[[#This Row],[PrimaComercial Anual]]*Table3[[#This Row],[IVA]]</f>
        <v>3375.9960000000001</v>
      </c>
      <c r="AE100" s="15">
        <f>Table3[[#This Row],[PrimaComercial Anual Asistencia]]</f>
        <v>25969.200000000001</v>
      </c>
      <c r="AG100">
        <v>25969.200000000001</v>
      </c>
    </row>
    <row r="101" spans="1:33" x14ac:dyDescent="0.25">
      <c r="A101" t="s">
        <v>17</v>
      </c>
      <c r="B101">
        <v>70000</v>
      </c>
      <c r="C101">
        <v>99</v>
      </c>
      <c r="D101" s="2">
        <f>Table3[[#This Row],[PrimaTécnica]]-Table3[[#This Row],[PrimaTécnica]]*SUM(Table3[[#This Row],[Gastos Adm]:[Cobranza]])</f>
        <v>11845.728317779198</v>
      </c>
      <c r="E101">
        <v>0</v>
      </c>
      <c r="F101">
        <v>0.15</v>
      </c>
      <c r="G101">
        <v>0.05</v>
      </c>
      <c r="H101">
        <v>0.01</v>
      </c>
      <c r="I101">
        <v>0.01</v>
      </c>
      <c r="J101" s="8">
        <f>Table3[[#This Row],[PrimaTécnica]]*Table3[[#This Row],[Gastos Adm]]</f>
        <v>2278.0246764959998</v>
      </c>
      <c r="K101" s="8">
        <f>Table3[[#This Row],[PrimaTécnica]]*Table3[[#This Row],[Utilidad]]</f>
        <v>759.34155883199992</v>
      </c>
      <c r="L101" s="8">
        <f>Table3[[#This Row],[PrimaTécnica]]*Table3[[#This Row],[Marketing]]</f>
        <v>151.86831176639998</v>
      </c>
      <c r="M101" s="8">
        <f>Table3[[#This Row],[PrimaTécnica]]*Table3[[#This Row],[Cobranza]]</f>
        <v>151.86831176639998</v>
      </c>
      <c r="N10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01">
        <v>21.84</v>
      </c>
      <c r="P101">
        <v>54.6</v>
      </c>
      <c r="Q101">
        <v>80.64</v>
      </c>
      <c r="R101">
        <v>44.377200000000002</v>
      </c>
      <c r="S101">
        <v>0.2</v>
      </c>
      <c r="T101">
        <v>0.02</v>
      </c>
      <c r="U101" s="8">
        <f>Table3[[#This Row],[PrimaNeta]]*Table3[[#This Row],[Comisión]]</f>
        <v>3847.0720941599998</v>
      </c>
      <c r="V101" s="15">
        <f>Table3[[#This Row],[PrimaComercial Anual]]-Table3[[#This Row],[PrimaComercial Anual]]*SUM(Table3[[#This Row],[APS]:[IVA]])</f>
        <v>19235.360470799998</v>
      </c>
      <c r="W101" s="2">
        <v>1.4800000000000001E-2</v>
      </c>
      <c r="X101" s="2">
        <v>8.4501000000000007E-2</v>
      </c>
      <c r="Y101">
        <v>0.03</v>
      </c>
      <c r="Z101">
        <v>0.13</v>
      </c>
      <c r="AA101" s="20">
        <f>Table3[[#This Row],[APS]]*Table3[[#This Row],[PrimaComercial Anual]]</f>
        <v>384.34416000000004</v>
      </c>
      <c r="AB101" s="8">
        <f>Table3[[#This Row],[PrimaComercial Anual]]*Table3[[#This Row],[Recargo adicional]]</f>
        <v>2194.4233692000003</v>
      </c>
      <c r="AC101" s="8">
        <f>Table3[[#This Row],[PrimaComercial Anual]]*Table3[[#This Row],[IT]]</f>
        <v>779.07600000000002</v>
      </c>
      <c r="AD101" s="8">
        <f>Table3[[#This Row],[PrimaComercial Anual]]*Table3[[#This Row],[IVA]]</f>
        <v>3375.9960000000001</v>
      </c>
      <c r="AE101" s="15">
        <f>Table3[[#This Row],[PrimaComercial Anual Asistencia]]</f>
        <v>25969.200000000001</v>
      </c>
      <c r="AG101">
        <v>25969.200000000001</v>
      </c>
    </row>
    <row r="102" spans="1:33" x14ac:dyDescent="0.25">
      <c r="A102" t="s">
        <v>18</v>
      </c>
      <c r="B102">
        <v>70000</v>
      </c>
      <c r="C102">
        <v>0</v>
      </c>
      <c r="D102" s="2">
        <f>Table3[[#This Row],[PrimaTécnica]]-Table3[[#This Row],[PrimaTécnica]]*SUM(Table3[[#This Row],[Gastos Adm]:[Cobranza]])</f>
        <v>2919.9806453376</v>
      </c>
      <c r="E102">
        <v>0</v>
      </c>
      <c r="F102">
        <v>0.15</v>
      </c>
      <c r="G102">
        <v>0.05</v>
      </c>
      <c r="H102">
        <v>0.01</v>
      </c>
      <c r="I102">
        <v>0.01</v>
      </c>
      <c r="J102" s="8">
        <f>Table3[[#This Row],[PrimaTécnica]]*Table3[[#This Row],[Gastos Adm]]</f>
        <v>561.53473948800001</v>
      </c>
      <c r="K102" s="8">
        <f>Table3[[#This Row],[PrimaTécnica]]*Table3[[#This Row],[Utilidad]]</f>
        <v>187.17824649600001</v>
      </c>
      <c r="L102" s="8">
        <f>Table3[[#This Row],[PrimaTécnica]]*Table3[[#This Row],[Marketing]]</f>
        <v>37.435649299200001</v>
      </c>
      <c r="M102" s="8">
        <f>Table3[[#This Row],[PrimaTécnica]]*Table3[[#This Row],[Cobranza]]</f>
        <v>37.435649299200001</v>
      </c>
      <c r="N10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3743.5649299199999</v>
      </c>
      <c r="O102">
        <v>21.84</v>
      </c>
      <c r="P102">
        <v>54.6</v>
      </c>
      <c r="Q102">
        <v>80.64</v>
      </c>
      <c r="R102">
        <v>44.377200000000002</v>
      </c>
      <c r="S102">
        <v>0.2</v>
      </c>
      <c r="T102">
        <v>0.02</v>
      </c>
      <c r="U102" s="8">
        <f>Table3[[#This Row],[PrimaNeta]]*Table3[[#This Row],[Comisión]]</f>
        <v>986.25553248000006</v>
      </c>
      <c r="V102" s="15">
        <f>Table3[[#This Row],[PrimaComercial Anual]]-Table3[[#This Row],[PrimaComercial Anual]]*SUM(Table3[[#This Row],[APS]:[IVA]])</f>
        <v>4931.2776623999998</v>
      </c>
      <c r="W102" s="2">
        <v>1.4800000000000001E-2</v>
      </c>
      <c r="X102" s="2">
        <v>8.4501000000000007E-2</v>
      </c>
      <c r="Y102">
        <v>0.03</v>
      </c>
      <c r="Z102">
        <v>0.13</v>
      </c>
      <c r="AA102" s="20">
        <f>Table3[[#This Row],[APS]]*Table3[[#This Row],[PrimaComercial Anual]]</f>
        <v>98.532480000000007</v>
      </c>
      <c r="AB102" s="8">
        <f>Table3[[#This Row],[PrimaComercial Anual]]*Table3[[#This Row],[Recargo adicional]]</f>
        <v>562.57385760000011</v>
      </c>
      <c r="AC102" s="8">
        <f>Table3[[#This Row],[PrimaComercial Anual]]*Table3[[#This Row],[IT]]</f>
        <v>199.72800000000001</v>
      </c>
      <c r="AD102" s="8">
        <f>Table3[[#This Row],[PrimaComercial Anual]]*Table3[[#This Row],[IVA]]</f>
        <v>865.48800000000006</v>
      </c>
      <c r="AE102" s="15">
        <f>Table3[[#This Row],[PrimaComercial Anual Asistencia]]</f>
        <v>6657.6</v>
      </c>
      <c r="AG102">
        <v>6657.6</v>
      </c>
    </row>
    <row r="103" spans="1:33" x14ac:dyDescent="0.25">
      <c r="A103" t="s">
        <v>18</v>
      </c>
      <c r="B103">
        <v>70000</v>
      </c>
      <c r="C103">
        <v>1</v>
      </c>
      <c r="D103" s="2">
        <f>Table3[[#This Row],[PrimaTécnica]]-Table3[[#This Row],[PrimaTécnica]]*SUM(Table3[[#This Row],[Gastos Adm]:[Cobranza]])</f>
        <v>2919.9806453376</v>
      </c>
      <c r="E103">
        <v>0</v>
      </c>
      <c r="F103">
        <v>0.15</v>
      </c>
      <c r="G103">
        <v>0.05</v>
      </c>
      <c r="H103">
        <v>0.01</v>
      </c>
      <c r="I103">
        <v>0.01</v>
      </c>
      <c r="J103" s="8">
        <f>Table3[[#This Row],[PrimaTécnica]]*Table3[[#This Row],[Gastos Adm]]</f>
        <v>561.53473948800001</v>
      </c>
      <c r="K103" s="8">
        <f>Table3[[#This Row],[PrimaTécnica]]*Table3[[#This Row],[Utilidad]]</f>
        <v>187.17824649600001</v>
      </c>
      <c r="L103" s="8">
        <f>Table3[[#This Row],[PrimaTécnica]]*Table3[[#This Row],[Marketing]]</f>
        <v>37.435649299200001</v>
      </c>
      <c r="M103" s="8">
        <f>Table3[[#This Row],[PrimaTécnica]]*Table3[[#This Row],[Cobranza]]</f>
        <v>37.435649299200001</v>
      </c>
      <c r="N10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3743.5649299199999</v>
      </c>
      <c r="O103">
        <v>21.84</v>
      </c>
      <c r="P103">
        <v>54.6</v>
      </c>
      <c r="Q103">
        <v>80.64</v>
      </c>
      <c r="R103">
        <v>44.377200000000002</v>
      </c>
      <c r="S103">
        <v>0.2</v>
      </c>
      <c r="T103">
        <v>0.02</v>
      </c>
      <c r="U103" s="8">
        <f>Table3[[#This Row],[PrimaNeta]]*Table3[[#This Row],[Comisión]]</f>
        <v>986.25553248000006</v>
      </c>
      <c r="V103" s="15">
        <f>Table3[[#This Row],[PrimaComercial Anual]]-Table3[[#This Row],[PrimaComercial Anual]]*SUM(Table3[[#This Row],[APS]:[IVA]])</f>
        <v>4931.2776623999998</v>
      </c>
      <c r="W103" s="2">
        <v>1.4800000000000001E-2</v>
      </c>
      <c r="X103" s="2">
        <v>8.4501000000000007E-2</v>
      </c>
      <c r="Y103">
        <v>0.03</v>
      </c>
      <c r="Z103">
        <v>0.13</v>
      </c>
      <c r="AA103" s="20">
        <f>Table3[[#This Row],[APS]]*Table3[[#This Row],[PrimaComercial Anual]]</f>
        <v>98.532480000000007</v>
      </c>
      <c r="AB103" s="8">
        <f>Table3[[#This Row],[PrimaComercial Anual]]*Table3[[#This Row],[Recargo adicional]]</f>
        <v>562.57385760000011</v>
      </c>
      <c r="AC103" s="8">
        <f>Table3[[#This Row],[PrimaComercial Anual]]*Table3[[#This Row],[IT]]</f>
        <v>199.72800000000001</v>
      </c>
      <c r="AD103" s="8">
        <f>Table3[[#This Row],[PrimaComercial Anual]]*Table3[[#This Row],[IVA]]</f>
        <v>865.48800000000006</v>
      </c>
      <c r="AE103" s="15">
        <f>Table3[[#This Row],[PrimaComercial Anual Asistencia]]</f>
        <v>6657.6</v>
      </c>
      <c r="AG103">
        <v>6657.6</v>
      </c>
    </row>
    <row r="104" spans="1:33" x14ac:dyDescent="0.25">
      <c r="A104" t="s">
        <v>18</v>
      </c>
      <c r="B104">
        <v>70000</v>
      </c>
      <c r="C104">
        <v>2</v>
      </c>
      <c r="D104" s="2">
        <f>Table3[[#This Row],[PrimaTécnica]]-Table3[[#This Row],[PrimaTécnica]]*SUM(Table3[[#This Row],[Gastos Adm]:[Cobranza]])</f>
        <v>2919.9806453376</v>
      </c>
      <c r="E104">
        <v>0</v>
      </c>
      <c r="F104">
        <v>0.15</v>
      </c>
      <c r="G104">
        <v>0.05</v>
      </c>
      <c r="H104">
        <v>0.01</v>
      </c>
      <c r="I104">
        <v>0.01</v>
      </c>
      <c r="J104" s="8">
        <f>Table3[[#This Row],[PrimaTécnica]]*Table3[[#This Row],[Gastos Adm]]</f>
        <v>561.53473948800001</v>
      </c>
      <c r="K104" s="8">
        <f>Table3[[#This Row],[PrimaTécnica]]*Table3[[#This Row],[Utilidad]]</f>
        <v>187.17824649600001</v>
      </c>
      <c r="L104" s="8">
        <f>Table3[[#This Row],[PrimaTécnica]]*Table3[[#This Row],[Marketing]]</f>
        <v>37.435649299200001</v>
      </c>
      <c r="M104" s="8">
        <f>Table3[[#This Row],[PrimaTécnica]]*Table3[[#This Row],[Cobranza]]</f>
        <v>37.435649299200001</v>
      </c>
      <c r="N10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3743.5649299199999</v>
      </c>
      <c r="O104">
        <v>21.84</v>
      </c>
      <c r="P104">
        <v>54.6</v>
      </c>
      <c r="Q104">
        <v>80.64</v>
      </c>
      <c r="R104">
        <v>44.377200000000002</v>
      </c>
      <c r="S104">
        <v>0.2</v>
      </c>
      <c r="T104">
        <v>0.02</v>
      </c>
      <c r="U104" s="8">
        <f>Table3[[#This Row],[PrimaNeta]]*Table3[[#This Row],[Comisión]]</f>
        <v>986.25553248000006</v>
      </c>
      <c r="V104" s="15">
        <f>Table3[[#This Row],[PrimaComercial Anual]]-Table3[[#This Row],[PrimaComercial Anual]]*SUM(Table3[[#This Row],[APS]:[IVA]])</f>
        <v>4931.2776623999998</v>
      </c>
      <c r="W104" s="2">
        <v>1.4800000000000001E-2</v>
      </c>
      <c r="X104" s="2">
        <v>8.4501000000000007E-2</v>
      </c>
      <c r="Y104">
        <v>0.03</v>
      </c>
      <c r="Z104">
        <v>0.13</v>
      </c>
      <c r="AA104" s="20">
        <f>Table3[[#This Row],[APS]]*Table3[[#This Row],[PrimaComercial Anual]]</f>
        <v>98.532480000000007</v>
      </c>
      <c r="AB104" s="8">
        <f>Table3[[#This Row],[PrimaComercial Anual]]*Table3[[#This Row],[Recargo adicional]]</f>
        <v>562.57385760000011</v>
      </c>
      <c r="AC104" s="8">
        <f>Table3[[#This Row],[PrimaComercial Anual]]*Table3[[#This Row],[IT]]</f>
        <v>199.72800000000001</v>
      </c>
      <c r="AD104" s="8">
        <f>Table3[[#This Row],[PrimaComercial Anual]]*Table3[[#This Row],[IVA]]</f>
        <v>865.48800000000006</v>
      </c>
      <c r="AE104" s="15">
        <f>Table3[[#This Row],[PrimaComercial Anual Asistencia]]</f>
        <v>6657.6</v>
      </c>
      <c r="AG104">
        <v>6657.6</v>
      </c>
    </row>
    <row r="105" spans="1:33" x14ac:dyDescent="0.25">
      <c r="A105" t="s">
        <v>18</v>
      </c>
      <c r="B105">
        <v>70000</v>
      </c>
      <c r="C105">
        <v>3</v>
      </c>
      <c r="D105" s="2">
        <f>Table3[[#This Row],[PrimaTécnica]]-Table3[[#This Row],[PrimaTécnica]]*SUM(Table3[[#This Row],[Gastos Adm]:[Cobranza]])</f>
        <v>1997.8992742176001</v>
      </c>
      <c r="E105">
        <v>0</v>
      </c>
      <c r="F105">
        <v>0.15</v>
      </c>
      <c r="G105">
        <v>0.05</v>
      </c>
      <c r="H105">
        <v>0.01</v>
      </c>
      <c r="I105">
        <v>0.01</v>
      </c>
      <c r="J105" s="8">
        <f>Table3[[#This Row],[PrimaTécnica]]*Table3[[#This Row],[Gastos Adm]]</f>
        <v>384.21139888800002</v>
      </c>
      <c r="K105" s="8">
        <f>Table3[[#This Row],[PrimaTécnica]]*Table3[[#This Row],[Utilidad]]</f>
        <v>128.07046629600003</v>
      </c>
      <c r="L105" s="8">
        <f>Table3[[#This Row],[PrimaTécnica]]*Table3[[#This Row],[Marketing]]</f>
        <v>25.614093259200004</v>
      </c>
      <c r="M105" s="8">
        <f>Table3[[#This Row],[PrimaTécnica]]*Table3[[#This Row],[Cobranza]]</f>
        <v>25.614093259200004</v>
      </c>
      <c r="N10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105">
        <v>21.84</v>
      </c>
      <c r="P105">
        <v>54.6</v>
      </c>
      <c r="Q105">
        <v>80.64</v>
      </c>
      <c r="R105">
        <v>44.377200000000002</v>
      </c>
      <c r="S105">
        <v>0.2</v>
      </c>
      <c r="T105">
        <v>0.02</v>
      </c>
      <c r="U105" s="8">
        <f>Table3[[#This Row],[PrimaNeta]]*Table3[[#This Row],[Comisión]]</f>
        <v>690.71663148000016</v>
      </c>
      <c r="V105" s="15">
        <f>Table3[[#This Row],[PrimaComercial Anual]]-Table3[[#This Row],[PrimaComercial Anual]]*SUM(Table3[[#This Row],[APS]:[IVA]])</f>
        <v>3453.5831574000003</v>
      </c>
      <c r="W105" s="2">
        <v>1.4800000000000001E-2</v>
      </c>
      <c r="X105" s="2">
        <v>8.4501000000000007E-2</v>
      </c>
      <c r="Y105">
        <v>0.03</v>
      </c>
      <c r="Z105">
        <v>0.13</v>
      </c>
      <c r="AA105" s="20">
        <f>Table3[[#This Row],[APS]]*Table3[[#This Row],[PrimaComercial Anual]]</f>
        <v>69.00648000000001</v>
      </c>
      <c r="AB105" s="8">
        <f>Table3[[#This Row],[PrimaComercial Anual]]*Table3[[#This Row],[Recargo adicional]]</f>
        <v>393.99436260000004</v>
      </c>
      <c r="AC105" s="8">
        <f>Table3[[#This Row],[PrimaComercial Anual]]*Table3[[#This Row],[IT]]</f>
        <v>139.87800000000001</v>
      </c>
      <c r="AD105" s="8">
        <f>Table3[[#This Row],[PrimaComercial Anual]]*Table3[[#This Row],[IVA]]</f>
        <v>606.13800000000003</v>
      </c>
      <c r="AE105" s="15">
        <f>Table3[[#This Row],[PrimaComercial Anual Asistencia]]</f>
        <v>4662.6000000000004</v>
      </c>
      <c r="AG105">
        <v>4662.6000000000004</v>
      </c>
    </row>
    <row r="106" spans="1:33" x14ac:dyDescent="0.25">
      <c r="A106" t="s">
        <v>18</v>
      </c>
      <c r="B106">
        <v>70000</v>
      </c>
      <c r="C106">
        <v>4</v>
      </c>
      <c r="D106" s="2">
        <f>Table3[[#This Row],[PrimaTécnica]]-Table3[[#This Row],[PrimaTécnica]]*SUM(Table3[[#This Row],[Gastos Adm]:[Cobranza]])</f>
        <v>1997.8992742176001</v>
      </c>
      <c r="E106">
        <v>0</v>
      </c>
      <c r="F106">
        <v>0.15</v>
      </c>
      <c r="G106">
        <v>0.05</v>
      </c>
      <c r="H106">
        <v>0.01</v>
      </c>
      <c r="I106">
        <v>0.01</v>
      </c>
      <c r="J106" s="8">
        <f>Table3[[#This Row],[PrimaTécnica]]*Table3[[#This Row],[Gastos Adm]]</f>
        <v>384.21139888800002</v>
      </c>
      <c r="K106" s="8">
        <f>Table3[[#This Row],[PrimaTécnica]]*Table3[[#This Row],[Utilidad]]</f>
        <v>128.07046629600003</v>
      </c>
      <c r="L106" s="8">
        <f>Table3[[#This Row],[PrimaTécnica]]*Table3[[#This Row],[Marketing]]</f>
        <v>25.614093259200004</v>
      </c>
      <c r="M106" s="8">
        <f>Table3[[#This Row],[PrimaTécnica]]*Table3[[#This Row],[Cobranza]]</f>
        <v>25.614093259200004</v>
      </c>
      <c r="N10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106">
        <v>21.84</v>
      </c>
      <c r="P106">
        <v>54.6</v>
      </c>
      <c r="Q106">
        <v>80.64</v>
      </c>
      <c r="R106">
        <v>44.377200000000002</v>
      </c>
      <c r="S106">
        <v>0.2</v>
      </c>
      <c r="T106">
        <v>0.02</v>
      </c>
      <c r="U106" s="8">
        <f>Table3[[#This Row],[PrimaNeta]]*Table3[[#This Row],[Comisión]]</f>
        <v>690.71663148000016</v>
      </c>
      <c r="V106" s="15">
        <f>Table3[[#This Row],[PrimaComercial Anual]]-Table3[[#This Row],[PrimaComercial Anual]]*SUM(Table3[[#This Row],[APS]:[IVA]])</f>
        <v>3453.5831574000003</v>
      </c>
      <c r="W106" s="2">
        <v>1.4800000000000001E-2</v>
      </c>
      <c r="X106" s="2">
        <v>8.4501000000000007E-2</v>
      </c>
      <c r="Y106">
        <v>0.03</v>
      </c>
      <c r="Z106">
        <v>0.13</v>
      </c>
      <c r="AA106" s="20">
        <f>Table3[[#This Row],[APS]]*Table3[[#This Row],[PrimaComercial Anual]]</f>
        <v>69.00648000000001</v>
      </c>
      <c r="AB106" s="8">
        <f>Table3[[#This Row],[PrimaComercial Anual]]*Table3[[#This Row],[Recargo adicional]]</f>
        <v>393.99436260000004</v>
      </c>
      <c r="AC106" s="8">
        <f>Table3[[#This Row],[PrimaComercial Anual]]*Table3[[#This Row],[IT]]</f>
        <v>139.87800000000001</v>
      </c>
      <c r="AD106" s="8">
        <f>Table3[[#This Row],[PrimaComercial Anual]]*Table3[[#This Row],[IVA]]</f>
        <v>606.13800000000003</v>
      </c>
      <c r="AE106" s="15">
        <f>Table3[[#This Row],[PrimaComercial Anual Asistencia]]</f>
        <v>4662.6000000000004</v>
      </c>
      <c r="AG106">
        <v>4662.6000000000004</v>
      </c>
    </row>
    <row r="107" spans="1:33" x14ac:dyDescent="0.25">
      <c r="A107" t="s">
        <v>18</v>
      </c>
      <c r="B107">
        <v>70000</v>
      </c>
      <c r="C107">
        <v>5</v>
      </c>
      <c r="D107" s="2">
        <f>Table3[[#This Row],[PrimaTécnica]]-Table3[[#This Row],[PrimaTécnica]]*SUM(Table3[[#This Row],[Gastos Adm]:[Cobranza]])</f>
        <v>1997.8992742176001</v>
      </c>
      <c r="E107">
        <v>0</v>
      </c>
      <c r="F107">
        <v>0.15</v>
      </c>
      <c r="G107">
        <v>0.05</v>
      </c>
      <c r="H107">
        <v>0.01</v>
      </c>
      <c r="I107">
        <v>0.01</v>
      </c>
      <c r="J107" s="8">
        <f>Table3[[#This Row],[PrimaTécnica]]*Table3[[#This Row],[Gastos Adm]]</f>
        <v>384.21139888800002</v>
      </c>
      <c r="K107" s="8">
        <f>Table3[[#This Row],[PrimaTécnica]]*Table3[[#This Row],[Utilidad]]</f>
        <v>128.07046629600003</v>
      </c>
      <c r="L107" s="8">
        <f>Table3[[#This Row],[PrimaTécnica]]*Table3[[#This Row],[Marketing]]</f>
        <v>25.614093259200004</v>
      </c>
      <c r="M107" s="8">
        <f>Table3[[#This Row],[PrimaTécnica]]*Table3[[#This Row],[Cobranza]]</f>
        <v>25.614093259200004</v>
      </c>
      <c r="N10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107">
        <v>21.84</v>
      </c>
      <c r="P107">
        <v>54.6</v>
      </c>
      <c r="Q107">
        <v>80.64</v>
      </c>
      <c r="R107">
        <v>44.377200000000002</v>
      </c>
      <c r="S107">
        <v>0.2</v>
      </c>
      <c r="T107">
        <v>0.02</v>
      </c>
      <c r="U107" s="8">
        <f>Table3[[#This Row],[PrimaNeta]]*Table3[[#This Row],[Comisión]]</f>
        <v>690.71663148000016</v>
      </c>
      <c r="V107" s="15">
        <f>Table3[[#This Row],[PrimaComercial Anual]]-Table3[[#This Row],[PrimaComercial Anual]]*SUM(Table3[[#This Row],[APS]:[IVA]])</f>
        <v>3453.5831574000003</v>
      </c>
      <c r="W107" s="2">
        <v>1.4800000000000001E-2</v>
      </c>
      <c r="X107" s="2">
        <v>8.4501000000000007E-2</v>
      </c>
      <c r="Y107">
        <v>0.03</v>
      </c>
      <c r="Z107">
        <v>0.13</v>
      </c>
      <c r="AA107" s="20">
        <f>Table3[[#This Row],[APS]]*Table3[[#This Row],[PrimaComercial Anual]]</f>
        <v>69.00648000000001</v>
      </c>
      <c r="AB107" s="8">
        <f>Table3[[#This Row],[PrimaComercial Anual]]*Table3[[#This Row],[Recargo adicional]]</f>
        <v>393.99436260000004</v>
      </c>
      <c r="AC107" s="8">
        <f>Table3[[#This Row],[PrimaComercial Anual]]*Table3[[#This Row],[IT]]</f>
        <v>139.87800000000001</v>
      </c>
      <c r="AD107" s="8">
        <f>Table3[[#This Row],[PrimaComercial Anual]]*Table3[[#This Row],[IVA]]</f>
        <v>606.13800000000003</v>
      </c>
      <c r="AE107" s="15">
        <f>Table3[[#This Row],[PrimaComercial Anual Asistencia]]</f>
        <v>4662.6000000000004</v>
      </c>
      <c r="AG107">
        <v>4662.6000000000004</v>
      </c>
    </row>
    <row r="108" spans="1:33" x14ac:dyDescent="0.25">
      <c r="A108" t="s">
        <v>18</v>
      </c>
      <c r="B108">
        <v>70000</v>
      </c>
      <c r="C108">
        <v>6</v>
      </c>
      <c r="D108" s="2">
        <f>Table3[[#This Row],[PrimaTécnica]]-Table3[[#This Row],[PrimaTécnica]]*SUM(Table3[[#This Row],[Gastos Adm]:[Cobranza]])</f>
        <v>1997.8992742176001</v>
      </c>
      <c r="E108">
        <v>0</v>
      </c>
      <c r="F108">
        <v>0.15</v>
      </c>
      <c r="G108">
        <v>0.05</v>
      </c>
      <c r="H108">
        <v>0.01</v>
      </c>
      <c r="I108">
        <v>0.01</v>
      </c>
      <c r="J108" s="8">
        <f>Table3[[#This Row],[PrimaTécnica]]*Table3[[#This Row],[Gastos Adm]]</f>
        <v>384.21139888800002</v>
      </c>
      <c r="K108" s="8">
        <f>Table3[[#This Row],[PrimaTécnica]]*Table3[[#This Row],[Utilidad]]</f>
        <v>128.07046629600003</v>
      </c>
      <c r="L108" s="8">
        <f>Table3[[#This Row],[PrimaTécnica]]*Table3[[#This Row],[Marketing]]</f>
        <v>25.614093259200004</v>
      </c>
      <c r="M108" s="8">
        <f>Table3[[#This Row],[PrimaTécnica]]*Table3[[#This Row],[Cobranza]]</f>
        <v>25.614093259200004</v>
      </c>
      <c r="N10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108">
        <v>21.84</v>
      </c>
      <c r="P108">
        <v>54.6</v>
      </c>
      <c r="Q108">
        <v>80.64</v>
      </c>
      <c r="R108">
        <v>44.377200000000002</v>
      </c>
      <c r="S108">
        <v>0.2</v>
      </c>
      <c r="T108">
        <v>0.02</v>
      </c>
      <c r="U108" s="8">
        <f>Table3[[#This Row],[PrimaNeta]]*Table3[[#This Row],[Comisión]]</f>
        <v>690.71663148000016</v>
      </c>
      <c r="V108" s="15">
        <f>Table3[[#This Row],[PrimaComercial Anual]]-Table3[[#This Row],[PrimaComercial Anual]]*SUM(Table3[[#This Row],[APS]:[IVA]])</f>
        <v>3453.5831574000003</v>
      </c>
      <c r="W108" s="2">
        <v>1.4800000000000001E-2</v>
      </c>
      <c r="X108" s="2">
        <v>8.4501000000000007E-2</v>
      </c>
      <c r="Y108">
        <v>0.03</v>
      </c>
      <c r="Z108">
        <v>0.13</v>
      </c>
      <c r="AA108" s="20">
        <f>Table3[[#This Row],[APS]]*Table3[[#This Row],[PrimaComercial Anual]]</f>
        <v>69.00648000000001</v>
      </c>
      <c r="AB108" s="8">
        <f>Table3[[#This Row],[PrimaComercial Anual]]*Table3[[#This Row],[Recargo adicional]]</f>
        <v>393.99436260000004</v>
      </c>
      <c r="AC108" s="8">
        <f>Table3[[#This Row],[PrimaComercial Anual]]*Table3[[#This Row],[IT]]</f>
        <v>139.87800000000001</v>
      </c>
      <c r="AD108" s="8">
        <f>Table3[[#This Row],[PrimaComercial Anual]]*Table3[[#This Row],[IVA]]</f>
        <v>606.13800000000003</v>
      </c>
      <c r="AE108" s="15">
        <f>Table3[[#This Row],[PrimaComercial Anual Asistencia]]</f>
        <v>4662.6000000000004</v>
      </c>
      <c r="AG108">
        <v>4662.6000000000004</v>
      </c>
    </row>
    <row r="109" spans="1:33" x14ac:dyDescent="0.25">
      <c r="A109" t="s">
        <v>18</v>
      </c>
      <c r="B109">
        <v>70000</v>
      </c>
      <c r="C109">
        <v>7</v>
      </c>
      <c r="D109" s="2">
        <f>Table3[[#This Row],[PrimaTécnica]]-Table3[[#This Row],[PrimaTécnica]]*SUM(Table3[[#This Row],[Gastos Adm]:[Cobranza]])</f>
        <v>1997.8992742176001</v>
      </c>
      <c r="E109">
        <v>0</v>
      </c>
      <c r="F109">
        <v>0.15</v>
      </c>
      <c r="G109">
        <v>0.05</v>
      </c>
      <c r="H109">
        <v>0.01</v>
      </c>
      <c r="I109">
        <v>0.01</v>
      </c>
      <c r="J109" s="8">
        <f>Table3[[#This Row],[PrimaTécnica]]*Table3[[#This Row],[Gastos Adm]]</f>
        <v>384.21139888800002</v>
      </c>
      <c r="K109" s="8">
        <f>Table3[[#This Row],[PrimaTécnica]]*Table3[[#This Row],[Utilidad]]</f>
        <v>128.07046629600003</v>
      </c>
      <c r="L109" s="8">
        <f>Table3[[#This Row],[PrimaTécnica]]*Table3[[#This Row],[Marketing]]</f>
        <v>25.614093259200004</v>
      </c>
      <c r="M109" s="8">
        <f>Table3[[#This Row],[PrimaTécnica]]*Table3[[#This Row],[Cobranza]]</f>
        <v>25.614093259200004</v>
      </c>
      <c r="N10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109">
        <v>21.84</v>
      </c>
      <c r="P109">
        <v>54.6</v>
      </c>
      <c r="Q109">
        <v>80.64</v>
      </c>
      <c r="R109">
        <v>44.377200000000002</v>
      </c>
      <c r="S109">
        <v>0.2</v>
      </c>
      <c r="T109">
        <v>0.02</v>
      </c>
      <c r="U109" s="8">
        <f>Table3[[#This Row],[PrimaNeta]]*Table3[[#This Row],[Comisión]]</f>
        <v>690.71663148000016</v>
      </c>
      <c r="V109" s="15">
        <f>Table3[[#This Row],[PrimaComercial Anual]]-Table3[[#This Row],[PrimaComercial Anual]]*SUM(Table3[[#This Row],[APS]:[IVA]])</f>
        <v>3453.5831574000003</v>
      </c>
      <c r="W109" s="2">
        <v>1.4800000000000001E-2</v>
      </c>
      <c r="X109" s="2">
        <v>8.4501000000000007E-2</v>
      </c>
      <c r="Y109">
        <v>0.03</v>
      </c>
      <c r="Z109">
        <v>0.13</v>
      </c>
      <c r="AA109" s="20">
        <f>Table3[[#This Row],[APS]]*Table3[[#This Row],[PrimaComercial Anual]]</f>
        <v>69.00648000000001</v>
      </c>
      <c r="AB109" s="8">
        <f>Table3[[#This Row],[PrimaComercial Anual]]*Table3[[#This Row],[Recargo adicional]]</f>
        <v>393.99436260000004</v>
      </c>
      <c r="AC109" s="8">
        <f>Table3[[#This Row],[PrimaComercial Anual]]*Table3[[#This Row],[IT]]</f>
        <v>139.87800000000001</v>
      </c>
      <c r="AD109" s="8">
        <f>Table3[[#This Row],[PrimaComercial Anual]]*Table3[[#This Row],[IVA]]</f>
        <v>606.13800000000003</v>
      </c>
      <c r="AE109" s="15">
        <f>Table3[[#This Row],[PrimaComercial Anual Asistencia]]</f>
        <v>4662.6000000000004</v>
      </c>
      <c r="AG109">
        <v>4662.6000000000004</v>
      </c>
    </row>
    <row r="110" spans="1:33" x14ac:dyDescent="0.25">
      <c r="A110" t="s">
        <v>18</v>
      </c>
      <c r="B110">
        <v>70000</v>
      </c>
      <c r="C110">
        <v>8</v>
      </c>
      <c r="D110" s="2">
        <f>Table3[[#This Row],[PrimaTécnica]]-Table3[[#This Row],[PrimaTécnica]]*SUM(Table3[[#This Row],[Gastos Adm]:[Cobranza]])</f>
        <v>1997.8992742176001</v>
      </c>
      <c r="E110">
        <v>0</v>
      </c>
      <c r="F110">
        <v>0.15</v>
      </c>
      <c r="G110">
        <v>0.05</v>
      </c>
      <c r="H110">
        <v>0.01</v>
      </c>
      <c r="I110">
        <v>0.01</v>
      </c>
      <c r="J110" s="8">
        <f>Table3[[#This Row],[PrimaTécnica]]*Table3[[#This Row],[Gastos Adm]]</f>
        <v>384.21139888800002</v>
      </c>
      <c r="K110" s="8">
        <f>Table3[[#This Row],[PrimaTécnica]]*Table3[[#This Row],[Utilidad]]</f>
        <v>128.07046629600003</v>
      </c>
      <c r="L110" s="8">
        <f>Table3[[#This Row],[PrimaTécnica]]*Table3[[#This Row],[Marketing]]</f>
        <v>25.614093259200004</v>
      </c>
      <c r="M110" s="8">
        <f>Table3[[#This Row],[PrimaTécnica]]*Table3[[#This Row],[Cobranza]]</f>
        <v>25.614093259200004</v>
      </c>
      <c r="N11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110">
        <v>21.84</v>
      </c>
      <c r="P110">
        <v>54.6</v>
      </c>
      <c r="Q110">
        <v>80.64</v>
      </c>
      <c r="R110">
        <v>44.377200000000002</v>
      </c>
      <c r="S110">
        <v>0.2</v>
      </c>
      <c r="T110">
        <v>0.02</v>
      </c>
      <c r="U110" s="8">
        <f>Table3[[#This Row],[PrimaNeta]]*Table3[[#This Row],[Comisión]]</f>
        <v>690.71663148000016</v>
      </c>
      <c r="V110" s="15">
        <f>Table3[[#This Row],[PrimaComercial Anual]]-Table3[[#This Row],[PrimaComercial Anual]]*SUM(Table3[[#This Row],[APS]:[IVA]])</f>
        <v>3453.5831574000003</v>
      </c>
      <c r="W110" s="2">
        <v>1.4800000000000001E-2</v>
      </c>
      <c r="X110" s="2">
        <v>8.4501000000000007E-2</v>
      </c>
      <c r="Y110">
        <v>0.03</v>
      </c>
      <c r="Z110">
        <v>0.13</v>
      </c>
      <c r="AA110" s="20">
        <f>Table3[[#This Row],[APS]]*Table3[[#This Row],[PrimaComercial Anual]]</f>
        <v>69.00648000000001</v>
      </c>
      <c r="AB110" s="8">
        <f>Table3[[#This Row],[PrimaComercial Anual]]*Table3[[#This Row],[Recargo adicional]]</f>
        <v>393.99436260000004</v>
      </c>
      <c r="AC110" s="8">
        <f>Table3[[#This Row],[PrimaComercial Anual]]*Table3[[#This Row],[IT]]</f>
        <v>139.87800000000001</v>
      </c>
      <c r="AD110" s="8">
        <f>Table3[[#This Row],[PrimaComercial Anual]]*Table3[[#This Row],[IVA]]</f>
        <v>606.13800000000003</v>
      </c>
      <c r="AE110" s="15">
        <f>Table3[[#This Row],[PrimaComercial Anual Asistencia]]</f>
        <v>4662.6000000000004</v>
      </c>
      <c r="AG110">
        <v>4662.6000000000004</v>
      </c>
    </row>
    <row r="111" spans="1:33" x14ac:dyDescent="0.25">
      <c r="A111" t="s">
        <v>18</v>
      </c>
      <c r="B111">
        <v>70000</v>
      </c>
      <c r="C111">
        <v>9</v>
      </c>
      <c r="D111" s="2">
        <f>Table3[[#This Row],[PrimaTécnica]]-Table3[[#This Row],[PrimaTécnica]]*SUM(Table3[[#This Row],[Gastos Adm]:[Cobranza]])</f>
        <v>1997.8992742176001</v>
      </c>
      <c r="E111">
        <v>0</v>
      </c>
      <c r="F111">
        <v>0.15</v>
      </c>
      <c r="G111">
        <v>0.05</v>
      </c>
      <c r="H111">
        <v>0.01</v>
      </c>
      <c r="I111">
        <v>0.01</v>
      </c>
      <c r="J111" s="8">
        <f>Table3[[#This Row],[PrimaTécnica]]*Table3[[#This Row],[Gastos Adm]]</f>
        <v>384.21139888800002</v>
      </c>
      <c r="K111" s="8">
        <f>Table3[[#This Row],[PrimaTécnica]]*Table3[[#This Row],[Utilidad]]</f>
        <v>128.07046629600003</v>
      </c>
      <c r="L111" s="8">
        <f>Table3[[#This Row],[PrimaTécnica]]*Table3[[#This Row],[Marketing]]</f>
        <v>25.614093259200004</v>
      </c>
      <c r="M111" s="8">
        <f>Table3[[#This Row],[PrimaTécnica]]*Table3[[#This Row],[Cobranza]]</f>
        <v>25.614093259200004</v>
      </c>
      <c r="N11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111">
        <v>21.84</v>
      </c>
      <c r="P111">
        <v>54.6</v>
      </c>
      <c r="Q111">
        <v>80.64</v>
      </c>
      <c r="R111">
        <v>44.377200000000002</v>
      </c>
      <c r="S111">
        <v>0.2</v>
      </c>
      <c r="T111">
        <v>0.02</v>
      </c>
      <c r="U111" s="8">
        <f>Table3[[#This Row],[PrimaNeta]]*Table3[[#This Row],[Comisión]]</f>
        <v>690.71663148000016</v>
      </c>
      <c r="V111" s="15">
        <f>Table3[[#This Row],[PrimaComercial Anual]]-Table3[[#This Row],[PrimaComercial Anual]]*SUM(Table3[[#This Row],[APS]:[IVA]])</f>
        <v>3453.5831574000003</v>
      </c>
      <c r="W111" s="2">
        <v>1.4800000000000001E-2</v>
      </c>
      <c r="X111" s="2">
        <v>8.4501000000000007E-2</v>
      </c>
      <c r="Y111">
        <v>0.03</v>
      </c>
      <c r="Z111">
        <v>0.13</v>
      </c>
      <c r="AA111" s="20">
        <f>Table3[[#This Row],[APS]]*Table3[[#This Row],[PrimaComercial Anual]]</f>
        <v>69.00648000000001</v>
      </c>
      <c r="AB111" s="8">
        <f>Table3[[#This Row],[PrimaComercial Anual]]*Table3[[#This Row],[Recargo adicional]]</f>
        <v>393.99436260000004</v>
      </c>
      <c r="AC111" s="8">
        <f>Table3[[#This Row],[PrimaComercial Anual]]*Table3[[#This Row],[IT]]</f>
        <v>139.87800000000001</v>
      </c>
      <c r="AD111" s="8">
        <f>Table3[[#This Row],[PrimaComercial Anual]]*Table3[[#This Row],[IVA]]</f>
        <v>606.13800000000003</v>
      </c>
      <c r="AE111" s="15">
        <f>Table3[[#This Row],[PrimaComercial Anual Asistencia]]</f>
        <v>4662.6000000000004</v>
      </c>
      <c r="AG111">
        <v>4662.6000000000004</v>
      </c>
    </row>
    <row r="112" spans="1:33" x14ac:dyDescent="0.25">
      <c r="A112" t="s">
        <v>18</v>
      </c>
      <c r="B112">
        <v>70000</v>
      </c>
      <c r="C112">
        <v>10</v>
      </c>
      <c r="D112" s="2">
        <f>Table3[[#This Row],[PrimaTécnica]]-Table3[[#This Row],[PrimaTécnica]]*SUM(Table3[[#This Row],[Gastos Adm]:[Cobranza]])</f>
        <v>1997.8992742176001</v>
      </c>
      <c r="E112">
        <v>0</v>
      </c>
      <c r="F112">
        <v>0.15</v>
      </c>
      <c r="G112">
        <v>0.05</v>
      </c>
      <c r="H112">
        <v>0.01</v>
      </c>
      <c r="I112">
        <v>0.01</v>
      </c>
      <c r="J112" s="8">
        <f>Table3[[#This Row],[PrimaTécnica]]*Table3[[#This Row],[Gastos Adm]]</f>
        <v>384.21139888800002</v>
      </c>
      <c r="K112" s="8">
        <f>Table3[[#This Row],[PrimaTécnica]]*Table3[[#This Row],[Utilidad]]</f>
        <v>128.07046629600003</v>
      </c>
      <c r="L112" s="8">
        <f>Table3[[#This Row],[PrimaTécnica]]*Table3[[#This Row],[Marketing]]</f>
        <v>25.614093259200004</v>
      </c>
      <c r="M112" s="8">
        <f>Table3[[#This Row],[PrimaTécnica]]*Table3[[#This Row],[Cobranza]]</f>
        <v>25.614093259200004</v>
      </c>
      <c r="N11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112">
        <v>21.84</v>
      </c>
      <c r="P112">
        <v>54.6</v>
      </c>
      <c r="Q112">
        <v>80.64</v>
      </c>
      <c r="R112">
        <v>44.377200000000002</v>
      </c>
      <c r="S112">
        <v>0.2</v>
      </c>
      <c r="T112">
        <v>0.02</v>
      </c>
      <c r="U112" s="8">
        <f>Table3[[#This Row],[PrimaNeta]]*Table3[[#This Row],[Comisión]]</f>
        <v>690.71663148000016</v>
      </c>
      <c r="V112" s="15">
        <f>Table3[[#This Row],[PrimaComercial Anual]]-Table3[[#This Row],[PrimaComercial Anual]]*SUM(Table3[[#This Row],[APS]:[IVA]])</f>
        <v>3453.5831574000003</v>
      </c>
      <c r="W112" s="2">
        <v>1.4800000000000001E-2</v>
      </c>
      <c r="X112" s="2">
        <v>8.4501000000000007E-2</v>
      </c>
      <c r="Y112">
        <v>0.03</v>
      </c>
      <c r="Z112">
        <v>0.13</v>
      </c>
      <c r="AA112" s="20">
        <f>Table3[[#This Row],[APS]]*Table3[[#This Row],[PrimaComercial Anual]]</f>
        <v>69.00648000000001</v>
      </c>
      <c r="AB112" s="8">
        <f>Table3[[#This Row],[PrimaComercial Anual]]*Table3[[#This Row],[Recargo adicional]]</f>
        <v>393.99436260000004</v>
      </c>
      <c r="AC112" s="8">
        <f>Table3[[#This Row],[PrimaComercial Anual]]*Table3[[#This Row],[IT]]</f>
        <v>139.87800000000001</v>
      </c>
      <c r="AD112" s="8">
        <f>Table3[[#This Row],[PrimaComercial Anual]]*Table3[[#This Row],[IVA]]</f>
        <v>606.13800000000003</v>
      </c>
      <c r="AE112" s="15">
        <f>Table3[[#This Row],[PrimaComercial Anual Asistencia]]</f>
        <v>4662.6000000000004</v>
      </c>
      <c r="AG112">
        <v>4662.6000000000004</v>
      </c>
    </row>
    <row r="113" spans="1:33" x14ac:dyDescent="0.25">
      <c r="A113" t="s">
        <v>18</v>
      </c>
      <c r="B113">
        <v>70000</v>
      </c>
      <c r="C113">
        <v>11</v>
      </c>
      <c r="D113" s="2">
        <f>Table3[[#This Row],[PrimaTécnica]]-Table3[[#This Row],[PrimaTécnica]]*SUM(Table3[[#This Row],[Gastos Adm]:[Cobranza]])</f>
        <v>1997.8992742176001</v>
      </c>
      <c r="E113">
        <v>0</v>
      </c>
      <c r="F113">
        <v>0.15</v>
      </c>
      <c r="G113">
        <v>0.05</v>
      </c>
      <c r="H113">
        <v>0.01</v>
      </c>
      <c r="I113">
        <v>0.01</v>
      </c>
      <c r="J113" s="8">
        <f>Table3[[#This Row],[PrimaTécnica]]*Table3[[#This Row],[Gastos Adm]]</f>
        <v>384.21139888800002</v>
      </c>
      <c r="K113" s="8">
        <f>Table3[[#This Row],[PrimaTécnica]]*Table3[[#This Row],[Utilidad]]</f>
        <v>128.07046629600003</v>
      </c>
      <c r="L113" s="8">
        <f>Table3[[#This Row],[PrimaTécnica]]*Table3[[#This Row],[Marketing]]</f>
        <v>25.614093259200004</v>
      </c>
      <c r="M113" s="8">
        <f>Table3[[#This Row],[PrimaTécnica]]*Table3[[#This Row],[Cobranza]]</f>
        <v>25.614093259200004</v>
      </c>
      <c r="N11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113">
        <v>21.84</v>
      </c>
      <c r="P113">
        <v>54.6</v>
      </c>
      <c r="Q113">
        <v>80.64</v>
      </c>
      <c r="R113">
        <v>44.377200000000002</v>
      </c>
      <c r="S113">
        <v>0.2</v>
      </c>
      <c r="T113">
        <v>0.02</v>
      </c>
      <c r="U113" s="8">
        <f>Table3[[#This Row],[PrimaNeta]]*Table3[[#This Row],[Comisión]]</f>
        <v>690.71663148000016</v>
      </c>
      <c r="V113" s="15">
        <f>Table3[[#This Row],[PrimaComercial Anual]]-Table3[[#This Row],[PrimaComercial Anual]]*SUM(Table3[[#This Row],[APS]:[IVA]])</f>
        <v>3453.5831574000003</v>
      </c>
      <c r="W113" s="2">
        <v>1.4800000000000001E-2</v>
      </c>
      <c r="X113" s="2">
        <v>8.4501000000000007E-2</v>
      </c>
      <c r="Y113">
        <v>0.03</v>
      </c>
      <c r="Z113">
        <v>0.13</v>
      </c>
      <c r="AA113" s="20">
        <f>Table3[[#This Row],[APS]]*Table3[[#This Row],[PrimaComercial Anual]]</f>
        <v>69.00648000000001</v>
      </c>
      <c r="AB113" s="8">
        <f>Table3[[#This Row],[PrimaComercial Anual]]*Table3[[#This Row],[Recargo adicional]]</f>
        <v>393.99436260000004</v>
      </c>
      <c r="AC113" s="8">
        <f>Table3[[#This Row],[PrimaComercial Anual]]*Table3[[#This Row],[IT]]</f>
        <v>139.87800000000001</v>
      </c>
      <c r="AD113" s="8">
        <f>Table3[[#This Row],[PrimaComercial Anual]]*Table3[[#This Row],[IVA]]</f>
        <v>606.13800000000003</v>
      </c>
      <c r="AE113" s="15">
        <f>Table3[[#This Row],[PrimaComercial Anual Asistencia]]</f>
        <v>4662.6000000000004</v>
      </c>
      <c r="AG113">
        <v>4662.6000000000004</v>
      </c>
    </row>
    <row r="114" spans="1:33" x14ac:dyDescent="0.25">
      <c r="A114" t="s">
        <v>18</v>
      </c>
      <c r="B114">
        <v>70000</v>
      </c>
      <c r="C114">
        <v>12</v>
      </c>
      <c r="D114" s="2">
        <f>Table3[[#This Row],[PrimaTécnica]]-Table3[[#This Row],[PrimaTécnica]]*SUM(Table3[[#This Row],[Gastos Adm]:[Cobranza]])</f>
        <v>1997.8992742176001</v>
      </c>
      <c r="E114">
        <v>0</v>
      </c>
      <c r="F114">
        <v>0.15</v>
      </c>
      <c r="G114">
        <v>0.05</v>
      </c>
      <c r="H114">
        <v>0.01</v>
      </c>
      <c r="I114">
        <v>0.01</v>
      </c>
      <c r="J114" s="8">
        <f>Table3[[#This Row],[PrimaTécnica]]*Table3[[#This Row],[Gastos Adm]]</f>
        <v>384.21139888800002</v>
      </c>
      <c r="K114" s="8">
        <f>Table3[[#This Row],[PrimaTécnica]]*Table3[[#This Row],[Utilidad]]</f>
        <v>128.07046629600003</v>
      </c>
      <c r="L114" s="8">
        <f>Table3[[#This Row],[PrimaTécnica]]*Table3[[#This Row],[Marketing]]</f>
        <v>25.614093259200004</v>
      </c>
      <c r="M114" s="8">
        <f>Table3[[#This Row],[PrimaTécnica]]*Table3[[#This Row],[Cobranza]]</f>
        <v>25.614093259200004</v>
      </c>
      <c r="N11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114">
        <v>21.84</v>
      </c>
      <c r="P114">
        <v>54.6</v>
      </c>
      <c r="Q114">
        <v>80.64</v>
      </c>
      <c r="R114">
        <v>44.377200000000002</v>
      </c>
      <c r="S114">
        <v>0.2</v>
      </c>
      <c r="T114">
        <v>0.02</v>
      </c>
      <c r="U114" s="8">
        <f>Table3[[#This Row],[PrimaNeta]]*Table3[[#This Row],[Comisión]]</f>
        <v>690.71663148000016</v>
      </c>
      <c r="V114" s="15">
        <f>Table3[[#This Row],[PrimaComercial Anual]]-Table3[[#This Row],[PrimaComercial Anual]]*SUM(Table3[[#This Row],[APS]:[IVA]])</f>
        <v>3453.5831574000003</v>
      </c>
      <c r="W114" s="2">
        <v>1.4800000000000001E-2</v>
      </c>
      <c r="X114" s="2">
        <v>8.4501000000000007E-2</v>
      </c>
      <c r="Y114">
        <v>0.03</v>
      </c>
      <c r="Z114">
        <v>0.13</v>
      </c>
      <c r="AA114" s="20">
        <f>Table3[[#This Row],[APS]]*Table3[[#This Row],[PrimaComercial Anual]]</f>
        <v>69.00648000000001</v>
      </c>
      <c r="AB114" s="8">
        <f>Table3[[#This Row],[PrimaComercial Anual]]*Table3[[#This Row],[Recargo adicional]]</f>
        <v>393.99436260000004</v>
      </c>
      <c r="AC114" s="8">
        <f>Table3[[#This Row],[PrimaComercial Anual]]*Table3[[#This Row],[IT]]</f>
        <v>139.87800000000001</v>
      </c>
      <c r="AD114" s="8">
        <f>Table3[[#This Row],[PrimaComercial Anual]]*Table3[[#This Row],[IVA]]</f>
        <v>606.13800000000003</v>
      </c>
      <c r="AE114" s="15">
        <f>Table3[[#This Row],[PrimaComercial Anual Asistencia]]</f>
        <v>4662.6000000000004</v>
      </c>
      <c r="AG114">
        <v>4662.6000000000004</v>
      </c>
    </row>
    <row r="115" spans="1:33" x14ac:dyDescent="0.25">
      <c r="A115" t="s">
        <v>18</v>
      </c>
      <c r="B115">
        <v>70000</v>
      </c>
      <c r="C115">
        <v>13</v>
      </c>
      <c r="D115" s="2">
        <f>Table3[[#This Row],[PrimaTécnica]]-Table3[[#This Row],[PrimaTécnica]]*SUM(Table3[[#This Row],[Gastos Adm]:[Cobranza]])</f>
        <v>1997.8992742176001</v>
      </c>
      <c r="E115">
        <v>0</v>
      </c>
      <c r="F115">
        <v>0.15</v>
      </c>
      <c r="G115">
        <v>0.05</v>
      </c>
      <c r="H115">
        <v>0.01</v>
      </c>
      <c r="I115">
        <v>0.01</v>
      </c>
      <c r="J115" s="8">
        <f>Table3[[#This Row],[PrimaTécnica]]*Table3[[#This Row],[Gastos Adm]]</f>
        <v>384.21139888800002</v>
      </c>
      <c r="K115" s="8">
        <f>Table3[[#This Row],[PrimaTécnica]]*Table3[[#This Row],[Utilidad]]</f>
        <v>128.07046629600003</v>
      </c>
      <c r="L115" s="8">
        <f>Table3[[#This Row],[PrimaTécnica]]*Table3[[#This Row],[Marketing]]</f>
        <v>25.614093259200004</v>
      </c>
      <c r="M115" s="8">
        <f>Table3[[#This Row],[PrimaTécnica]]*Table3[[#This Row],[Cobranza]]</f>
        <v>25.614093259200004</v>
      </c>
      <c r="N11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115">
        <v>21.84</v>
      </c>
      <c r="P115">
        <v>54.6</v>
      </c>
      <c r="Q115">
        <v>80.64</v>
      </c>
      <c r="R115">
        <v>44.377200000000002</v>
      </c>
      <c r="S115">
        <v>0.2</v>
      </c>
      <c r="T115">
        <v>0.02</v>
      </c>
      <c r="U115" s="8">
        <f>Table3[[#This Row],[PrimaNeta]]*Table3[[#This Row],[Comisión]]</f>
        <v>690.71663148000016</v>
      </c>
      <c r="V115" s="15">
        <f>Table3[[#This Row],[PrimaComercial Anual]]-Table3[[#This Row],[PrimaComercial Anual]]*SUM(Table3[[#This Row],[APS]:[IVA]])</f>
        <v>3453.5831574000003</v>
      </c>
      <c r="W115" s="2">
        <v>1.4800000000000001E-2</v>
      </c>
      <c r="X115" s="2">
        <v>8.4501000000000007E-2</v>
      </c>
      <c r="Y115">
        <v>0.03</v>
      </c>
      <c r="Z115">
        <v>0.13</v>
      </c>
      <c r="AA115" s="20">
        <f>Table3[[#This Row],[APS]]*Table3[[#This Row],[PrimaComercial Anual]]</f>
        <v>69.00648000000001</v>
      </c>
      <c r="AB115" s="8">
        <f>Table3[[#This Row],[PrimaComercial Anual]]*Table3[[#This Row],[Recargo adicional]]</f>
        <v>393.99436260000004</v>
      </c>
      <c r="AC115" s="8">
        <f>Table3[[#This Row],[PrimaComercial Anual]]*Table3[[#This Row],[IT]]</f>
        <v>139.87800000000001</v>
      </c>
      <c r="AD115" s="8">
        <f>Table3[[#This Row],[PrimaComercial Anual]]*Table3[[#This Row],[IVA]]</f>
        <v>606.13800000000003</v>
      </c>
      <c r="AE115" s="15">
        <f>Table3[[#This Row],[PrimaComercial Anual Asistencia]]</f>
        <v>4662.6000000000004</v>
      </c>
      <c r="AG115">
        <v>4662.6000000000004</v>
      </c>
    </row>
    <row r="116" spans="1:33" x14ac:dyDescent="0.25">
      <c r="A116" t="s">
        <v>18</v>
      </c>
      <c r="B116">
        <v>70000</v>
      </c>
      <c r="C116">
        <v>14</v>
      </c>
      <c r="D116" s="2">
        <f>Table3[[#This Row],[PrimaTécnica]]-Table3[[#This Row],[PrimaTécnica]]*SUM(Table3[[#This Row],[Gastos Adm]:[Cobranza]])</f>
        <v>1997.8992742176001</v>
      </c>
      <c r="E116">
        <v>0</v>
      </c>
      <c r="F116">
        <v>0.15</v>
      </c>
      <c r="G116">
        <v>0.05</v>
      </c>
      <c r="H116">
        <v>0.01</v>
      </c>
      <c r="I116">
        <v>0.01</v>
      </c>
      <c r="J116" s="8">
        <f>Table3[[#This Row],[PrimaTécnica]]*Table3[[#This Row],[Gastos Adm]]</f>
        <v>384.21139888800002</v>
      </c>
      <c r="K116" s="8">
        <f>Table3[[#This Row],[PrimaTécnica]]*Table3[[#This Row],[Utilidad]]</f>
        <v>128.07046629600003</v>
      </c>
      <c r="L116" s="8">
        <f>Table3[[#This Row],[PrimaTécnica]]*Table3[[#This Row],[Marketing]]</f>
        <v>25.614093259200004</v>
      </c>
      <c r="M116" s="8">
        <f>Table3[[#This Row],[PrimaTécnica]]*Table3[[#This Row],[Cobranza]]</f>
        <v>25.614093259200004</v>
      </c>
      <c r="N11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116">
        <v>21.84</v>
      </c>
      <c r="P116">
        <v>54.6</v>
      </c>
      <c r="Q116">
        <v>80.64</v>
      </c>
      <c r="R116">
        <v>44.377200000000002</v>
      </c>
      <c r="S116">
        <v>0.2</v>
      </c>
      <c r="T116">
        <v>0.02</v>
      </c>
      <c r="U116" s="8">
        <f>Table3[[#This Row],[PrimaNeta]]*Table3[[#This Row],[Comisión]]</f>
        <v>690.71663148000016</v>
      </c>
      <c r="V116" s="15">
        <f>Table3[[#This Row],[PrimaComercial Anual]]-Table3[[#This Row],[PrimaComercial Anual]]*SUM(Table3[[#This Row],[APS]:[IVA]])</f>
        <v>3453.5831574000003</v>
      </c>
      <c r="W116" s="2">
        <v>1.4800000000000001E-2</v>
      </c>
      <c r="X116" s="2">
        <v>8.4501000000000007E-2</v>
      </c>
      <c r="Y116">
        <v>0.03</v>
      </c>
      <c r="Z116">
        <v>0.13</v>
      </c>
      <c r="AA116" s="20">
        <f>Table3[[#This Row],[APS]]*Table3[[#This Row],[PrimaComercial Anual]]</f>
        <v>69.00648000000001</v>
      </c>
      <c r="AB116" s="8">
        <f>Table3[[#This Row],[PrimaComercial Anual]]*Table3[[#This Row],[Recargo adicional]]</f>
        <v>393.99436260000004</v>
      </c>
      <c r="AC116" s="8">
        <f>Table3[[#This Row],[PrimaComercial Anual]]*Table3[[#This Row],[IT]]</f>
        <v>139.87800000000001</v>
      </c>
      <c r="AD116" s="8">
        <f>Table3[[#This Row],[PrimaComercial Anual]]*Table3[[#This Row],[IVA]]</f>
        <v>606.13800000000003</v>
      </c>
      <c r="AE116" s="15">
        <f>Table3[[#This Row],[PrimaComercial Anual Asistencia]]</f>
        <v>4662.6000000000004</v>
      </c>
      <c r="AG116">
        <v>4662.6000000000004</v>
      </c>
    </row>
    <row r="117" spans="1:33" x14ac:dyDescent="0.25">
      <c r="A117" t="s">
        <v>18</v>
      </c>
      <c r="B117">
        <v>70000</v>
      </c>
      <c r="C117">
        <v>15</v>
      </c>
      <c r="D117" s="2">
        <f>Table3[[#This Row],[PrimaTécnica]]-Table3[[#This Row],[PrimaTécnica]]*SUM(Table3[[#This Row],[Gastos Adm]:[Cobranza]])</f>
        <v>1997.8992742176001</v>
      </c>
      <c r="E117">
        <v>0</v>
      </c>
      <c r="F117">
        <v>0.15</v>
      </c>
      <c r="G117">
        <v>0.05</v>
      </c>
      <c r="H117">
        <v>0.01</v>
      </c>
      <c r="I117">
        <v>0.01</v>
      </c>
      <c r="J117" s="8">
        <f>Table3[[#This Row],[PrimaTécnica]]*Table3[[#This Row],[Gastos Adm]]</f>
        <v>384.21139888800002</v>
      </c>
      <c r="K117" s="8">
        <f>Table3[[#This Row],[PrimaTécnica]]*Table3[[#This Row],[Utilidad]]</f>
        <v>128.07046629600003</v>
      </c>
      <c r="L117" s="8">
        <f>Table3[[#This Row],[PrimaTécnica]]*Table3[[#This Row],[Marketing]]</f>
        <v>25.614093259200004</v>
      </c>
      <c r="M117" s="8">
        <f>Table3[[#This Row],[PrimaTécnica]]*Table3[[#This Row],[Cobranza]]</f>
        <v>25.614093259200004</v>
      </c>
      <c r="N11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117">
        <v>21.84</v>
      </c>
      <c r="P117">
        <v>54.6</v>
      </c>
      <c r="Q117">
        <v>80.64</v>
      </c>
      <c r="R117">
        <v>44.377200000000002</v>
      </c>
      <c r="S117">
        <v>0.2</v>
      </c>
      <c r="T117">
        <v>0.02</v>
      </c>
      <c r="U117" s="8">
        <f>Table3[[#This Row],[PrimaNeta]]*Table3[[#This Row],[Comisión]]</f>
        <v>690.71663148000016</v>
      </c>
      <c r="V117" s="15">
        <f>Table3[[#This Row],[PrimaComercial Anual]]-Table3[[#This Row],[PrimaComercial Anual]]*SUM(Table3[[#This Row],[APS]:[IVA]])</f>
        <v>3453.5831574000003</v>
      </c>
      <c r="W117" s="2">
        <v>1.4800000000000001E-2</v>
      </c>
      <c r="X117" s="2">
        <v>8.4501000000000007E-2</v>
      </c>
      <c r="Y117">
        <v>0.03</v>
      </c>
      <c r="Z117">
        <v>0.13</v>
      </c>
      <c r="AA117" s="20">
        <f>Table3[[#This Row],[APS]]*Table3[[#This Row],[PrimaComercial Anual]]</f>
        <v>69.00648000000001</v>
      </c>
      <c r="AB117" s="8">
        <f>Table3[[#This Row],[PrimaComercial Anual]]*Table3[[#This Row],[Recargo adicional]]</f>
        <v>393.99436260000004</v>
      </c>
      <c r="AC117" s="8">
        <f>Table3[[#This Row],[PrimaComercial Anual]]*Table3[[#This Row],[IT]]</f>
        <v>139.87800000000001</v>
      </c>
      <c r="AD117" s="8">
        <f>Table3[[#This Row],[PrimaComercial Anual]]*Table3[[#This Row],[IVA]]</f>
        <v>606.13800000000003</v>
      </c>
      <c r="AE117" s="15">
        <f>Table3[[#This Row],[PrimaComercial Anual Asistencia]]</f>
        <v>4662.6000000000004</v>
      </c>
      <c r="AG117">
        <v>4662.6000000000004</v>
      </c>
    </row>
    <row r="118" spans="1:33" x14ac:dyDescent="0.25">
      <c r="A118" t="s">
        <v>18</v>
      </c>
      <c r="B118">
        <v>70000</v>
      </c>
      <c r="C118">
        <v>16</v>
      </c>
      <c r="D118" s="2">
        <f>Table3[[#This Row],[PrimaTécnica]]-Table3[[#This Row],[PrimaTécnica]]*SUM(Table3[[#This Row],[Gastos Adm]:[Cobranza]])</f>
        <v>1997.8992742176001</v>
      </c>
      <c r="E118">
        <v>0</v>
      </c>
      <c r="F118">
        <v>0.15</v>
      </c>
      <c r="G118">
        <v>0.05</v>
      </c>
      <c r="H118">
        <v>0.01</v>
      </c>
      <c r="I118">
        <v>0.01</v>
      </c>
      <c r="J118" s="8">
        <f>Table3[[#This Row],[PrimaTécnica]]*Table3[[#This Row],[Gastos Adm]]</f>
        <v>384.21139888800002</v>
      </c>
      <c r="K118" s="8">
        <f>Table3[[#This Row],[PrimaTécnica]]*Table3[[#This Row],[Utilidad]]</f>
        <v>128.07046629600003</v>
      </c>
      <c r="L118" s="8">
        <f>Table3[[#This Row],[PrimaTécnica]]*Table3[[#This Row],[Marketing]]</f>
        <v>25.614093259200004</v>
      </c>
      <c r="M118" s="8">
        <f>Table3[[#This Row],[PrimaTécnica]]*Table3[[#This Row],[Cobranza]]</f>
        <v>25.614093259200004</v>
      </c>
      <c r="N11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118">
        <v>21.84</v>
      </c>
      <c r="P118">
        <v>54.6</v>
      </c>
      <c r="Q118">
        <v>80.64</v>
      </c>
      <c r="R118">
        <v>44.377200000000002</v>
      </c>
      <c r="S118">
        <v>0.2</v>
      </c>
      <c r="T118">
        <v>0.02</v>
      </c>
      <c r="U118" s="8">
        <f>Table3[[#This Row],[PrimaNeta]]*Table3[[#This Row],[Comisión]]</f>
        <v>690.71663148000016</v>
      </c>
      <c r="V118" s="15">
        <f>Table3[[#This Row],[PrimaComercial Anual]]-Table3[[#This Row],[PrimaComercial Anual]]*SUM(Table3[[#This Row],[APS]:[IVA]])</f>
        <v>3453.5831574000003</v>
      </c>
      <c r="W118" s="2">
        <v>1.4800000000000001E-2</v>
      </c>
      <c r="X118" s="2">
        <v>8.4501000000000007E-2</v>
      </c>
      <c r="Y118">
        <v>0.03</v>
      </c>
      <c r="Z118">
        <v>0.13</v>
      </c>
      <c r="AA118" s="20">
        <f>Table3[[#This Row],[APS]]*Table3[[#This Row],[PrimaComercial Anual]]</f>
        <v>69.00648000000001</v>
      </c>
      <c r="AB118" s="8">
        <f>Table3[[#This Row],[PrimaComercial Anual]]*Table3[[#This Row],[Recargo adicional]]</f>
        <v>393.99436260000004</v>
      </c>
      <c r="AC118" s="8">
        <f>Table3[[#This Row],[PrimaComercial Anual]]*Table3[[#This Row],[IT]]</f>
        <v>139.87800000000001</v>
      </c>
      <c r="AD118" s="8">
        <f>Table3[[#This Row],[PrimaComercial Anual]]*Table3[[#This Row],[IVA]]</f>
        <v>606.13800000000003</v>
      </c>
      <c r="AE118" s="15">
        <f>Table3[[#This Row],[PrimaComercial Anual Asistencia]]</f>
        <v>4662.6000000000004</v>
      </c>
      <c r="AG118">
        <v>4662.6000000000004</v>
      </c>
    </row>
    <row r="119" spans="1:33" x14ac:dyDescent="0.25">
      <c r="A119" t="s">
        <v>18</v>
      </c>
      <c r="B119">
        <v>70000</v>
      </c>
      <c r="C119">
        <v>17</v>
      </c>
      <c r="D119" s="2">
        <f>Table3[[#This Row],[PrimaTécnica]]-Table3[[#This Row],[PrimaTécnica]]*SUM(Table3[[#This Row],[Gastos Adm]:[Cobranza]])</f>
        <v>1997.8992742176001</v>
      </c>
      <c r="E119">
        <v>0</v>
      </c>
      <c r="F119">
        <v>0.15</v>
      </c>
      <c r="G119">
        <v>0.05</v>
      </c>
      <c r="H119">
        <v>0.01</v>
      </c>
      <c r="I119">
        <v>0.01</v>
      </c>
      <c r="J119" s="8">
        <f>Table3[[#This Row],[PrimaTécnica]]*Table3[[#This Row],[Gastos Adm]]</f>
        <v>384.21139888800002</v>
      </c>
      <c r="K119" s="8">
        <f>Table3[[#This Row],[PrimaTécnica]]*Table3[[#This Row],[Utilidad]]</f>
        <v>128.07046629600003</v>
      </c>
      <c r="L119" s="8">
        <f>Table3[[#This Row],[PrimaTécnica]]*Table3[[#This Row],[Marketing]]</f>
        <v>25.614093259200004</v>
      </c>
      <c r="M119" s="8">
        <f>Table3[[#This Row],[PrimaTécnica]]*Table3[[#This Row],[Cobranza]]</f>
        <v>25.614093259200004</v>
      </c>
      <c r="N11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119">
        <v>21.84</v>
      </c>
      <c r="P119">
        <v>54.6</v>
      </c>
      <c r="Q119">
        <v>80.64</v>
      </c>
      <c r="R119">
        <v>44.377200000000002</v>
      </c>
      <c r="S119">
        <v>0.2</v>
      </c>
      <c r="T119">
        <v>0.02</v>
      </c>
      <c r="U119" s="8">
        <f>Table3[[#This Row],[PrimaNeta]]*Table3[[#This Row],[Comisión]]</f>
        <v>690.71663148000016</v>
      </c>
      <c r="V119" s="15">
        <f>Table3[[#This Row],[PrimaComercial Anual]]-Table3[[#This Row],[PrimaComercial Anual]]*SUM(Table3[[#This Row],[APS]:[IVA]])</f>
        <v>3453.5831574000003</v>
      </c>
      <c r="W119" s="2">
        <v>1.4800000000000001E-2</v>
      </c>
      <c r="X119" s="2">
        <v>8.4501000000000007E-2</v>
      </c>
      <c r="Y119">
        <v>0.03</v>
      </c>
      <c r="Z119">
        <v>0.13</v>
      </c>
      <c r="AA119" s="20">
        <f>Table3[[#This Row],[APS]]*Table3[[#This Row],[PrimaComercial Anual]]</f>
        <v>69.00648000000001</v>
      </c>
      <c r="AB119" s="8">
        <f>Table3[[#This Row],[PrimaComercial Anual]]*Table3[[#This Row],[Recargo adicional]]</f>
        <v>393.99436260000004</v>
      </c>
      <c r="AC119" s="8">
        <f>Table3[[#This Row],[PrimaComercial Anual]]*Table3[[#This Row],[IT]]</f>
        <v>139.87800000000001</v>
      </c>
      <c r="AD119" s="8">
        <f>Table3[[#This Row],[PrimaComercial Anual]]*Table3[[#This Row],[IVA]]</f>
        <v>606.13800000000003</v>
      </c>
      <c r="AE119" s="15">
        <f>Table3[[#This Row],[PrimaComercial Anual Asistencia]]</f>
        <v>4662.6000000000004</v>
      </c>
      <c r="AG119">
        <v>4662.6000000000004</v>
      </c>
    </row>
    <row r="120" spans="1:33" x14ac:dyDescent="0.25">
      <c r="A120" t="s">
        <v>18</v>
      </c>
      <c r="B120">
        <v>70000</v>
      </c>
      <c r="C120">
        <v>18</v>
      </c>
      <c r="D120" s="2">
        <f>Table3[[#This Row],[PrimaTécnica]]-Table3[[#This Row],[PrimaTécnica]]*SUM(Table3[[#This Row],[Gastos Adm]:[Cobranza]])</f>
        <v>1997.8992742176001</v>
      </c>
      <c r="E120">
        <v>0</v>
      </c>
      <c r="F120">
        <v>0.15</v>
      </c>
      <c r="G120">
        <v>0.05</v>
      </c>
      <c r="H120">
        <v>0.01</v>
      </c>
      <c r="I120">
        <v>0.01</v>
      </c>
      <c r="J120" s="8">
        <f>Table3[[#This Row],[PrimaTécnica]]*Table3[[#This Row],[Gastos Adm]]</f>
        <v>384.21139888800002</v>
      </c>
      <c r="K120" s="8">
        <f>Table3[[#This Row],[PrimaTécnica]]*Table3[[#This Row],[Utilidad]]</f>
        <v>128.07046629600003</v>
      </c>
      <c r="L120" s="8">
        <f>Table3[[#This Row],[PrimaTécnica]]*Table3[[#This Row],[Marketing]]</f>
        <v>25.614093259200004</v>
      </c>
      <c r="M120" s="8">
        <f>Table3[[#This Row],[PrimaTécnica]]*Table3[[#This Row],[Cobranza]]</f>
        <v>25.614093259200004</v>
      </c>
      <c r="N12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120">
        <v>21.84</v>
      </c>
      <c r="P120">
        <v>54.6</v>
      </c>
      <c r="Q120">
        <v>80.64</v>
      </c>
      <c r="R120">
        <v>44.377200000000002</v>
      </c>
      <c r="S120">
        <v>0.2</v>
      </c>
      <c r="T120">
        <v>0.02</v>
      </c>
      <c r="U120" s="8">
        <f>Table3[[#This Row],[PrimaNeta]]*Table3[[#This Row],[Comisión]]</f>
        <v>690.71663148000016</v>
      </c>
      <c r="V120" s="15">
        <f>Table3[[#This Row],[PrimaComercial Anual]]-Table3[[#This Row],[PrimaComercial Anual]]*SUM(Table3[[#This Row],[APS]:[IVA]])</f>
        <v>3453.5831574000003</v>
      </c>
      <c r="W120" s="2">
        <v>1.4800000000000001E-2</v>
      </c>
      <c r="X120" s="2">
        <v>8.4501000000000007E-2</v>
      </c>
      <c r="Y120">
        <v>0.03</v>
      </c>
      <c r="Z120">
        <v>0.13</v>
      </c>
      <c r="AA120" s="20">
        <f>Table3[[#This Row],[APS]]*Table3[[#This Row],[PrimaComercial Anual]]</f>
        <v>69.00648000000001</v>
      </c>
      <c r="AB120" s="8">
        <f>Table3[[#This Row],[PrimaComercial Anual]]*Table3[[#This Row],[Recargo adicional]]</f>
        <v>393.99436260000004</v>
      </c>
      <c r="AC120" s="8">
        <f>Table3[[#This Row],[PrimaComercial Anual]]*Table3[[#This Row],[IT]]</f>
        <v>139.87800000000001</v>
      </c>
      <c r="AD120" s="8">
        <f>Table3[[#This Row],[PrimaComercial Anual]]*Table3[[#This Row],[IVA]]</f>
        <v>606.13800000000003</v>
      </c>
      <c r="AE120" s="15">
        <f>Table3[[#This Row],[PrimaComercial Anual Asistencia]]</f>
        <v>4662.6000000000004</v>
      </c>
      <c r="AG120">
        <v>4662.6000000000004</v>
      </c>
    </row>
    <row r="121" spans="1:33" x14ac:dyDescent="0.25">
      <c r="A121" t="s">
        <v>18</v>
      </c>
      <c r="B121">
        <v>70000</v>
      </c>
      <c r="C121">
        <v>19</v>
      </c>
      <c r="D121" s="2">
        <f>Table3[[#This Row],[PrimaTécnica]]-Table3[[#This Row],[PrimaTécnica]]*SUM(Table3[[#This Row],[Gastos Adm]:[Cobranza]])</f>
        <v>2145.4322935968003</v>
      </c>
      <c r="E121">
        <v>0</v>
      </c>
      <c r="F121">
        <v>0.15</v>
      </c>
      <c r="G121">
        <v>0.05</v>
      </c>
      <c r="H121">
        <v>0.01</v>
      </c>
      <c r="I121">
        <v>0.01</v>
      </c>
      <c r="J121" s="8">
        <f>Table3[[#This Row],[PrimaTécnica]]*Table3[[#This Row],[Gastos Adm]]</f>
        <v>412.58313338400001</v>
      </c>
      <c r="K121" s="8">
        <f>Table3[[#This Row],[PrimaTécnica]]*Table3[[#This Row],[Utilidad]]</f>
        <v>137.52771112800002</v>
      </c>
      <c r="L121" s="8">
        <f>Table3[[#This Row],[PrimaTécnica]]*Table3[[#This Row],[Marketing]]</f>
        <v>27.505542225600003</v>
      </c>
      <c r="M121" s="8">
        <f>Table3[[#This Row],[PrimaTécnica]]*Table3[[#This Row],[Cobranza]]</f>
        <v>27.505542225600003</v>
      </c>
      <c r="N12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121">
        <v>21.84</v>
      </c>
      <c r="P121">
        <v>54.6</v>
      </c>
      <c r="Q121">
        <v>80.64</v>
      </c>
      <c r="R121">
        <v>44.377200000000002</v>
      </c>
      <c r="S121">
        <v>0.2</v>
      </c>
      <c r="T121">
        <v>0.02</v>
      </c>
      <c r="U121" s="8">
        <f>Table3[[#This Row],[PrimaNeta]]*Table3[[#This Row],[Comisión]]</f>
        <v>738.00285564000012</v>
      </c>
      <c r="V121" s="15">
        <f>Table3[[#This Row],[PrimaComercial Anual]]-Table3[[#This Row],[PrimaComercial Anual]]*SUM(Table3[[#This Row],[APS]:[IVA]])</f>
        <v>3690.0142782000003</v>
      </c>
      <c r="W121" s="2">
        <v>1.4800000000000001E-2</v>
      </c>
      <c r="X121" s="2">
        <v>8.4501000000000007E-2</v>
      </c>
      <c r="Y121">
        <v>0.03</v>
      </c>
      <c r="Z121">
        <v>0.13</v>
      </c>
      <c r="AA121" s="20">
        <f>Table3[[#This Row],[APS]]*Table3[[#This Row],[PrimaComercial Anual]]</f>
        <v>73.730640000000008</v>
      </c>
      <c r="AB121" s="8">
        <f>Table3[[#This Row],[PrimaComercial Anual]]*Table3[[#This Row],[Recargo adicional]]</f>
        <v>420.96708180000007</v>
      </c>
      <c r="AC121" s="8">
        <f>Table3[[#This Row],[PrimaComercial Anual]]*Table3[[#This Row],[IT]]</f>
        <v>149.45400000000001</v>
      </c>
      <c r="AD121" s="8">
        <f>Table3[[#This Row],[PrimaComercial Anual]]*Table3[[#This Row],[IVA]]</f>
        <v>647.63400000000001</v>
      </c>
      <c r="AE121" s="15">
        <f>Table3[[#This Row],[PrimaComercial Anual Asistencia]]</f>
        <v>4981.8</v>
      </c>
      <c r="AG121">
        <v>4981.8</v>
      </c>
    </row>
    <row r="122" spans="1:33" x14ac:dyDescent="0.25">
      <c r="A122" t="s">
        <v>18</v>
      </c>
      <c r="B122">
        <v>70000</v>
      </c>
      <c r="C122">
        <v>20</v>
      </c>
      <c r="D122" s="2">
        <f>Table3[[#This Row],[PrimaTécnica]]-Table3[[#This Row],[PrimaTécnica]]*SUM(Table3[[#This Row],[Gastos Adm]:[Cobranza]])</f>
        <v>2145.4322935968003</v>
      </c>
      <c r="E122">
        <v>0</v>
      </c>
      <c r="F122">
        <v>0.15</v>
      </c>
      <c r="G122">
        <v>0.05</v>
      </c>
      <c r="H122">
        <v>0.01</v>
      </c>
      <c r="I122">
        <v>0.01</v>
      </c>
      <c r="J122" s="8">
        <f>Table3[[#This Row],[PrimaTécnica]]*Table3[[#This Row],[Gastos Adm]]</f>
        <v>412.58313338400001</v>
      </c>
      <c r="K122" s="8">
        <f>Table3[[#This Row],[PrimaTécnica]]*Table3[[#This Row],[Utilidad]]</f>
        <v>137.52771112800002</v>
      </c>
      <c r="L122" s="8">
        <f>Table3[[#This Row],[PrimaTécnica]]*Table3[[#This Row],[Marketing]]</f>
        <v>27.505542225600003</v>
      </c>
      <c r="M122" s="8">
        <f>Table3[[#This Row],[PrimaTécnica]]*Table3[[#This Row],[Cobranza]]</f>
        <v>27.505542225600003</v>
      </c>
      <c r="N12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122">
        <v>21.84</v>
      </c>
      <c r="P122">
        <v>54.6</v>
      </c>
      <c r="Q122">
        <v>80.64</v>
      </c>
      <c r="R122">
        <v>44.377200000000002</v>
      </c>
      <c r="S122">
        <v>0.2</v>
      </c>
      <c r="T122">
        <v>0.02</v>
      </c>
      <c r="U122" s="8">
        <f>Table3[[#This Row],[PrimaNeta]]*Table3[[#This Row],[Comisión]]</f>
        <v>738.00285564000012</v>
      </c>
      <c r="V122" s="15">
        <f>Table3[[#This Row],[PrimaComercial Anual]]-Table3[[#This Row],[PrimaComercial Anual]]*SUM(Table3[[#This Row],[APS]:[IVA]])</f>
        <v>3690.0142782000003</v>
      </c>
      <c r="W122" s="2">
        <v>1.4800000000000001E-2</v>
      </c>
      <c r="X122" s="2">
        <v>8.4501000000000007E-2</v>
      </c>
      <c r="Y122">
        <v>0.03</v>
      </c>
      <c r="Z122">
        <v>0.13</v>
      </c>
      <c r="AA122" s="20">
        <f>Table3[[#This Row],[APS]]*Table3[[#This Row],[PrimaComercial Anual]]</f>
        <v>73.730640000000008</v>
      </c>
      <c r="AB122" s="8">
        <f>Table3[[#This Row],[PrimaComercial Anual]]*Table3[[#This Row],[Recargo adicional]]</f>
        <v>420.96708180000007</v>
      </c>
      <c r="AC122" s="8">
        <f>Table3[[#This Row],[PrimaComercial Anual]]*Table3[[#This Row],[IT]]</f>
        <v>149.45400000000001</v>
      </c>
      <c r="AD122" s="8">
        <f>Table3[[#This Row],[PrimaComercial Anual]]*Table3[[#This Row],[IVA]]</f>
        <v>647.63400000000001</v>
      </c>
      <c r="AE122" s="15">
        <f>Table3[[#This Row],[PrimaComercial Anual Asistencia]]</f>
        <v>4981.8</v>
      </c>
      <c r="AG122">
        <v>4981.8</v>
      </c>
    </row>
    <row r="123" spans="1:33" x14ac:dyDescent="0.25">
      <c r="A123" t="s">
        <v>18</v>
      </c>
      <c r="B123">
        <v>70000</v>
      </c>
      <c r="C123">
        <v>21</v>
      </c>
      <c r="D123" s="2">
        <f>Table3[[#This Row],[PrimaTécnica]]-Table3[[#This Row],[PrimaTécnica]]*SUM(Table3[[#This Row],[Gastos Adm]:[Cobranza]])</f>
        <v>2145.4322935968003</v>
      </c>
      <c r="E123">
        <v>0</v>
      </c>
      <c r="F123">
        <v>0.15</v>
      </c>
      <c r="G123">
        <v>0.05</v>
      </c>
      <c r="H123">
        <v>0.01</v>
      </c>
      <c r="I123">
        <v>0.01</v>
      </c>
      <c r="J123" s="8">
        <f>Table3[[#This Row],[PrimaTécnica]]*Table3[[#This Row],[Gastos Adm]]</f>
        <v>412.58313338400001</v>
      </c>
      <c r="K123" s="8">
        <f>Table3[[#This Row],[PrimaTécnica]]*Table3[[#This Row],[Utilidad]]</f>
        <v>137.52771112800002</v>
      </c>
      <c r="L123" s="8">
        <f>Table3[[#This Row],[PrimaTécnica]]*Table3[[#This Row],[Marketing]]</f>
        <v>27.505542225600003</v>
      </c>
      <c r="M123" s="8">
        <f>Table3[[#This Row],[PrimaTécnica]]*Table3[[#This Row],[Cobranza]]</f>
        <v>27.505542225600003</v>
      </c>
      <c r="N12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123">
        <v>21.84</v>
      </c>
      <c r="P123">
        <v>54.6</v>
      </c>
      <c r="Q123">
        <v>80.64</v>
      </c>
      <c r="R123">
        <v>44.377200000000002</v>
      </c>
      <c r="S123">
        <v>0.2</v>
      </c>
      <c r="T123">
        <v>0.02</v>
      </c>
      <c r="U123" s="8">
        <f>Table3[[#This Row],[PrimaNeta]]*Table3[[#This Row],[Comisión]]</f>
        <v>738.00285564000012</v>
      </c>
      <c r="V123" s="15">
        <f>Table3[[#This Row],[PrimaComercial Anual]]-Table3[[#This Row],[PrimaComercial Anual]]*SUM(Table3[[#This Row],[APS]:[IVA]])</f>
        <v>3690.0142782000003</v>
      </c>
      <c r="W123" s="2">
        <v>1.4800000000000001E-2</v>
      </c>
      <c r="X123" s="2">
        <v>8.4501000000000007E-2</v>
      </c>
      <c r="Y123">
        <v>0.03</v>
      </c>
      <c r="Z123">
        <v>0.13</v>
      </c>
      <c r="AA123" s="20">
        <f>Table3[[#This Row],[APS]]*Table3[[#This Row],[PrimaComercial Anual]]</f>
        <v>73.730640000000008</v>
      </c>
      <c r="AB123" s="8">
        <f>Table3[[#This Row],[PrimaComercial Anual]]*Table3[[#This Row],[Recargo adicional]]</f>
        <v>420.96708180000007</v>
      </c>
      <c r="AC123" s="8">
        <f>Table3[[#This Row],[PrimaComercial Anual]]*Table3[[#This Row],[IT]]</f>
        <v>149.45400000000001</v>
      </c>
      <c r="AD123" s="8">
        <f>Table3[[#This Row],[PrimaComercial Anual]]*Table3[[#This Row],[IVA]]</f>
        <v>647.63400000000001</v>
      </c>
      <c r="AE123" s="15">
        <f>Table3[[#This Row],[PrimaComercial Anual Asistencia]]</f>
        <v>4981.8</v>
      </c>
      <c r="AG123">
        <v>4981.8</v>
      </c>
    </row>
    <row r="124" spans="1:33" x14ac:dyDescent="0.25">
      <c r="A124" t="s">
        <v>18</v>
      </c>
      <c r="B124">
        <v>70000</v>
      </c>
      <c r="C124">
        <v>22</v>
      </c>
      <c r="D124" s="2">
        <f>Table3[[#This Row],[PrimaTécnica]]-Table3[[#This Row],[PrimaTécnica]]*SUM(Table3[[#This Row],[Gastos Adm]:[Cobranza]])</f>
        <v>2145.4322935968003</v>
      </c>
      <c r="E124">
        <v>0</v>
      </c>
      <c r="F124">
        <v>0.15</v>
      </c>
      <c r="G124">
        <v>0.05</v>
      </c>
      <c r="H124">
        <v>0.01</v>
      </c>
      <c r="I124">
        <v>0.01</v>
      </c>
      <c r="J124" s="8">
        <f>Table3[[#This Row],[PrimaTécnica]]*Table3[[#This Row],[Gastos Adm]]</f>
        <v>412.58313338400001</v>
      </c>
      <c r="K124" s="8">
        <f>Table3[[#This Row],[PrimaTécnica]]*Table3[[#This Row],[Utilidad]]</f>
        <v>137.52771112800002</v>
      </c>
      <c r="L124" s="8">
        <f>Table3[[#This Row],[PrimaTécnica]]*Table3[[#This Row],[Marketing]]</f>
        <v>27.505542225600003</v>
      </c>
      <c r="M124" s="8">
        <f>Table3[[#This Row],[PrimaTécnica]]*Table3[[#This Row],[Cobranza]]</f>
        <v>27.505542225600003</v>
      </c>
      <c r="N12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124">
        <v>21.84</v>
      </c>
      <c r="P124">
        <v>54.6</v>
      </c>
      <c r="Q124">
        <v>80.64</v>
      </c>
      <c r="R124">
        <v>44.377200000000002</v>
      </c>
      <c r="S124">
        <v>0.2</v>
      </c>
      <c r="T124">
        <v>0.02</v>
      </c>
      <c r="U124" s="8">
        <f>Table3[[#This Row],[PrimaNeta]]*Table3[[#This Row],[Comisión]]</f>
        <v>738.00285564000012</v>
      </c>
      <c r="V124" s="15">
        <f>Table3[[#This Row],[PrimaComercial Anual]]-Table3[[#This Row],[PrimaComercial Anual]]*SUM(Table3[[#This Row],[APS]:[IVA]])</f>
        <v>3690.0142782000003</v>
      </c>
      <c r="W124" s="2">
        <v>1.4800000000000001E-2</v>
      </c>
      <c r="X124" s="2">
        <v>8.4501000000000007E-2</v>
      </c>
      <c r="Y124">
        <v>0.03</v>
      </c>
      <c r="Z124">
        <v>0.13</v>
      </c>
      <c r="AA124" s="20">
        <f>Table3[[#This Row],[APS]]*Table3[[#This Row],[PrimaComercial Anual]]</f>
        <v>73.730640000000008</v>
      </c>
      <c r="AB124" s="8">
        <f>Table3[[#This Row],[PrimaComercial Anual]]*Table3[[#This Row],[Recargo adicional]]</f>
        <v>420.96708180000007</v>
      </c>
      <c r="AC124" s="8">
        <f>Table3[[#This Row],[PrimaComercial Anual]]*Table3[[#This Row],[IT]]</f>
        <v>149.45400000000001</v>
      </c>
      <c r="AD124" s="8">
        <f>Table3[[#This Row],[PrimaComercial Anual]]*Table3[[#This Row],[IVA]]</f>
        <v>647.63400000000001</v>
      </c>
      <c r="AE124" s="15">
        <f>Table3[[#This Row],[PrimaComercial Anual Asistencia]]</f>
        <v>4981.8</v>
      </c>
      <c r="AG124">
        <v>4981.8</v>
      </c>
    </row>
    <row r="125" spans="1:33" x14ac:dyDescent="0.25">
      <c r="A125" t="s">
        <v>18</v>
      </c>
      <c r="B125">
        <v>70000</v>
      </c>
      <c r="C125">
        <v>23</v>
      </c>
      <c r="D125" s="2">
        <f>Table3[[#This Row],[PrimaTécnica]]-Table3[[#This Row],[PrimaTécnica]]*SUM(Table3[[#This Row],[Gastos Adm]:[Cobranza]])</f>
        <v>2145.4322935968003</v>
      </c>
      <c r="E125">
        <v>0</v>
      </c>
      <c r="F125">
        <v>0.15</v>
      </c>
      <c r="G125">
        <v>0.05</v>
      </c>
      <c r="H125">
        <v>0.01</v>
      </c>
      <c r="I125">
        <v>0.01</v>
      </c>
      <c r="J125" s="8">
        <f>Table3[[#This Row],[PrimaTécnica]]*Table3[[#This Row],[Gastos Adm]]</f>
        <v>412.58313338400001</v>
      </c>
      <c r="K125" s="8">
        <f>Table3[[#This Row],[PrimaTécnica]]*Table3[[#This Row],[Utilidad]]</f>
        <v>137.52771112800002</v>
      </c>
      <c r="L125" s="8">
        <f>Table3[[#This Row],[PrimaTécnica]]*Table3[[#This Row],[Marketing]]</f>
        <v>27.505542225600003</v>
      </c>
      <c r="M125" s="8">
        <f>Table3[[#This Row],[PrimaTécnica]]*Table3[[#This Row],[Cobranza]]</f>
        <v>27.505542225600003</v>
      </c>
      <c r="N12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125">
        <v>21.84</v>
      </c>
      <c r="P125">
        <v>54.6</v>
      </c>
      <c r="Q125">
        <v>80.64</v>
      </c>
      <c r="R125">
        <v>44.377200000000002</v>
      </c>
      <c r="S125">
        <v>0.2</v>
      </c>
      <c r="T125">
        <v>0.02</v>
      </c>
      <c r="U125" s="8">
        <f>Table3[[#This Row],[PrimaNeta]]*Table3[[#This Row],[Comisión]]</f>
        <v>738.00285564000012</v>
      </c>
      <c r="V125" s="15">
        <f>Table3[[#This Row],[PrimaComercial Anual]]-Table3[[#This Row],[PrimaComercial Anual]]*SUM(Table3[[#This Row],[APS]:[IVA]])</f>
        <v>3690.0142782000003</v>
      </c>
      <c r="W125" s="2">
        <v>1.4800000000000001E-2</v>
      </c>
      <c r="X125" s="2">
        <v>8.4501000000000007E-2</v>
      </c>
      <c r="Y125">
        <v>0.03</v>
      </c>
      <c r="Z125">
        <v>0.13</v>
      </c>
      <c r="AA125" s="20">
        <f>Table3[[#This Row],[APS]]*Table3[[#This Row],[PrimaComercial Anual]]</f>
        <v>73.730640000000008</v>
      </c>
      <c r="AB125" s="8">
        <f>Table3[[#This Row],[PrimaComercial Anual]]*Table3[[#This Row],[Recargo adicional]]</f>
        <v>420.96708180000007</v>
      </c>
      <c r="AC125" s="8">
        <f>Table3[[#This Row],[PrimaComercial Anual]]*Table3[[#This Row],[IT]]</f>
        <v>149.45400000000001</v>
      </c>
      <c r="AD125" s="8">
        <f>Table3[[#This Row],[PrimaComercial Anual]]*Table3[[#This Row],[IVA]]</f>
        <v>647.63400000000001</v>
      </c>
      <c r="AE125" s="15">
        <f>Table3[[#This Row],[PrimaComercial Anual Asistencia]]</f>
        <v>4981.8</v>
      </c>
      <c r="AG125">
        <v>4981.8</v>
      </c>
    </row>
    <row r="126" spans="1:33" x14ac:dyDescent="0.25">
      <c r="A126" t="s">
        <v>18</v>
      </c>
      <c r="B126">
        <v>70000</v>
      </c>
      <c r="C126">
        <v>24</v>
      </c>
      <c r="D126" s="2">
        <f>Table3[[#This Row],[PrimaTécnica]]-Table3[[#This Row],[PrimaTécnica]]*SUM(Table3[[#This Row],[Gastos Adm]:[Cobranza]])</f>
        <v>2145.4322935968003</v>
      </c>
      <c r="E126">
        <v>0</v>
      </c>
      <c r="F126">
        <v>0.15</v>
      </c>
      <c r="G126">
        <v>0.05</v>
      </c>
      <c r="H126">
        <v>0.01</v>
      </c>
      <c r="I126">
        <v>0.01</v>
      </c>
      <c r="J126" s="8">
        <f>Table3[[#This Row],[PrimaTécnica]]*Table3[[#This Row],[Gastos Adm]]</f>
        <v>412.58313338400001</v>
      </c>
      <c r="K126" s="8">
        <f>Table3[[#This Row],[PrimaTécnica]]*Table3[[#This Row],[Utilidad]]</f>
        <v>137.52771112800002</v>
      </c>
      <c r="L126" s="8">
        <f>Table3[[#This Row],[PrimaTécnica]]*Table3[[#This Row],[Marketing]]</f>
        <v>27.505542225600003</v>
      </c>
      <c r="M126" s="8">
        <f>Table3[[#This Row],[PrimaTécnica]]*Table3[[#This Row],[Cobranza]]</f>
        <v>27.505542225600003</v>
      </c>
      <c r="N12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126">
        <v>21.84</v>
      </c>
      <c r="P126">
        <v>54.6</v>
      </c>
      <c r="Q126">
        <v>80.64</v>
      </c>
      <c r="R126">
        <v>44.377200000000002</v>
      </c>
      <c r="S126">
        <v>0.2</v>
      </c>
      <c r="T126">
        <v>0.02</v>
      </c>
      <c r="U126" s="8">
        <f>Table3[[#This Row],[PrimaNeta]]*Table3[[#This Row],[Comisión]]</f>
        <v>738.00285564000012</v>
      </c>
      <c r="V126" s="15">
        <f>Table3[[#This Row],[PrimaComercial Anual]]-Table3[[#This Row],[PrimaComercial Anual]]*SUM(Table3[[#This Row],[APS]:[IVA]])</f>
        <v>3690.0142782000003</v>
      </c>
      <c r="W126" s="2">
        <v>1.4800000000000001E-2</v>
      </c>
      <c r="X126" s="2">
        <v>8.4501000000000007E-2</v>
      </c>
      <c r="Y126">
        <v>0.03</v>
      </c>
      <c r="Z126">
        <v>0.13</v>
      </c>
      <c r="AA126" s="20">
        <f>Table3[[#This Row],[APS]]*Table3[[#This Row],[PrimaComercial Anual]]</f>
        <v>73.730640000000008</v>
      </c>
      <c r="AB126" s="8">
        <f>Table3[[#This Row],[PrimaComercial Anual]]*Table3[[#This Row],[Recargo adicional]]</f>
        <v>420.96708180000007</v>
      </c>
      <c r="AC126" s="8">
        <f>Table3[[#This Row],[PrimaComercial Anual]]*Table3[[#This Row],[IT]]</f>
        <v>149.45400000000001</v>
      </c>
      <c r="AD126" s="8">
        <f>Table3[[#This Row],[PrimaComercial Anual]]*Table3[[#This Row],[IVA]]</f>
        <v>647.63400000000001</v>
      </c>
      <c r="AE126" s="15">
        <f>Table3[[#This Row],[PrimaComercial Anual Asistencia]]</f>
        <v>4981.8</v>
      </c>
      <c r="AG126">
        <v>4981.8</v>
      </c>
    </row>
    <row r="127" spans="1:33" x14ac:dyDescent="0.25">
      <c r="A127" t="s">
        <v>18</v>
      </c>
      <c r="B127">
        <v>70000</v>
      </c>
      <c r="C127">
        <v>25</v>
      </c>
      <c r="D127" s="2">
        <f>Table3[[#This Row],[PrimaTécnica]]-Table3[[#This Row],[PrimaTécnica]]*SUM(Table3[[#This Row],[Gastos Adm]:[Cobranza]])</f>
        <v>2145.4322935968003</v>
      </c>
      <c r="E127">
        <v>0</v>
      </c>
      <c r="F127">
        <v>0.15</v>
      </c>
      <c r="G127">
        <v>0.05</v>
      </c>
      <c r="H127">
        <v>0.01</v>
      </c>
      <c r="I127">
        <v>0.01</v>
      </c>
      <c r="J127" s="8">
        <f>Table3[[#This Row],[PrimaTécnica]]*Table3[[#This Row],[Gastos Adm]]</f>
        <v>412.58313338400001</v>
      </c>
      <c r="K127" s="8">
        <f>Table3[[#This Row],[PrimaTécnica]]*Table3[[#This Row],[Utilidad]]</f>
        <v>137.52771112800002</v>
      </c>
      <c r="L127" s="8">
        <f>Table3[[#This Row],[PrimaTécnica]]*Table3[[#This Row],[Marketing]]</f>
        <v>27.505542225600003</v>
      </c>
      <c r="M127" s="8">
        <f>Table3[[#This Row],[PrimaTécnica]]*Table3[[#This Row],[Cobranza]]</f>
        <v>27.505542225600003</v>
      </c>
      <c r="N12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127">
        <v>21.84</v>
      </c>
      <c r="P127">
        <v>54.6</v>
      </c>
      <c r="Q127">
        <v>80.64</v>
      </c>
      <c r="R127">
        <v>44.377200000000002</v>
      </c>
      <c r="S127">
        <v>0.2</v>
      </c>
      <c r="T127">
        <v>0.02</v>
      </c>
      <c r="U127" s="8">
        <f>Table3[[#This Row],[PrimaNeta]]*Table3[[#This Row],[Comisión]]</f>
        <v>738.00285564000012</v>
      </c>
      <c r="V127" s="15">
        <f>Table3[[#This Row],[PrimaComercial Anual]]-Table3[[#This Row],[PrimaComercial Anual]]*SUM(Table3[[#This Row],[APS]:[IVA]])</f>
        <v>3690.0142782000003</v>
      </c>
      <c r="W127" s="2">
        <v>1.4800000000000001E-2</v>
      </c>
      <c r="X127" s="2">
        <v>8.4501000000000007E-2</v>
      </c>
      <c r="Y127">
        <v>0.03</v>
      </c>
      <c r="Z127">
        <v>0.13</v>
      </c>
      <c r="AA127" s="20">
        <f>Table3[[#This Row],[APS]]*Table3[[#This Row],[PrimaComercial Anual]]</f>
        <v>73.730640000000008</v>
      </c>
      <c r="AB127" s="8">
        <f>Table3[[#This Row],[PrimaComercial Anual]]*Table3[[#This Row],[Recargo adicional]]</f>
        <v>420.96708180000007</v>
      </c>
      <c r="AC127" s="8">
        <f>Table3[[#This Row],[PrimaComercial Anual]]*Table3[[#This Row],[IT]]</f>
        <v>149.45400000000001</v>
      </c>
      <c r="AD127" s="8">
        <f>Table3[[#This Row],[PrimaComercial Anual]]*Table3[[#This Row],[IVA]]</f>
        <v>647.63400000000001</v>
      </c>
      <c r="AE127" s="15">
        <f>Table3[[#This Row],[PrimaComercial Anual Asistencia]]</f>
        <v>4981.8</v>
      </c>
      <c r="AG127">
        <v>4981.8</v>
      </c>
    </row>
    <row r="128" spans="1:33" x14ac:dyDescent="0.25">
      <c r="A128" t="s">
        <v>18</v>
      </c>
      <c r="B128">
        <v>70000</v>
      </c>
      <c r="C128">
        <v>26</v>
      </c>
      <c r="D128" s="2">
        <f>Table3[[#This Row],[PrimaTécnica]]-Table3[[#This Row],[PrimaTécnica]]*SUM(Table3[[#This Row],[Gastos Adm]:[Cobranza]])</f>
        <v>2145.4322935968003</v>
      </c>
      <c r="E128">
        <v>0</v>
      </c>
      <c r="F128">
        <v>0.15</v>
      </c>
      <c r="G128">
        <v>0.05</v>
      </c>
      <c r="H128">
        <v>0.01</v>
      </c>
      <c r="I128">
        <v>0.01</v>
      </c>
      <c r="J128" s="8">
        <f>Table3[[#This Row],[PrimaTécnica]]*Table3[[#This Row],[Gastos Adm]]</f>
        <v>412.58313338400001</v>
      </c>
      <c r="K128" s="8">
        <f>Table3[[#This Row],[PrimaTécnica]]*Table3[[#This Row],[Utilidad]]</f>
        <v>137.52771112800002</v>
      </c>
      <c r="L128" s="8">
        <f>Table3[[#This Row],[PrimaTécnica]]*Table3[[#This Row],[Marketing]]</f>
        <v>27.505542225600003</v>
      </c>
      <c r="M128" s="8">
        <f>Table3[[#This Row],[PrimaTécnica]]*Table3[[#This Row],[Cobranza]]</f>
        <v>27.505542225600003</v>
      </c>
      <c r="N12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128">
        <v>21.84</v>
      </c>
      <c r="P128">
        <v>54.6</v>
      </c>
      <c r="Q128">
        <v>80.64</v>
      </c>
      <c r="R128">
        <v>44.377200000000002</v>
      </c>
      <c r="S128">
        <v>0.2</v>
      </c>
      <c r="T128">
        <v>0.02</v>
      </c>
      <c r="U128" s="8">
        <f>Table3[[#This Row],[PrimaNeta]]*Table3[[#This Row],[Comisión]]</f>
        <v>738.00285564000012</v>
      </c>
      <c r="V128" s="15">
        <f>Table3[[#This Row],[PrimaComercial Anual]]-Table3[[#This Row],[PrimaComercial Anual]]*SUM(Table3[[#This Row],[APS]:[IVA]])</f>
        <v>3690.0142782000003</v>
      </c>
      <c r="W128" s="2">
        <v>1.4800000000000001E-2</v>
      </c>
      <c r="X128" s="2">
        <v>8.4501000000000007E-2</v>
      </c>
      <c r="Y128">
        <v>0.03</v>
      </c>
      <c r="Z128">
        <v>0.13</v>
      </c>
      <c r="AA128" s="20">
        <f>Table3[[#This Row],[APS]]*Table3[[#This Row],[PrimaComercial Anual]]</f>
        <v>73.730640000000008</v>
      </c>
      <c r="AB128" s="8">
        <f>Table3[[#This Row],[PrimaComercial Anual]]*Table3[[#This Row],[Recargo adicional]]</f>
        <v>420.96708180000007</v>
      </c>
      <c r="AC128" s="8">
        <f>Table3[[#This Row],[PrimaComercial Anual]]*Table3[[#This Row],[IT]]</f>
        <v>149.45400000000001</v>
      </c>
      <c r="AD128" s="8">
        <f>Table3[[#This Row],[PrimaComercial Anual]]*Table3[[#This Row],[IVA]]</f>
        <v>647.63400000000001</v>
      </c>
      <c r="AE128" s="15">
        <f>Table3[[#This Row],[PrimaComercial Anual Asistencia]]</f>
        <v>4981.8</v>
      </c>
      <c r="AG128">
        <v>4981.8</v>
      </c>
    </row>
    <row r="129" spans="1:33" x14ac:dyDescent="0.25">
      <c r="A129" t="s">
        <v>18</v>
      </c>
      <c r="B129">
        <v>70000</v>
      </c>
      <c r="C129">
        <v>27</v>
      </c>
      <c r="D129" s="2">
        <f>Table3[[#This Row],[PrimaTécnica]]-Table3[[#This Row],[PrimaTécnica]]*SUM(Table3[[#This Row],[Gastos Adm]:[Cobranza]])</f>
        <v>2145.4322935968003</v>
      </c>
      <c r="E129">
        <v>0</v>
      </c>
      <c r="F129">
        <v>0.15</v>
      </c>
      <c r="G129">
        <v>0.05</v>
      </c>
      <c r="H129">
        <v>0.01</v>
      </c>
      <c r="I129">
        <v>0.01</v>
      </c>
      <c r="J129" s="8">
        <f>Table3[[#This Row],[PrimaTécnica]]*Table3[[#This Row],[Gastos Adm]]</f>
        <v>412.58313338400001</v>
      </c>
      <c r="K129" s="8">
        <f>Table3[[#This Row],[PrimaTécnica]]*Table3[[#This Row],[Utilidad]]</f>
        <v>137.52771112800002</v>
      </c>
      <c r="L129" s="8">
        <f>Table3[[#This Row],[PrimaTécnica]]*Table3[[#This Row],[Marketing]]</f>
        <v>27.505542225600003</v>
      </c>
      <c r="M129" s="8">
        <f>Table3[[#This Row],[PrimaTécnica]]*Table3[[#This Row],[Cobranza]]</f>
        <v>27.505542225600003</v>
      </c>
      <c r="N12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129">
        <v>21.84</v>
      </c>
      <c r="P129">
        <v>54.6</v>
      </c>
      <c r="Q129">
        <v>80.64</v>
      </c>
      <c r="R129">
        <v>44.377200000000002</v>
      </c>
      <c r="S129">
        <v>0.2</v>
      </c>
      <c r="T129">
        <v>0.02</v>
      </c>
      <c r="U129" s="8">
        <f>Table3[[#This Row],[PrimaNeta]]*Table3[[#This Row],[Comisión]]</f>
        <v>738.00285564000012</v>
      </c>
      <c r="V129" s="15">
        <f>Table3[[#This Row],[PrimaComercial Anual]]-Table3[[#This Row],[PrimaComercial Anual]]*SUM(Table3[[#This Row],[APS]:[IVA]])</f>
        <v>3690.0142782000003</v>
      </c>
      <c r="W129" s="2">
        <v>1.4800000000000001E-2</v>
      </c>
      <c r="X129" s="2">
        <v>8.4501000000000007E-2</v>
      </c>
      <c r="Y129">
        <v>0.03</v>
      </c>
      <c r="Z129">
        <v>0.13</v>
      </c>
      <c r="AA129" s="20">
        <f>Table3[[#This Row],[APS]]*Table3[[#This Row],[PrimaComercial Anual]]</f>
        <v>73.730640000000008</v>
      </c>
      <c r="AB129" s="8">
        <f>Table3[[#This Row],[PrimaComercial Anual]]*Table3[[#This Row],[Recargo adicional]]</f>
        <v>420.96708180000007</v>
      </c>
      <c r="AC129" s="8">
        <f>Table3[[#This Row],[PrimaComercial Anual]]*Table3[[#This Row],[IT]]</f>
        <v>149.45400000000001</v>
      </c>
      <c r="AD129" s="8">
        <f>Table3[[#This Row],[PrimaComercial Anual]]*Table3[[#This Row],[IVA]]</f>
        <v>647.63400000000001</v>
      </c>
      <c r="AE129" s="15">
        <f>Table3[[#This Row],[PrimaComercial Anual Asistencia]]</f>
        <v>4981.8</v>
      </c>
      <c r="AG129">
        <v>4981.8</v>
      </c>
    </row>
    <row r="130" spans="1:33" x14ac:dyDescent="0.25">
      <c r="A130" t="s">
        <v>18</v>
      </c>
      <c r="B130">
        <v>70000</v>
      </c>
      <c r="C130">
        <v>28</v>
      </c>
      <c r="D130" s="2">
        <f>Table3[[#This Row],[PrimaTécnica]]-Table3[[#This Row],[PrimaTécnica]]*SUM(Table3[[#This Row],[Gastos Adm]:[Cobranza]])</f>
        <v>2145.4322935968003</v>
      </c>
      <c r="E130">
        <v>0</v>
      </c>
      <c r="F130">
        <v>0.15</v>
      </c>
      <c r="G130">
        <v>0.05</v>
      </c>
      <c r="H130">
        <v>0.01</v>
      </c>
      <c r="I130">
        <v>0.01</v>
      </c>
      <c r="J130" s="8">
        <f>Table3[[#This Row],[PrimaTécnica]]*Table3[[#This Row],[Gastos Adm]]</f>
        <v>412.58313338400001</v>
      </c>
      <c r="K130" s="8">
        <f>Table3[[#This Row],[PrimaTécnica]]*Table3[[#This Row],[Utilidad]]</f>
        <v>137.52771112800002</v>
      </c>
      <c r="L130" s="8">
        <f>Table3[[#This Row],[PrimaTécnica]]*Table3[[#This Row],[Marketing]]</f>
        <v>27.505542225600003</v>
      </c>
      <c r="M130" s="8">
        <f>Table3[[#This Row],[PrimaTécnica]]*Table3[[#This Row],[Cobranza]]</f>
        <v>27.505542225600003</v>
      </c>
      <c r="N13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130">
        <v>21.84</v>
      </c>
      <c r="P130">
        <v>54.6</v>
      </c>
      <c r="Q130">
        <v>80.64</v>
      </c>
      <c r="R130">
        <v>44.377200000000002</v>
      </c>
      <c r="S130">
        <v>0.2</v>
      </c>
      <c r="T130">
        <v>0.02</v>
      </c>
      <c r="U130" s="8">
        <f>Table3[[#This Row],[PrimaNeta]]*Table3[[#This Row],[Comisión]]</f>
        <v>738.00285564000012</v>
      </c>
      <c r="V130" s="15">
        <f>Table3[[#This Row],[PrimaComercial Anual]]-Table3[[#This Row],[PrimaComercial Anual]]*SUM(Table3[[#This Row],[APS]:[IVA]])</f>
        <v>3690.0142782000003</v>
      </c>
      <c r="W130" s="2">
        <v>1.4800000000000001E-2</v>
      </c>
      <c r="X130" s="2">
        <v>8.4501000000000007E-2</v>
      </c>
      <c r="Y130">
        <v>0.03</v>
      </c>
      <c r="Z130">
        <v>0.13</v>
      </c>
      <c r="AA130" s="20">
        <f>Table3[[#This Row],[APS]]*Table3[[#This Row],[PrimaComercial Anual]]</f>
        <v>73.730640000000008</v>
      </c>
      <c r="AB130" s="8">
        <f>Table3[[#This Row],[PrimaComercial Anual]]*Table3[[#This Row],[Recargo adicional]]</f>
        <v>420.96708180000007</v>
      </c>
      <c r="AC130" s="8">
        <f>Table3[[#This Row],[PrimaComercial Anual]]*Table3[[#This Row],[IT]]</f>
        <v>149.45400000000001</v>
      </c>
      <c r="AD130" s="8">
        <f>Table3[[#This Row],[PrimaComercial Anual]]*Table3[[#This Row],[IVA]]</f>
        <v>647.63400000000001</v>
      </c>
      <c r="AE130" s="15">
        <f>Table3[[#This Row],[PrimaComercial Anual Asistencia]]</f>
        <v>4981.8</v>
      </c>
      <c r="AG130">
        <v>4981.8</v>
      </c>
    </row>
    <row r="131" spans="1:33" x14ac:dyDescent="0.25">
      <c r="A131" t="s">
        <v>18</v>
      </c>
      <c r="B131">
        <v>70000</v>
      </c>
      <c r="C131">
        <v>29</v>
      </c>
      <c r="D131" s="2">
        <f>Table3[[#This Row],[PrimaTécnica]]-Table3[[#This Row],[PrimaTécnica]]*SUM(Table3[[#This Row],[Gastos Adm]:[Cobranza]])</f>
        <v>2145.4322935968003</v>
      </c>
      <c r="E131">
        <v>0</v>
      </c>
      <c r="F131">
        <v>0.15</v>
      </c>
      <c r="G131">
        <v>0.05</v>
      </c>
      <c r="H131">
        <v>0.01</v>
      </c>
      <c r="I131">
        <v>0.01</v>
      </c>
      <c r="J131" s="8">
        <f>Table3[[#This Row],[PrimaTécnica]]*Table3[[#This Row],[Gastos Adm]]</f>
        <v>412.58313338400001</v>
      </c>
      <c r="K131" s="8">
        <f>Table3[[#This Row],[PrimaTécnica]]*Table3[[#This Row],[Utilidad]]</f>
        <v>137.52771112800002</v>
      </c>
      <c r="L131" s="8">
        <f>Table3[[#This Row],[PrimaTécnica]]*Table3[[#This Row],[Marketing]]</f>
        <v>27.505542225600003</v>
      </c>
      <c r="M131" s="8">
        <f>Table3[[#This Row],[PrimaTécnica]]*Table3[[#This Row],[Cobranza]]</f>
        <v>27.505542225600003</v>
      </c>
      <c r="N13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131">
        <v>21.84</v>
      </c>
      <c r="P131">
        <v>54.6</v>
      </c>
      <c r="Q131">
        <v>80.64</v>
      </c>
      <c r="R131">
        <v>44.377200000000002</v>
      </c>
      <c r="S131">
        <v>0.2</v>
      </c>
      <c r="T131">
        <v>0.02</v>
      </c>
      <c r="U131" s="8">
        <f>Table3[[#This Row],[PrimaNeta]]*Table3[[#This Row],[Comisión]]</f>
        <v>738.00285564000012</v>
      </c>
      <c r="V131" s="15">
        <f>Table3[[#This Row],[PrimaComercial Anual]]-Table3[[#This Row],[PrimaComercial Anual]]*SUM(Table3[[#This Row],[APS]:[IVA]])</f>
        <v>3690.0142782000003</v>
      </c>
      <c r="W131" s="2">
        <v>1.4800000000000001E-2</v>
      </c>
      <c r="X131" s="2">
        <v>8.4501000000000007E-2</v>
      </c>
      <c r="Y131">
        <v>0.03</v>
      </c>
      <c r="Z131">
        <v>0.13</v>
      </c>
      <c r="AA131" s="20">
        <f>Table3[[#This Row],[APS]]*Table3[[#This Row],[PrimaComercial Anual]]</f>
        <v>73.730640000000008</v>
      </c>
      <c r="AB131" s="8">
        <f>Table3[[#This Row],[PrimaComercial Anual]]*Table3[[#This Row],[Recargo adicional]]</f>
        <v>420.96708180000007</v>
      </c>
      <c r="AC131" s="8">
        <f>Table3[[#This Row],[PrimaComercial Anual]]*Table3[[#This Row],[IT]]</f>
        <v>149.45400000000001</v>
      </c>
      <c r="AD131" s="8">
        <f>Table3[[#This Row],[PrimaComercial Anual]]*Table3[[#This Row],[IVA]]</f>
        <v>647.63400000000001</v>
      </c>
      <c r="AE131" s="15">
        <f>Table3[[#This Row],[PrimaComercial Anual Asistencia]]</f>
        <v>4981.8</v>
      </c>
      <c r="AG131">
        <v>4981.8</v>
      </c>
    </row>
    <row r="132" spans="1:33" x14ac:dyDescent="0.25">
      <c r="A132" t="s">
        <v>18</v>
      </c>
      <c r="B132">
        <v>70000</v>
      </c>
      <c r="C132">
        <v>30</v>
      </c>
      <c r="D132" s="2">
        <f>Table3[[#This Row],[PrimaTécnica]]-Table3[[#This Row],[PrimaTécnica]]*SUM(Table3[[#This Row],[Gastos Adm]:[Cobranza]])</f>
        <v>2219.1988032864001</v>
      </c>
      <c r="E132">
        <v>0</v>
      </c>
      <c r="F132">
        <v>0.15</v>
      </c>
      <c r="G132">
        <v>0.05</v>
      </c>
      <c r="H132">
        <v>0.01</v>
      </c>
      <c r="I132">
        <v>0.01</v>
      </c>
      <c r="J132" s="8">
        <f>Table3[[#This Row],[PrimaTécnica]]*Table3[[#This Row],[Gastos Adm]]</f>
        <v>426.76900063199997</v>
      </c>
      <c r="K132" s="8">
        <f>Table3[[#This Row],[PrimaTécnica]]*Table3[[#This Row],[Utilidad]]</f>
        <v>142.256333544</v>
      </c>
      <c r="L132" s="8">
        <f>Table3[[#This Row],[PrimaTécnica]]*Table3[[#This Row],[Marketing]]</f>
        <v>28.451266708799999</v>
      </c>
      <c r="M132" s="8">
        <f>Table3[[#This Row],[PrimaTécnica]]*Table3[[#This Row],[Cobranza]]</f>
        <v>28.451266708799999</v>
      </c>
      <c r="N13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2845.1266708799999</v>
      </c>
      <c r="O132">
        <v>21.84</v>
      </c>
      <c r="P132">
        <v>54.6</v>
      </c>
      <c r="Q132">
        <v>80.64</v>
      </c>
      <c r="R132">
        <v>44.377200000000002</v>
      </c>
      <c r="S132">
        <v>0.2</v>
      </c>
      <c r="T132">
        <v>0.02</v>
      </c>
      <c r="U132" s="8">
        <f>Table3[[#This Row],[PrimaNeta]]*Table3[[#This Row],[Comisión]]</f>
        <v>761.64596772000004</v>
      </c>
      <c r="V132" s="15">
        <f>Table3[[#This Row],[PrimaComercial Anual]]-Table3[[#This Row],[PrimaComercial Anual]]*SUM(Table3[[#This Row],[APS]:[IVA]])</f>
        <v>3808.2298385999998</v>
      </c>
      <c r="W132" s="2">
        <v>1.4800000000000001E-2</v>
      </c>
      <c r="X132" s="2">
        <v>8.4501000000000007E-2</v>
      </c>
      <c r="Y132">
        <v>0.03</v>
      </c>
      <c r="Z132">
        <v>0.13</v>
      </c>
      <c r="AA132" s="20">
        <f>Table3[[#This Row],[APS]]*Table3[[#This Row],[PrimaComercial Anual]]</f>
        <v>76.09272</v>
      </c>
      <c r="AB132" s="8">
        <f>Table3[[#This Row],[PrimaComercial Anual]]*Table3[[#This Row],[Recargo adicional]]</f>
        <v>434.45344140000003</v>
      </c>
      <c r="AC132" s="8">
        <f>Table3[[#This Row],[PrimaComercial Anual]]*Table3[[#This Row],[IT]]</f>
        <v>154.24199999999999</v>
      </c>
      <c r="AD132" s="8">
        <f>Table3[[#This Row],[PrimaComercial Anual]]*Table3[[#This Row],[IVA]]</f>
        <v>668.38199999999995</v>
      </c>
      <c r="AE132" s="15">
        <f>Table3[[#This Row],[PrimaComercial Anual Asistencia]]</f>
        <v>5141.3999999999996</v>
      </c>
      <c r="AG132">
        <v>5141.3999999999996</v>
      </c>
    </row>
    <row r="133" spans="1:33" x14ac:dyDescent="0.25">
      <c r="A133" t="s">
        <v>18</v>
      </c>
      <c r="B133">
        <v>70000</v>
      </c>
      <c r="C133">
        <v>31</v>
      </c>
      <c r="D133" s="2">
        <f>Table3[[#This Row],[PrimaTécnica]]-Table3[[#This Row],[PrimaTécnica]]*SUM(Table3[[#This Row],[Gastos Adm]:[Cobranza]])</f>
        <v>2219.1988032864001</v>
      </c>
      <c r="E133">
        <v>0</v>
      </c>
      <c r="F133">
        <v>0.15</v>
      </c>
      <c r="G133">
        <v>0.05</v>
      </c>
      <c r="H133">
        <v>0.01</v>
      </c>
      <c r="I133">
        <v>0.01</v>
      </c>
      <c r="J133" s="8">
        <f>Table3[[#This Row],[PrimaTécnica]]*Table3[[#This Row],[Gastos Adm]]</f>
        <v>426.76900063199997</v>
      </c>
      <c r="K133" s="8">
        <f>Table3[[#This Row],[PrimaTécnica]]*Table3[[#This Row],[Utilidad]]</f>
        <v>142.256333544</v>
      </c>
      <c r="L133" s="8">
        <f>Table3[[#This Row],[PrimaTécnica]]*Table3[[#This Row],[Marketing]]</f>
        <v>28.451266708799999</v>
      </c>
      <c r="M133" s="8">
        <f>Table3[[#This Row],[PrimaTécnica]]*Table3[[#This Row],[Cobranza]]</f>
        <v>28.451266708799999</v>
      </c>
      <c r="N13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2845.1266708799999</v>
      </c>
      <c r="O133">
        <v>21.84</v>
      </c>
      <c r="P133">
        <v>54.6</v>
      </c>
      <c r="Q133">
        <v>80.64</v>
      </c>
      <c r="R133">
        <v>44.377200000000002</v>
      </c>
      <c r="S133">
        <v>0.2</v>
      </c>
      <c r="T133">
        <v>0.02</v>
      </c>
      <c r="U133" s="8">
        <f>Table3[[#This Row],[PrimaNeta]]*Table3[[#This Row],[Comisión]]</f>
        <v>761.64596772000004</v>
      </c>
      <c r="V133" s="15">
        <f>Table3[[#This Row],[PrimaComercial Anual]]-Table3[[#This Row],[PrimaComercial Anual]]*SUM(Table3[[#This Row],[APS]:[IVA]])</f>
        <v>3808.2298385999998</v>
      </c>
      <c r="W133" s="2">
        <v>1.4800000000000001E-2</v>
      </c>
      <c r="X133" s="2">
        <v>8.4501000000000007E-2</v>
      </c>
      <c r="Y133">
        <v>0.03</v>
      </c>
      <c r="Z133">
        <v>0.13</v>
      </c>
      <c r="AA133" s="20">
        <f>Table3[[#This Row],[APS]]*Table3[[#This Row],[PrimaComercial Anual]]</f>
        <v>76.09272</v>
      </c>
      <c r="AB133" s="8">
        <f>Table3[[#This Row],[PrimaComercial Anual]]*Table3[[#This Row],[Recargo adicional]]</f>
        <v>434.45344140000003</v>
      </c>
      <c r="AC133" s="8">
        <f>Table3[[#This Row],[PrimaComercial Anual]]*Table3[[#This Row],[IT]]</f>
        <v>154.24199999999999</v>
      </c>
      <c r="AD133" s="8">
        <f>Table3[[#This Row],[PrimaComercial Anual]]*Table3[[#This Row],[IVA]]</f>
        <v>668.38199999999995</v>
      </c>
      <c r="AE133" s="15">
        <f>Table3[[#This Row],[PrimaComercial Anual Asistencia]]</f>
        <v>5141.3999999999996</v>
      </c>
      <c r="AG133">
        <v>5141.3999999999996</v>
      </c>
    </row>
    <row r="134" spans="1:33" x14ac:dyDescent="0.25">
      <c r="A134" t="s">
        <v>18</v>
      </c>
      <c r="B134">
        <v>70000</v>
      </c>
      <c r="C134">
        <v>32</v>
      </c>
      <c r="D134" s="2">
        <f>Table3[[#This Row],[PrimaTécnica]]-Table3[[#This Row],[PrimaTécnica]]*SUM(Table3[[#This Row],[Gastos Adm]:[Cobranza]])</f>
        <v>2219.1988032864001</v>
      </c>
      <c r="E134">
        <v>0</v>
      </c>
      <c r="F134">
        <v>0.15</v>
      </c>
      <c r="G134">
        <v>0.05</v>
      </c>
      <c r="H134">
        <v>0.01</v>
      </c>
      <c r="I134">
        <v>0.01</v>
      </c>
      <c r="J134" s="8">
        <f>Table3[[#This Row],[PrimaTécnica]]*Table3[[#This Row],[Gastos Adm]]</f>
        <v>426.76900063199997</v>
      </c>
      <c r="K134" s="8">
        <f>Table3[[#This Row],[PrimaTécnica]]*Table3[[#This Row],[Utilidad]]</f>
        <v>142.256333544</v>
      </c>
      <c r="L134" s="8">
        <f>Table3[[#This Row],[PrimaTécnica]]*Table3[[#This Row],[Marketing]]</f>
        <v>28.451266708799999</v>
      </c>
      <c r="M134" s="8">
        <f>Table3[[#This Row],[PrimaTécnica]]*Table3[[#This Row],[Cobranza]]</f>
        <v>28.451266708799999</v>
      </c>
      <c r="N13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2845.1266708799999</v>
      </c>
      <c r="O134">
        <v>21.84</v>
      </c>
      <c r="P134">
        <v>54.6</v>
      </c>
      <c r="Q134">
        <v>80.64</v>
      </c>
      <c r="R134">
        <v>44.377200000000002</v>
      </c>
      <c r="S134">
        <v>0.2</v>
      </c>
      <c r="T134">
        <v>0.02</v>
      </c>
      <c r="U134" s="8">
        <f>Table3[[#This Row],[PrimaNeta]]*Table3[[#This Row],[Comisión]]</f>
        <v>761.64596772000004</v>
      </c>
      <c r="V134" s="15">
        <f>Table3[[#This Row],[PrimaComercial Anual]]-Table3[[#This Row],[PrimaComercial Anual]]*SUM(Table3[[#This Row],[APS]:[IVA]])</f>
        <v>3808.2298385999998</v>
      </c>
      <c r="W134" s="2">
        <v>1.4800000000000001E-2</v>
      </c>
      <c r="X134" s="2">
        <v>8.4501000000000007E-2</v>
      </c>
      <c r="Y134">
        <v>0.03</v>
      </c>
      <c r="Z134">
        <v>0.13</v>
      </c>
      <c r="AA134" s="20">
        <f>Table3[[#This Row],[APS]]*Table3[[#This Row],[PrimaComercial Anual]]</f>
        <v>76.09272</v>
      </c>
      <c r="AB134" s="8">
        <f>Table3[[#This Row],[PrimaComercial Anual]]*Table3[[#This Row],[Recargo adicional]]</f>
        <v>434.45344140000003</v>
      </c>
      <c r="AC134" s="8">
        <f>Table3[[#This Row],[PrimaComercial Anual]]*Table3[[#This Row],[IT]]</f>
        <v>154.24199999999999</v>
      </c>
      <c r="AD134" s="8">
        <f>Table3[[#This Row],[PrimaComercial Anual]]*Table3[[#This Row],[IVA]]</f>
        <v>668.38199999999995</v>
      </c>
      <c r="AE134" s="15">
        <f>Table3[[#This Row],[PrimaComercial Anual Asistencia]]</f>
        <v>5141.3999999999996</v>
      </c>
      <c r="AG134">
        <v>5141.3999999999996</v>
      </c>
    </row>
    <row r="135" spans="1:33" x14ac:dyDescent="0.25">
      <c r="A135" t="s">
        <v>18</v>
      </c>
      <c r="B135">
        <v>70000</v>
      </c>
      <c r="C135">
        <v>33</v>
      </c>
      <c r="D135" s="2">
        <f>Table3[[#This Row],[PrimaTécnica]]-Table3[[#This Row],[PrimaTécnica]]*SUM(Table3[[#This Row],[Gastos Adm]:[Cobranza]])</f>
        <v>2219.1988032864001</v>
      </c>
      <c r="E135">
        <v>0</v>
      </c>
      <c r="F135">
        <v>0.15</v>
      </c>
      <c r="G135">
        <v>0.05</v>
      </c>
      <c r="H135">
        <v>0.01</v>
      </c>
      <c r="I135">
        <v>0.01</v>
      </c>
      <c r="J135" s="8">
        <f>Table3[[#This Row],[PrimaTécnica]]*Table3[[#This Row],[Gastos Adm]]</f>
        <v>426.76900063199997</v>
      </c>
      <c r="K135" s="8">
        <f>Table3[[#This Row],[PrimaTécnica]]*Table3[[#This Row],[Utilidad]]</f>
        <v>142.256333544</v>
      </c>
      <c r="L135" s="8">
        <f>Table3[[#This Row],[PrimaTécnica]]*Table3[[#This Row],[Marketing]]</f>
        <v>28.451266708799999</v>
      </c>
      <c r="M135" s="8">
        <f>Table3[[#This Row],[PrimaTécnica]]*Table3[[#This Row],[Cobranza]]</f>
        <v>28.451266708799999</v>
      </c>
      <c r="N13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2845.1266708799999</v>
      </c>
      <c r="O135">
        <v>21.84</v>
      </c>
      <c r="P135">
        <v>54.6</v>
      </c>
      <c r="Q135">
        <v>80.64</v>
      </c>
      <c r="R135">
        <v>44.377200000000002</v>
      </c>
      <c r="S135">
        <v>0.2</v>
      </c>
      <c r="T135">
        <v>0.02</v>
      </c>
      <c r="U135" s="8">
        <f>Table3[[#This Row],[PrimaNeta]]*Table3[[#This Row],[Comisión]]</f>
        <v>761.64596772000004</v>
      </c>
      <c r="V135" s="15">
        <f>Table3[[#This Row],[PrimaComercial Anual]]-Table3[[#This Row],[PrimaComercial Anual]]*SUM(Table3[[#This Row],[APS]:[IVA]])</f>
        <v>3808.2298385999998</v>
      </c>
      <c r="W135" s="2">
        <v>1.4800000000000001E-2</v>
      </c>
      <c r="X135" s="2">
        <v>8.4501000000000007E-2</v>
      </c>
      <c r="Y135">
        <v>0.03</v>
      </c>
      <c r="Z135">
        <v>0.13</v>
      </c>
      <c r="AA135" s="20">
        <f>Table3[[#This Row],[APS]]*Table3[[#This Row],[PrimaComercial Anual]]</f>
        <v>76.09272</v>
      </c>
      <c r="AB135" s="8">
        <f>Table3[[#This Row],[PrimaComercial Anual]]*Table3[[#This Row],[Recargo adicional]]</f>
        <v>434.45344140000003</v>
      </c>
      <c r="AC135" s="8">
        <f>Table3[[#This Row],[PrimaComercial Anual]]*Table3[[#This Row],[IT]]</f>
        <v>154.24199999999999</v>
      </c>
      <c r="AD135" s="8">
        <f>Table3[[#This Row],[PrimaComercial Anual]]*Table3[[#This Row],[IVA]]</f>
        <v>668.38199999999995</v>
      </c>
      <c r="AE135" s="15">
        <f>Table3[[#This Row],[PrimaComercial Anual Asistencia]]</f>
        <v>5141.3999999999996</v>
      </c>
      <c r="AG135">
        <v>5141.3999999999996</v>
      </c>
    </row>
    <row r="136" spans="1:33" x14ac:dyDescent="0.25">
      <c r="A136" t="s">
        <v>18</v>
      </c>
      <c r="B136">
        <v>70000</v>
      </c>
      <c r="C136">
        <v>34</v>
      </c>
      <c r="D136" s="2">
        <f>Table3[[#This Row],[PrimaTécnica]]-Table3[[#This Row],[PrimaTécnica]]*SUM(Table3[[#This Row],[Gastos Adm]:[Cobranza]])</f>
        <v>2219.1988032864001</v>
      </c>
      <c r="E136">
        <v>0</v>
      </c>
      <c r="F136">
        <v>0.15</v>
      </c>
      <c r="G136">
        <v>0.05</v>
      </c>
      <c r="H136">
        <v>0.01</v>
      </c>
      <c r="I136">
        <v>0.01</v>
      </c>
      <c r="J136" s="8">
        <f>Table3[[#This Row],[PrimaTécnica]]*Table3[[#This Row],[Gastos Adm]]</f>
        <v>426.76900063199997</v>
      </c>
      <c r="K136" s="8">
        <f>Table3[[#This Row],[PrimaTécnica]]*Table3[[#This Row],[Utilidad]]</f>
        <v>142.256333544</v>
      </c>
      <c r="L136" s="8">
        <f>Table3[[#This Row],[PrimaTécnica]]*Table3[[#This Row],[Marketing]]</f>
        <v>28.451266708799999</v>
      </c>
      <c r="M136" s="8">
        <f>Table3[[#This Row],[PrimaTécnica]]*Table3[[#This Row],[Cobranza]]</f>
        <v>28.451266708799999</v>
      </c>
      <c r="N13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2845.1266708799999</v>
      </c>
      <c r="O136">
        <v>21.84</v>
      </c>
      <c r="P136">
        <v>54.6</v>
      </c>
      <c r="Q136">
        <v>80.64</v>
      </c>
      <c r="R136">
        <v>44.377200000000002</v>
      </c>
      <c r="S136">
        <v>0.2</v>
      </c>
      <c r="T136">
        <v>0.02</v>
      </c>
      <c r="U136" s="8">
        <f>Table3[[#This Row],[PrimaNeta]]*Table3[[#This Row],[Comisión]]</f>
        <v>761.64596772000004</v>
      </c>
      <c r="V136" s="15">
        <f>Table3[[#This Row],[PrimaComercial Anual]]-Table3[[#This Row],[PrimaComercial Anual]]*SUM(Table3[[#This Row],[APS]:[IVA]])</f>
        <v>3808.2298385999998</v>
      </c>
      <c r="W136" s="2">
        <v>1.4800000000000001E-2</v>
      </c>
      <c r="X136" s="2">
        <v>8.4501000000000007E-2</v>
      </c>
      <c r="Y136">
        <v>0.03</v>
      </c>
      <c r="Z136">
        <v>0.13</v>
      </c>
      <c r="AA136" s="20">
        <f>Table3[[#This Row],[APS]]*Table3[[#This Row],[PrimaComercial Anual]]</f>
        <v>76.09272</v>
      </c>
      <c r="AB136" s="8">
        <f>Table3[[#This Row],[PrimaComercial Anual]]*Table3[[#This Row],[Recargo adicional]]</f>
        <v>434.45344140000003</v>
      </c>
      <c r="AC136" s="8">
        <f>Table3[[#This Row],[PrimaComercial Anual]]*Table3[[#This Row],[IT]]</f>
        <v>154.24199999999999</v>
      </c>
      <c r="AD136" s="8">
        <f>Table3[[#This Row],[PrimaComercial Anual]]*Table3[[#This Row],[IVA]]</f>
        <v>668.38199999999995</v>
      </c>
      <c r="AE136" s="15">
        <f>Table3[[#This Row],[PrimaComercial Anual Asistencia]]</f>
        <v>5141.3999999999996</v>
      </c>
      <c r="AG136">
        <v>5141.3999999999996</v>
      </c>
    </row>
    <row r="137" spans="1:33" x14ac:dyDescent="0.25">
      <c r="A137" t="s">
        <v>18</v>
      </c>
      <c r="B137">
        <v>70000</v>
      </c>
      <c r="C137">
        <v>35</v>
      </c>
      <c r="D137" s="2">
        <f>Table3[[#This Row],[PrimaTécnica]]-Table3[[#This Row],[PrimaTécnica]]*SUM(Table3[[#This Row],[Gastos Adm]:[Cobranza]])</f>
        <v>2219.1988032864001</v>
      </c>
      <c r="E137">
        <v>0</v>
      </c>
      <c r="F137">
        <v>0.15</v>
      </c>
      <c r="G137">
        <v>0.05</v>
      </c>
      <c r="H137">
        <v>0.01</v>
      </c>
      <c r="I137">
        <v>0.01</v>
      </c>
      <c r="J137" s="8">
        <f>Table3[[#This Row],[PrimaTécnica]]*Table3[[#This Row],[Gastos Adm]]</f>
        <v>426.76900063199997</v>
      </c>
      <c r="K137" s="8">
        <f>Table3[[#This Row],[PrimaTécnica]]*Table3[[#This Row],[Utilidad]]</f>
        <v>142.256333544</v>
      </c>
      <c r="L137" s="8">
        <f>Table3[[#This Row],[PrimaTécnica]]*Table3[[#This Row],[Marketing]]</f>
        <v>28.451266708799999</v>
      </c>
      <c r="M137" s="8">
        <f>Table3[[#This Row],[PrimaTécnica]]*Table3[[#This Row],[Cobranza]]</f>
        <v>28.451266708799999</v>
      </c>
      <c r="N13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2845.1266708799999</v>
      </c>
      <c r="O137">
        <v>21.84</v>
      </c>
      <c r="P137">
        <v>54.6</v>
      </c>
      <c r="Q137">
        <v>80.64</v>
      </c>
      <c r="R137">
        <v>44.377200000000002</v>
      </c>
      <c r="S137">
        <v>0.2</v>
      </c>
      <c r="T137">
        <v>0.02</v>
      </c>
      <c r="U137" s="8">
        <f>Table3[[#This Row],[PrimaNeta]]*Table3[[#This Row],[Comisión]]</f>
        <v>761.64596772000004</v>
      </c>
      <c r="V137" s="15">
        <f>Table3[[#This Row],[PrimaComercial Anual]]-Table3[[#This Row],[PrimaComercial Anual]]*SUM(Table3[[#This Row],[APS]:[IVA]])</f>
        <v>3808.2298385999998</v>
      </c>
      <c r="W137" s="2">
        <v>1.4800000000000001E-2</v>
      </c>
      <c r="X137" s="2">
        <v>8.4501000000000007E-2</v>
      </c>
      <c r="Y137">
        <v>0.03</v>
      </c>
      <c r="Z137">
        <v>0.13</v>
      </c>
      <c r="AA137" s="20">
        <f>Table3[[#This Row],[APS]]*Table3[[#This Row],[PrimaComercial Anual]]</f>
        <v>76.09272</v>
      </c>
      <c r="AB137" s="8">
        <f>Table3[[#This Row],[PrimaComercial Anual]]*Table3[[#This Row],[Recargo adicional]]</f>
        <v>434.45344140000003</v>
      </c>
      <c r="AC137" s="8">
        <f>Table3[[#This Row],[PrimaComercial Anual]]*Table3[[#This Row],[IT]]</f>
        <v>154.24199999999999</v>
      </c>
      <c r="AD137" s="8">
        <f>Table3[[#This Row],[PrimaComercial Anual]]*Table3[[#This Row],[IVA]]</f>
        <v>668.38199999999995</v>
      </c>
      <c r="AE137" s="15">
        <f>Table3[[#This Row],[PrimaComercial Anual Asistencia]]</f>
        <v>5141.3999999999996</v>
      </c>
      <c r="AG137">
        <v>5141.3999999999996</v>
      </c>
    </row>
    <row r="138" spans="1:33" x14ac:dyDescent="0.25">
      <c r="A138" t="s">
        <v>18</v>
      </c>
      <c r="B138">
        <v>70000</v>
      </c>
      <c r="C138">
        <v>36</v>
      </c>
      <c r="D138" s="2">
        <f>Table3[[#This Row],[PrimaTécnica]]-Table3[[#This Row],[PrimaTécnica]]*SUM(Table3[[#This Row],[Gastos Adm]:[Cobranza]])</f>
        <v>2219.1988032864001</v>
      </c>
      <c r="E138">
        <v>0</v>
      </c>
      <c r="F138">
        <v>0.15</v>
      </c>
      <c r="G138">
        <v>0.05</v>
      </c>
      <c r="H138">
        <v>0.01</v>
      </c>
      <c r="I138">
        <v>0.01</v>
      </c>
      <c r="J138" s="8">
        <f>Table3[[#This Row],[PrimaTécnica]]*Table3[[#This Row],[Gastos Adm]]</f>
        <v>426.76900063199997</v>
      </c>
      <c r="K138" s="8">
        <f>Table3[[#This Row],[PrimaTécnica]]*Table3[[#This Row],[Utilidad]]</f>
        <v>142.256333544</v>
      </c>
      <c r="L138" s="8">
        <f>Table3[[#This Row],[PrimaTécnica]]*Table3[[#This Row],[Marketing]]</f>
        <v>28.451266708799999</v>
      </c>
      <c r="M138" s="8">
        <f>Table3[[#This Row],[PrimaTécnica]]*Table3[[#This Row],[Cobranza]]</f>
        <v>28.451266708799999</v>
      </c>
      <c r="N13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2845.1266708799999</v>
      </c>
      <c r="O138">
        <v>21.84</v>
      </c>
      <c r="P138">
        <v>54.6</v>
      </c>
      <c r="Q138">
        <v>80.64</v>
      </c>
      <c r="R138">
        <v>44.377200000000002</v>
      </c>
      <c r="S138">
        <v>0.2</v>
      </c>
      <c r="T138">
        <v>0.02</v>
      </c>
      <c r="U138" s="8">
        <f>Table3[[#This Row],[PrimaNeta]]*Table3[[#This Row],[Comisión]]</f>
        <v>761.64596772000004</v>
      </c>
      <c r="V138" s="15">
        <f>Table3[[#This Row],[PrimaComercial Anual]]-Table3[[#This Row],[PrimaComercial Anual]]*SUM(Table3[[#This Row],[APS]:[IVA]])</f>
        <v>3808.2298385999998</v>
      </c>
      <c r="W138" s="2">
        <v>1.4800000000000001E-2</v>
      </c>
      <c r="X138" s="2">
        <v>8.4501000000000007E-2</v>
      </c>
      <c r="Y138">
        <v>0.03</v>
      </c>
      <c r="Z138">
        <v>0.13</v>
      </c>
      <c r="AA138" s="20">
        <f>Table3[[#This Row],[APS]]*Table3[[#This Row],[PrimaComercial Anual]]</f>
        <v>76.09272</v>
      </c>
      <c r="AB138" s="8">
        <f>Table3[[#This Row],[PrimaComercial Anual]]*Table3[[#This Row],[Recargo adicional]]</f>
        <v>434.45344140000003</v>
      </c>
      <c r="AC138" s="8">
        <f>Table3[[#This Row],[PrimaComercial Anual]]*Table3[[#This Row],[IT]]</f>
        <v>154.24199999999999</v>
      </c>
      <c r="AD138" s="8">
        <f>Table3[[#This Row],[PrimaComercial Anual]]*Table3[[#This Row],[IVA]]</f>
        <v>668.38199999999995</v>
      </c>
      <c r="AE138" s="15">
        <f>Table3[[#This Row],[PrimaComercial Anual Asistencia]]</f>
        <v>5141.3999999999996</v>
      </c>
      <c r="AG138">
        <v>5141.3999999999996</v>
      </c>
    </row>
    <row r="139" spans="1:33" x14ac:dyDescent="0.25">
      <c r="A139" t="s">
        <v>18</v>
      </c>
      <c r="B139">
        <v>70000</v>
      </c>
      <c r="C139">
        <v>37</v>
      </c>
      <c r="D139" s="2">
        <f>Table3[[#This Row],[PrimaTécnica]]-Table3[[#This Row],[PrimaTécnica]]*SUM(Table3[[#This Row],[Gastos Adm]:[Cobranza]])</f>
        <v>2219.1988032864001</v>
      </c>
      <c r="E139">
        <v>0</v>
      </c>
      <c r="F139">
        <v>0.15</v>
      </c>
      <c r="G139">
        <v>0.05</v>
      </c>
      <c r="H139">
        <v>0.01</v>
      </c>
      <c r="I139">
        <v>0.01</v>
      </c>
      <c r="J139" s="8">
        <f>Table3[[#This Row],[PrimaTécnica]]*Table3[[#This Row],[Gastos Adm]]</f>
        <v>426.76900063199997</v>
      </c>
      <c r="K139" s="8">
        <f>Table3[[#This Row],[PrimaTécnica]]*Table3[[#This Row],[Utilidad]]</f>
        <v>142.256333544</v>
      </c>
      <c r="L139" s="8">
        <f>Table3[[#This Row],[PrimaTécnica]]*Table3[[#This Row],[Marketing]]</f>
        <v>28.451266708799999</v>
      </c>
      <c r="M139" s="8">
        <f>Table3[[#This Row],[PrimaTécnica]]*Table3[[#This Row],[Cobranza]]</f>
        <v>28.451266708799999</v>
      </c>
      <c r="N13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2845.1266708799999</v>
      </c>
      <c r="O139">
        <v>21.84</v>
      </c>
      <c r="P139">
        <v>54.6</v>
      </c>
      <c r="Q139">
        <v>80.64</v>
      </c>
      <c r="R139">
        <v>44.377200000000002</v>
      </c>
      <c r="S139">
        <v>0.2</v>
      </c>
      <c r="T139">
        <v>0.02</v>
      </c>
      <c r="U139" s="8">
        <f>Table3[[#This Row],[PrimaNeta]]*Table3[[#This Row],[Comisión]]</f>
        <v>761.64596772000004</v>
      </c>
      <c r="V139" s="15">
        <f>Table3[[#This Row],[PrimaComercial Anual]]-Table3[[#This Row],[PrimaComercial Anual]]*SUM(Table3[[#This Row],[APS]:[IVA]])</f>
        <v>3808.2298385999998</v>
      </c>
      <c r="W139" s="2">
        <v>1.4800000000000001E-2</v>
      </c>
      <c r="X139" s="2">
        <v>8.4501000000000007E-2</v>
      </c>
      <c r="Y139">
        <v>0.03</v>
      </c>
      <c r="Z139">
        <v>0.13</v>
      </c>
      <c r="AA139" s="20">
        <f>Table3[[#This Row],[APS]]*Table3[[#This Row],[PrimaComercial Anual]]</f>
        <v>76.09272</v>
      </c>
      <c r="AB139" s="8">
        <f>Table3[[#This Row],[PrimaComercial Anual]]*Table3[[#This Row],[Recargo adicional]]</f>
        <v>434.45344140000003</v>
      </c>
      <c r="AC139" s="8">
        <f>Table3[[#This Row],[PrimaComercial Anual]]*Table3[[#This Row],[IT]]</f>
        <v>154.24199999999999</v>
      </c>
      <c r="AD139" s="8">
        <f>Table3[[#This Row],[PrimaComercial Anual]]*Table3[[#This Row],[IVA]]</f>
        <v>668.38199999999995</v>
      </c>
      <c r="AE139" s="15">
        <f>Table3[[#This Row],[PrimaComercial Anual Asistencia]]</f>
        <v>5141.3999999999996</v>
      </c>
      <c r="AG139">
        <v>5141.3999999999996</v>
      </c>
    </row>
    <row r="140" spans="1:33" x14ac:dyDescent="0.25">
      <c r="A140" t="s">
        <v>18</v>
      </c>
      <c r="B140">
        <v>70000</v>
      </c>
      <c r="C140">
        <v>38</v>
      </c>
      <c r="D140" s="2">
        <f>Table3[[#This Row],[PrimaTécnica]]-Table3[[#This Row],[PrimaTécnica]]*SUM(Table3[[#This Row],[Gastos Adm]:[Cobranza]])</f>
        <v>2219.1988032864001</v>
      </c>
      <c r="E140">
        <v>0</v>
      </c>
      <c r="F140">
        <v>0.15</v>
      </c>
      <c r="G140">
        <v>0.05</v>
      </c>
      <c r="H140">
        <v>0.01</v>
      </c>
      <c r="I140">
        <v>0.01</v>
      </c>
      <c r="J140" s="8">
        <f>Table3[[#This Row],[PrimaTécnica]]*Table3[[#This Row],[Gastos Adm]]</f>
        <v>426.76900063199997</v>
      </c>
      <c r="K140" s="8">
        <f>Table3[[#This Row],[PrimaTécnica]]*Table3[[#This Row],[Utilidad]]</f>
        <v>142.256333544</v>
      </c>
      <c r="L140" s="8">
        <f>Table3[[#This Row],[PrimaTécnica]]*Table3[[#This Row],[Marketing]]</f>
        <v>28.451266708799999</v>
      </c>
      <c r="M140" s="8">
        <f>Table3[[#This Row],[PrimaTécnica]]*Table3[[#This Row],[Cobranza]]</f>
        <v>28.451266708799999</v>
      </c>
      <c r="N14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2845.1266708799999</v>
      </c>
      <c r="O140">
        <v>21.84</v>
      </c>
      <c r="P140">
        <v>54.6</v>
      </c>
      <c r="Q140">
        <v>80.64</v>
      </c>
      <c r="R140">
        <v>44.377200000000002</v>
      </c>
      <c r="S140">
        <v>0.2</v>
      </c>
      <c r="T140">
        <v>0.02</v>
      </c>
      <c r="U140" s="8">
        <f>Table3[[#This Row],[PrimaNeta]]*Table3[[#This Row],[Comisión]]</f>
        <v>761.64596772000004</v>
      </c>
      <c r="V140" s="15">
        <f>Table3[[#This Row],[PrimaComercial Anual]]-Table3[[#This Row],[PrimaComercial Anual]]*SUM(Table3[[#This Row],[APS]:[IVA]])</f>
        <v>3808.2298385999998</v>
      </c>
      <c r="W140" s="2">
        <v>1.4800000000000001E-2</v>
      </c>
      <c r="X140" s="2">
        <v>8.4501000000000007E-2</v>
      </c>
      <c r="Y140">
        <v>0.03</v>
      </c>
      <c r="Z140">
        <v>0.13</v>
      </c>
      <c r="AA140" s="20">
        <f>Table3[[#This Row],[APS]]*Table3[[#This Row],[PrimaComercial Anual]]</f>
        <v>76.09272</v>
      </c>
      <c r="AB140" s="8">
        <f>Table3[[#This Row],[PrimaComercial Anual]]*Table3[[#This Row],[Recargo adicional]]</f>
        <v>434.45344140000003</v>
      </c>
      <c r="AC140" s="8">
        <f>Table3[[#This Row],[PrimaComercial Anual]]*Table3[[#This Row],[IT]]</f>
        <v>154.24199999999999</v>
      </c>
      <c r="AD140" s="8">
        <f>Table3[[#This Row],[PrimaComercial Anual]]*Table3[[#This Row],[IVA]]</f>
        <v>668.38199999999995</v>
      </c>
      <c r="AE140" s="15">
        <f>Table3[[#This Row],[PrimaComercial Anual Asistencia]]</f>
        <v>5141.3999999999996</v>
      </c>
      <c r="AG140">
        <v>5141.3999999999996</v>
      </c>
    </row>
    <row r="141" spans="1:33" x14ac:dyDescent="0.25">
      <c r="A141" t="s">
        <v>18</v>
      </c>
      <c r="B141">
        <v>70000</v>
      </c>
      <c r="C141">
        <v>39</v>
      </c>
      <c r="D141" s="2">
        <f>Table3[[#This Row],[PrimaTécnica]]-Table3[[#This Row],[PrimaTécnica]]*SUM(Table3[[#This Row],[Gastos Adm]:[Cobranza]])</f>
        <v>2219.1988032864001</v>
      </c>
      <c r="E141">
        <v>0</v>
      </c>
      <c r="F141">
        <v>0.15</v>
      </c>
      <c r="G141">
        <v>0.05</v>
      </c>
      <c r="H141">
        <v>0.01</v>
      </c>
      <c r="I141">
        <v>0.01</v>
      </c>
      <c r="J141" s="8">
        <f>Table3[[#This Row],[PrimaTécnica]]*Table3[[#This Row],[Gastos Adm]]</f>
        <v>426.76900063199997</v>
      </c>
      <c r="K141" s="8">
        <f>Table3[[#This Row],[PrimaTécnica]]*Table3[[#This Row],[Utilidad]]</f>
        <v>142.256333544</v>
      </c>
      <c r="L141" s="8">
        <f>Table3[[#This Row],[PrimaTécnica]]*Table3[[#This Row],[Marketing]]</f>
        <v>28.451266708799999</v>
      </c>
      <c r="M141" s="8">
        <f>Table3[[#This Row],[PrimaTécnica]]*Table3[[#This Row],[Cobranza]]</f>
        <v>28.451266708799999</v>
      </c>
      <c r="N14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2845.1266708799999</v>
      </c>
      <c r="O141">
        <v>21.84</v>
      </c>
      <c r="P141">
        <v>54.6</v>
      </c>
      <c r="Q141">
        <v>80.64</v>
      </c>
      <c r="R141">
        <v>44.377200000000002</v>
      </c>
      <c r="S141">
        <v>0.2</v>
      </c>
      <c r="T141">
        <v>0.02</v>
      </c>
      <c r="U141" s="8">
        <f>Table3[[#This Row],[PrimaNeta]]*Table3[[#This Row],[Comisión]]</f>
        <v>761.64596772000004</v>
      </c>
      <c r="V141" s="15">
        <f>Table3[[#This Row],[PrimaComercial Anual]]-Table3[[#This Row],[PrimaComercial Anual]]*SUM(Table3[[#This Row],[APS]:[IVA]])</f>
        <v>3808.2298385999998</v>
      </c>
      <c r="W141" s="2">
        <v>1.4800000000000001E-2</v>
      </c>
      <c r="X141" s="2">
        <v>8.4501000000000007E-2</v>
      </c>
      <c r="Y141">
        <v>0.03</v>
      </c>
      <c r="Z141">
        <v>0.13</v>
      </c>
      <c r="AA141" s="20">
        <f>Table3[[#This Row],[APS]]*Table3[[#This Row],[PrimaComercial Anual]]</f>
        <v>76.09272</v>
      </c>
      <c r="AB141" s="8">
        <f>Table3[[#This Row],[PrimaComercial Anual]]*Table3[[#This Row],[Recargo adicional]]</f>
        <v>434.45344140000003</v>
      </c>
      <c r="AC141" s="8">
        <f>Table3[[#This Row],[PrimaComercial Anual]]*Table3[[#This Row],[IT]]</f>
        <v>154.24199999999999</v>
      </c>
      <c r="AD141" s="8">
        <f>Table3[[#This Row],[PrimaComercial Anual]]*Table3[[#This Row],[IVA]]</f>
        <v>668.38199999999995</v>
      </c>
      <c r="AE141" s="15">
        <f>Table3[[#This Row],[PrimaComercial Anual Asistencia]]</f>
        <v>5141.3999999999996</v>
      </c>
      <c r="AG141">
        <v>5141.3999999999996</v>
      </c>
    </row>
    <row r="142" spans="1:33" x14ac:dyDescent="0.25">
      <c r="A142" t="s">
        <v>18</v>
      </c>
      <c r="B142">
        <v>70000</v>
      </c>
      <c r="C142">
        <v>40</v>
      </c>
      <c r="D142" s="2">
        <f>Table3[[#This Row],[PrimaTécnica]]-Table3[[#This Row],[PrimaTécnica]]*SUM(Table3[[#This Row],[Gastos Adm]:[Cobranza]])</f>
        <v>3251.9299389407988</v>
      </c>
      <c r="E142">
        <v>0</v>
      </c>
      <c r="F142">
        <v>0.15</v>
      </c>
      <c r="G142">
        <v>0.05</v>
      </c>
      <c r="H142">
        <v>0.01</v>
      </c>
      <c r="I142">
        <v>0.01</v>
      </c>
      <c r="J142" s="8">
        <f>Table3[[#This Row],[PrimaTécnica]]*Table3[[#This Row],[Gastos Adm]]</f>
        <v>625.37114210399977</v>
      </c>
      <c r="K142" s="8">
        <f>Table3[[#This Row],[PrimaTécnica]]*Table3[[#This Row],[Utilidad]]</f>
        <v>208.45704736799996</v>
      </c>
      <c r="L142" s="8">
        <f>Table3[[#This Row],[PrimaTécnica]]*Table3[[#This Row],[Marketing]]</f>
        <v>41.69140947359999</v>
      </c>
      <c r="M142" s="8">
        <f>Table3[[#This Row],[PrimaTécnica]]*Table3[[#This Row],[Cobranza]]</f>
        <v>41.69140947359999</v>
      </c>
      <c r="N14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4169.1409473599988</v>
      </c>
      <c r="O142">
        <v>21.84</v>
      </c>
      <c r="P142">
        <v>54.6</v>
      </c>
      <c r="Q142">
        <v>80.64</v>
      </c>
      <c r="R142">
        <v>44.377200000000002</v>
      </c>
      <c r="S142">
        <v>0.2</v>
      </c>
      <c r="T142">
        <v>0.02</v>
      </c>
      <c r="U142" s="8">
        <f>Table3[[#This Row],[PrimaNeta]]*Table3[[#This Row],[Comisión]]</f>
        <v>1092.6495368399999</v>
      </c>
      <c r="V142" s="15">
        <f>Table3[[#This Row],[PrimaComercial Anual]]-Table3[[#This Row],[PrimaComercial Anual]]*SUM(Table3[[#This Row],[APS]:[IVA]])</f>
        <v>5463.2476841999996</v>
      </c>
      <c r="W142" s="2">
        <v>1.4800000000000001E-2</v>
      </c>
      <c r="X142" s="2">
        <v>8.4501000000000007E-2</v>
      </c>
      <c r="Y142">
        <v>0.03</v>
      </c>
      <c r="Z142">
        <v>0.13</v>
      </c>
      <c r="AA142" s="20">
        <f>Table3[[#This Row],[APS]]*Table3[[#This Row],[PrimaComercial Anual]]</f>
        <v>109.16184000000001</v>
      </c>
      <c r="AB142" s="8">
        <f>Table3[[#This Row],[PrimaComercial Anual]]*Table3[[#This Row],[Recargo adicional]]</f>
        <v>623.26247580000006</v>
      </c>
      <c r="AC142" s="8">
        <f>Table3[[#This Row],[PrimaComercial Anual]]*Table3[[#This Row],[IT]]</f>
        <v>221.274</v>
      </c>
      <c r="AD142" s="8">
        <f>Table3[[#This Row],[PrimaComercial Anual]]*Table3[[#This Row],[IVA]]</f>
        <v>958.85400000000004</v>
      </c>
      <c r="AE142" s="15">
        <f>Table3[[#This Row],[PrimaComercial Anual Asistencia]]</f>
        <v>7375.8</v>
      </c>
      <c r="AG142">
        <v>7375.8</v>
      </c>
    </row>
    <row r="143" spans="1:33" x14ac:dyDescent="0.25">
      <c r="A143" t="s">
        <v>18</v>
      </c>
      <c r="B143">
        <v>70000</v>
      </c>
      <c r="C143">
        <v>41</v>
      </c>
      <c r="D143" s="2">
        <f>Table3[[#This Row],[PrimaTécnica]]-Table3[[#This Row],[PrimaTécnica]]*SUM(Table3[[#This Row],[Gastos Adm]:[Cobranza]])</f>
        <v>3251.9299389407988</v>
      </c>
      <c r="E143">
        <v>0</v>
      </c>
      <c r="F143">
        <v>0.15</v>
      </c>
      <c r="G143">
        <v>0.05</v>
      </c>
      <c r="H143">
        <v>0.01</v>
      </c>
      <c r="I143">
        <v>0.01</v>
      </c>
      <c r="J143" s="8">
        <f>Table3[[#This Row],[PrimaTécnica]]*Table3[[#This Row],[Gastos Adm]]</f>
        <v>625.37114210399977</v>
      </c>
      <c r="K143" s="8">
        <f>Table3[[#This Row],[PrimaTécnica]]*Table3[[#This Row],[Utilidad]]</f>
        <v>208.45704736799996</v>
      </c>
      <c r="L143" s="8">
        <f>Table3[[#This Row],[PrimaTécnica]]*Table3[[#This Row],[Marketing]]</f>
        <v>41.69140947359999</v>
      </c>
      <c r="M143" s="8">
        <f>Table3[[#This Row],[PrimaTécnica]]*Table3[[#This Row],[Cobranza]]</f>
        <v>41.69140947359999</v>
      </c>
      <c r="N14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4169.1409473599988</v>
      </c>
      <c r="O143">
        <v>21.84</v>
      </c>
      <c r="P143">
        <v>54.6</v>
      </c>
      <c r="Q143">
        <v>80.64</v>
      </c>
      <c r="R143">
        <v>44.377200000000002</v>
      </c>
      <c r="S143">
        <v>0.2</v>
      </c>
      <c r="T143">
        <v>0.02</v>
      </c>
      <c r="U143" s="8">
        <f>Table3[[#This Row],[PrimaNeta]]*Table3[[#This Row],[Comisión]]</f>
        <v>1092.6495368399999</v>
      </c>
      <c r="V143" s="15">
        <f>Table3[[#This Row],[PrimaComercial Anual]]-Table3[[#This Row],[PrimaComercial Anual]]*SUM(Table3[[#This Row],[APS]:[IVA]])</f>
        <v>5463.2476841999996</v>
      </c>
      <c r="W143" s="2">
        <v>1.4800000000000001E-2</v>
      </c>
      <c r="X143" s="2">
        <v>8.4501000000000007E-2</v>
      </c>
      <c r="Y143">
        <v>0.03</v>
      </c>
      <c r="Z143">
        <v>0.13</v>
      </c>
      <c r="AA143" s="20">
        <f>Table3[[#This Row],[APS]]*Table3[[#This Row],[PrimaComercial Anual]]</f>
        <v>109.16184000000001</v>
      </c>
      <c r="AB143" s="8">
        <f>Table3[[#This Row],[PrimaComercial Anual]]*Table3[[#This Row],[Recargo adicional]]</f>
        <v>623.26247580000006</v>
      </c>
      <c r="AC143" s="8">
        <f>Table3[[#This Row],[PrimaComercial Anual]]*Table3[[#This Row],[IT]]</f>
        <v>221.274</v>
      </c>
      <c r="AD143" s="8">
        <f>Table3[[#This Row],[PrimaComercial Anual]]*Table3[[#This Row],[IVA]]</f>
        <v>958.85400000000004</v>
      </c>
      <c r="AE143" s="15">
        <f>Table3[[#This Row],[PrimaComercial Anual Asistencia]]</f>
        <v>7375.8</v>
      </c>
      <c r="AG143">
        <v>7375.8</v>
      </c>
    </row>
    <row r="144" spans="1:33" x14ac:dyDescent="0.25">
      <c r="A144" t="s">
        <v>18</v>
      </c>
      <c r="B144">
        <v>70000</v>
      </c>
      <c r="C144">
        <v>42</v>
      </c>
      <c r="D144" s="2">
        <f>Table3[[#This Row],[PrimaTécnica]]-Table3[[#This Row],[PrimaTécnica]]*SUM(Table3[[#This Row],[Gastos Adm]:[Cobranza]])</f>
        <v>3251.9299389407988</v>
      </c>
      <c r="E144">
        <v>0</v>
      </c>
      <c r="F144">
        <v>0.15</v>
      </c>
      <c r="G144">
        <v>0.05</v>
      </c>
      <c r="H144">
        <v>0.01</v>
      </c>
      <c r="I144">
        <v>0.01</v>
      </c>
      <c r="J144" s="8">
        <f>Table3[[#This Row],[PrimaTécnica]]*Table3[[#This Row],[Gastos Adm]]</f>
        <v>625.37114210399977</v>
      </c>
      <c r="K144" s="8">
        <f>Table3[[#This Row],[PrimaTécnica]]*Table3[[#This Row],[Utilidad]]</f>
        <v>208.45704736799996</v>
      </c>
      <c r="L144" s="8">
        <f>Table3[[#This Row],[PrimaTécnica]]*Table3[[#This Row],[Marketing]]</f>
        <v>41.69140947359999</v>
      </c>
      <c r="M144" s="8">
        <f>Table3[[#This Row],[PrimaTécnica]]*Table3[[#This Row],[Cobranza]]</f>
        <v>41.69140947359999</v>
      </c>
      <c r="N14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4169.1409473599988</v>
      </c>
      <c r="O144">
        <v>21.84</v>
      </c>
      <c r="P144">
        <v>54.6</v>
      </c>
      <c r="Q144">
        <v>80.64</v>
      </c>
      <c r="R144">
        <v>44.377200000000002</v>
      </c>
      <c r="S144">
        <v>0.2</v>
      </c>
      <c r="T144">
        <v>0.02</v>
      </c>
      <c r="U144" s="8">
        <f>Table3[[#This Row],[PrimaNeta]]*Table3[[#This Row],[Comisión]]</f>
        <v>1092.6495368399999</v>
      </c>
      <c r="V144" s="15">
        <f>Table3[[#This Row],[PrimaComercial Anual]]-Table3[[#This Row],[PrimaComercial Anual]]*SUM(Table3[[#This Row],[APS]:[IVA]])</f>
        <v>5463.2476841999996</v>
      </c>
      <c r="W144" s="2">
        <v>1.4800000000000001E-2</v>
      </c>
      <c r="X144" s="2">
        <v>8.4501000000000007E-2</v>
      </c>
      <c r="Y144">
        <v>0.03</v>
      </c>
      <c r="Z144">
        <v>0.13</v>
      </c>
      <c r="AA144" s="20">
        <f>Table3[[#This Row],[APS]]*Table3[[#This Row],[PrimaComercial Anual]]</f>
        <v>109.16184000000001</v>
      </c>
      <c r="AB144" s="8">
        <f>Table3[[#This Row],[PrimaComercial Anual]]*Table3[[#This Row],[Recargo adicional]]</f>
        <v>623.26247580000006</v>
      </c>
      <c r="AC144" s="8">
        <f>Table3[[#This Row],[PrimaComercial Anual]]*Table3[[#This Row],[IT]]</f>
        <v>221.274</v>
      </c>
      <c r="AD144" s="8">
        <f>Table3[[#This Row],[PrimaComercial Anual]]*Table3[[#This Row],[IVA]]</f>
        <v>958.85400000000004</v>
      </c>
      <c r="AE144" s="15">
        <f>Table3[[#This Row],[PrimaComercial Anual Asistencia]]</f>
        <v>7375.8</v>
      </c>
      <c r="AG144">
        <v>7375.8</v>
      </c>
    </row>
    <row r="145" spans="1:33" x14ac:dyDescent="0.25">
      <c r="A145" t="s">
        <v>18</v>
      </c>
      <c r="B145">
        <v>70000</v>
      </c>
      <c r="C145">
        <v>43</v>
      </c>
      <c r="D145" s="2">
        <f>Table3[[#This Row],[PrimaTécnica]]-Table3[[#This Row],[PrimaTécnica]]*SUM(Table3[[#This Row],[Gastos Adm]:[Cobranza]])</f>
        <v>3251.9299389407988</v>
      </c>
      <c r="E145">
        <v>0</v>
      </c>
      <c r="F145">
        <v>0.15</v>
      </c>
      <c r="G145">
        <v>0.05</v>
      </c>
      <c r="H145">
        <v>0.01</v>
      </c>
      <c r="I145">
        <v>0.01</v>
      </c>
      <c r="J145" s="8">
        <f>Table3[[#This Row],[PrimaTécnica]]*Table3[[#This Row],[Gastos Adm]]</f>
        <v>625.37114210399977</v>
      </c>
      <c r="K145" s="8">
        <f>Table3[[#This Row],[PrimaTécnica]]*Table3[[#This Row],[Utilidad]]</f>
        <v>208.45704736799996</v>
      </c>
      <c r="L145" s="8">
        <f>Table3[[#This Row],[PrimaTécnica]]*Table3[[#This Row],[Marketing]]</f>
        <v>41.69140947359999</v>
      </c>
      <c r="M145" s="8">
        <f>Table3[[#This Row],[PrimaTécnica]]*Table3[[#This Row],[Cobranza]]</f>
        <v>41.69140947359999</v>
      </c>
      <c r="N14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4169.1409473599988</v>
      </c>
      <c r="O145">
        <v>21.84</v>
      </c>
      <c r="P145">
        <v>54.6</v>
      </c>
      <c r="Q145">
        <v>80.64</v>
      </c>
      <c r="R145">
        <v>44.377200000000002</v>
      </c>
      <c r="S145">
        <v>0.2</v>
      </c>
      <c r="T145">
        <v>0.02</v>
      </c>
      <c r="U145" s="8">
        <f>Table3[[#This Row],[PrimaNeta]]*Table3[[#This Row],[Comisión]]</f>
        <v>1092.6495368399999</v>
      </c>
      <c r="V145" s="15">
        <f>Table3[[#This Row],[PrimaComercial Anual]]-Table3[[#This Row],[PrimaComercial Anual]]*SUM(Table3[[#This Row],[APS]:[IVA]])</f>
        <v>5463.2476841999996</v>
      </c>
      <c r="W145" s="2">
        <v>1.4800000000000001E-2</v>
      </c>
      <c r="X145" s="2">
        <v>8.4501000000000007E-2</v>
      </c>
      <c r="Y145">
        <v>0.03</v>
      </c>
      <c r="Z145">
        <v>0.13</v>
      </c>
      <c r="AA145" s="20">
        <f>Table3[[#This Row],[APS]]*Table3[[#This Row],[PrimaComercial Anual]]</f>
        <v>109.16184000000001</v>
      </c>
      <c r="AB145" s="8">
        <f>Table3[[#This Row],[PrimaComercial Anual]]*Table3[[#This Row],[Recargo adicional]]</f>
        <v>623.26247580000006</v>
      </c>
      <c r="AC145" s="8">
        <f>Table3[[#This Row],[PrimaComercial Anual]]*Table3[[#This Row],[IT]]</f>
        <v>221.274</v>
      </c>
      <c r="AD145" s="8">
        <f>Table3[[#This Row],[PrimaComercial Anual]]*Table3[[#This Row],[IVA]]</f>
        <v>958.85400000000004</v>
      </c>
      <c r="AE145" s="15">
        <f>Table3[[#This Row],[PrimaComercial Anual Asistencia]]</f>
        <v>7375.8</v>
      </c>
      <c r="AG145">
        <v>7375.8</v>
      </c>
    </row>
    <row r="146" spans="1:33" x14ac:dyDescent="0.25">
      <c r="A146" t="s">
        <v>18</v>
      </c>
      <c r="B146">
        <v>70000</v>
      </c>
      <c r="C146">
        <v>44</v>
      </c>
      <c r="D146" s="2">
        <f>Table3[[#This Row],[PrimaTécnica]]-Table3[[#This Row],[PrimaTécnica]]*SUM(Table3[[#This Row],[Gastos Adm]:[Cobranza]])</f>
        <v>3251.9299389407988</v>
      </c>
      <c r="E146">
        <v>0</v>
      </c>
      <c r="F146">
        <v>0.15</v>
      </c>
      <c r="G146">
        <v>0.05</v>
      </c>
      <c r="H146">
        <v>0.01</v>
      </c>
      <c r="I146">
        <v>0.01</v>
      </c>
      <c r="J146" s="8">
        <f>Table3[[#This Row],[PrimaTécnica]]*Table3[[#This Row],[Gastos Adm]]</f>
        <v>625.37114210399977</v>
      </c>
      <c r="K146" s="8">
        <f>Table3[[#This Row],[PrimaTécnica]]*Table3[[#This Row],[Utilidad]]</f>
        <v>208.45704736799996</v>
      </c>
      <c r="L146" s="8">
        <f>Table3[[#This Row],[PrimaTécnica]]*Table3[[#This Row],[Marketing]]</f>
        <v>41.69140947359999</v>
      </c>
      <c r="M146" s="8">
        <f>Table3[[#This Row],[PrimaTécnica]]*Table3[[#This Row],[Cobranza]]</f>
        <v>41.69140947359999</v>
      </c>
      <c r="N14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4169.1409473599988</v>
      </c>
      <c r="O146">
        <v>21.84</v>
      </c>
      <c r="P146">
        <v>54.6</v>
      </c>
      <c r="Q146">
        <v>80.64</v>
      </c>
      <c r="R146">
        <v>44.377200000000002</v>
      </c>
      <c r="S146">
        <v>0.2</v>
      </c>
      <c r="T146">
        <v>0.02</v>
      </c>
      <c r="U146" s="8">
        <f>Table3[[#This Row],[PrimaNeta]]*Table3[[#This Row],[Comisión]]</f>
        <v>1092.6495368399999</v>
      </c>
      <c r="V146" s="15">
        <f>Table3[[#This Row],[PrimaComercial Anual]]-Table3[[#This Row],[PrimaComercial Anual]]*SUM(Table3[[#This Row],[APS]:[IVA]])</f>
        <v>5463.2476841999996</v>
      </c>
      <c r="W146" s="2">
        <v>1.4800000000000001E-2</v>
      </c>
      <c r="X146" s="2">
        <v>8.4501000000000007E-2</v>
      </c>
      <c r="Y146">
        <v>0.03</v>
      </c>
      <c r="Z146">
        <v>0.13</v>
      </c>
      <c r="AA146" s="20">
        <f>Table3[[#This Row],[APS]]*Table3[[#This Row],[PrimaComercial Anual]]</f>
        <v>109.16184000000001</v>
      </c>
      <c r="AB146" s="8">
        <f>Table3[[#This Row],[PrimaComercial Anual]]*Table3[[#This Row],[Recargo adicional]]</f>
        <v>623.26247580000006</v>
      </c>
      <c r="AC146" s="8">
        <f>Table3[[#This Row],[PrimaComercial Anual]]*Table3[[#This Row],[IT]]</f>
        <v>221.274</v>
      </c>
      <c r="AD146" s="8">
        <f>Table3[[#This Row],[PrimaComercial Anual]]*Table3[[#This Row],[IVA]]</f>
        <v>958.85400000000004</v>
      </c>
      <c r="AE146" s="15">
        <f>Table3[[#This Row],[PrimaComercial Anual Asistencia]]</f>
        <v>7375.8</v>
      </c>
      <c r="AG146">
        <v>7375.8</v>
      </c>
    </row>
    <row r="147" spans="1:33" x14ac:dyDescent="0.25">
      <c r="A147" t="s">
        <v>18</v>
      </c>
      <c r="B147">
        <v>70000</v>
      </c>
      <c r="C147">
        <v>45</v>
      </c>
      <c r="D147" s="2">
        <f>Table3[[#This Row],[PrimaTécnica]]-Table3[[#This Row],[PrimaTécnica]]*SUM(Table3[[#This Row],[Gastos Adm]:[Cobranza]])</f>
        <v>3251.9299389407988</v>
      </c>
      <c r="E147">
        <v>0</v>
      </c>
      <c r="F147">
        <v>0.15</v>
      </c>
      <c r="G147">
        <v>0.05</v>
      </c>
      <c r="H147">
        <v>0.01</v>
      </c>
      <c r="I147">
        <v>0.01</v>
      </c>
      <c r="J147" s="8">
        <f>Table3[[#This Row],[PrimaTécnica]]*Table3[[#This Row],[Gastos Adm]]</f>
        <v>625.37114210399977</v>
      </c>
      <c r="K147" s="8">
        <f>Table3[[#This Row],[PrimaTécnica]]*Table3[[#This Row],[Utilidad]]</f>
        <v>208.45704736799996</v>
      </c>
      <c r="L147" s="8">
        <f>Table3[[#This Row],[PrimaTécnica]]*Table3[[#This Row],[Marketing]]</f>
        <v>41.69140947359999</v>
      </c>
      <c r="M147" s="8">
        <f>Table3[[#This Row],[PrimaTécnica]]*Table3[[#This Row],[Cobranza]]</f>
        <v>41.69140947359999</v>
      </c>
      <c r="N14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4169.1409473599988</v>
      </c>
      <c r="O147">
        <v>21.84</v>
      </c>
      <c r="P147">
        <v>54.6</v>
      </c>
      <c r="Q147">
        <v>80.64</v>
      </c>
      <c r="R147">
        <v>44.377200000000002</v>
      </c>
      <c r="S147">
        <v>0.2</v>
      </c>
      <c r="T147">
        <v>0.02</v>
      </c>
      <c r="U147" s="8">
        <f>Table3[[#This Row],[PrimaNeta]]*Table3[[#This Row],[Comisión]]</f>
        <v>1092.6495368399999</v>
      </c>
      <c r="V147" s="15">
        <f>Table3[[#This Row],[PrimaComercial Anual]]-Table3[[#This Row],[PrimaComercial Anual]]*SUM(Table3[[#This Row],[APS]:[IVA]])</f>
        <v>5463.2476841999996</v>
      </c>
      <c r="W147" s="2">
        <v>1.4800000000000001E-2</v>
      </c>
      <c r="X147" s="2">
        <v>8.4501000000000007E-2</v>
      </c>
      <c r="Y147">
        <v>0.03</v>
      </c>
      <c r="Z147">
        <v>0.13</v>
      </c>
      <c r="AA147" s="20">
        <f>Table3[[#This Row],[APS]]*Table3[[#This Row],[PrimaComercial Anual]]</f>
        <v>109.16184000000001</v>
      </c>
      <c r="AB147" s="8">
        <f>Table3[[#This Row],[PrimaComercial Anual]]*Table3[[#This Row],[Recargo adicional]]</f>
        <v>623.26247580000006</v>
      </c>
      <c r="AC147" s="8">
        <f>Table3[[#This Row],[PrimaComercial Anual]]*Table3[[#This Row],[IT]]</f>
        <v>221.274</v>
      </c>
      <c r="AD147" s="8">
        <f>Table3[[#This Row],[PrimaComercial Anual]]*Table3[[#This Row],[IVA]]</f>
        <v>958.85400000000004</v>
      </c>
      <c r="AE147" s="15">
        <f>Table3[[#This Row],[PrimaComercial Anual Asistencia]]</f>
        <v>7375.8</v>
      </c>
      <c r="AG147">
        <v>7375.8</v>
      </c>
    </row>
    <row r="148" spans="1:33" x14ac:dyDescent="0.25">
      <c r="A148" t="s">
        <v>18</v>
      </c>
      <c r="B148">
        <v>70000</v>
      </c>
      <c r="C148">
        <v>46</v>
      </c>
      <c r="D148" s="2">
        <f>Table3[[#This Row],[PrimaTécnica]]-Table3[[#This Row],[PrimaTécnica]]*SUM(Table3[[#This Row],[Gastos Adm]:[Cobranza]])</f>
        <v>3251.9299389407988</v>
      </c>
      <c r="E148">
        <v>0</v>
      </c>
      <c r="F148">
        <v>0.15</v>
      </c>
      <c r="G148">
        <v>0.05</v>
      </c>
      <c r="H148">
        <v>0.01</v>
      </c>
      <c r="I148">
        <v>0.01</v>
      </c>
      <c r="J148" s="8">
        <f>Table3[[#This Row],[PrimaTécnica]]*Table3[[#This Row],[Gastos Adm]]</f>
        <v>625.37114210399977</v>
      </c>
      <c r="K148" s="8">
        <f>Table3[[#This Row],[PrimaTécnica]]*Table3[[#This Row],[Utilidad]]</f>
        <v>208.45704736799996</v>
      </c>
      <c r="L148" s="8">
        <f>Table3[[#This Row],[PrimaTécnica]]*Table3[[#This Row],[Marketing]]</f>
        <v>41.69140947359999</v>
      </c>
      <c r="M148" s="8">
        <f>Table3[[#This Row],[PrimaTécnica]]*Table3[[#This Row],[Cobranza]]</f>
        <v>41.69140947359999</v>
      </c>
      <c r="N14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4169.1409473599988</v>
      </c>
      <c r="O148">
        <v>21.84</v>
      </c>
      <c r="P148">
        <v>54.6</v>
      </c>
      <c r="Q148">
        <v>80.64</v>
      </c>
      <c r="R148">
        <v>44.377200000000002</v>
      </c>
      <c r="S148">
        <v>0.2</v>
      </c>
      <c r="T148">
        <v>0.02</v>
      </c>
      <c r="U148" s="8">
        <f>Table3[[#This Row],[PrimaNeta]]*Table3[[#This Row],[Comisión]]</f>
        <v>1092.6495368399999</v>
      </c>
      <c r="V148" s="15">
        <f>Table3[[#This Row],[PrimaComercial Anual]]-Table3[[#This Row],[PrimaComercial Anual]]*SUM(Table3[[#This Row],[APS]:[IVA]])</f>
        <v>5463.2476841999996</v>
      </c>
      <c r="W148" s="2">
        <v>1.4800000000000001E-2</v>
      </c>
      <c r="X148" s="2">
        <v>8.4501000000000007E-2</v>
      </c>
      <c r="Y148">
        <v>0.03</v>
      </c>
      <c r="Z148">
        <v>0.13</v>
      </c>
      <c r="AA148" s="20">
        <f>Table3[[#This Row],[APS]]*Table3[[#This Row],[PrimaComercial Anual]]</f>
        <v>109.16184000000001</v>
      </c>
      <c r="AB148" s="8">
        <f>Table3[[#This Row],[PrimaComercial Anual]]*Table3[[#This Row],[Recargo adicional]]</f>
        <v>623.26247580000006</v>
      </c>
      <c r="AC148" s="8">
        <f>Table3[[#This Row],[PrimaComercial Anual]]*Table3[[#This Row],[IT]]</f>
        <v>221.274</v>
      </c>
      <c r="AD148" s="8">
        <f>Table3[[#This Row],[PrimaComercial Anual]]*Table3[[#This Row],[IVA]]</f>
        <v>958.85400000000004</v>
      </c>
      <c r="AE148" s="15">
        <f>Table3[[#This Row],[PrimaComercial Anual Asistencia]]</f>
        <v>7375.8</v>
      </c>
      <c r="AG148">
        <v>7375.8</v>
      </c>
    </row>
    <row r="149" spans="1:33" x14ac:dyDescent="0.25">
      <c r="A149" t="s">
        <v>18</v>
      </c>
      <c r="B149">
        <v>70000</v>
      </c>
      <c r="C149">
        <v>47</v>
      </c>
      <c r="D149" s="2">
        <f>Table3[[#This Row],[PrimaTécnica]]-Table3[[#This Row],[PrimaTécnica]]*SUM(Table3[[#This Row],[Gastos Adm]:[Cobranza]])</f>
        <v>3251.9299389407988</v>
      </c>
      <c r="E149">
        <v>0</v>
      </c>
      <c r="F149">
        <v>0.15</v>
      </c>
      <c r="G149">
        <v>0.05</v>
      </c>
      <c r="H149">
        <v>0.01</v>
      </c>
      <c r="I149">
        <v>0.01</v>
      </c>
      <c r="J149" s="8">
        <f>Table3[[#This Row],[PrimaTécnica]]*Table3[[#This Row],[Gastos Adm]]</f>
        <v>625.37114210399977</v>
      </c>
      <c r="K149" s="8">
        <f>Table3[[#This Row],[PrimaTécnica]]*Table3[[#This Row],[Utilidad]]</f>
        <v>208.45704736799996</v>
      </c>
      <c r="L149" s="8">
        <f>Table3[[#This Row],[PrimaTécnica]]*Table3[[#This Row],[Marketing]]</f>
        <v>41.69140947359999</v>
      </c>
      <c r="M149" s="8">
        <f>Table3[[#This Row],[PrimaTécnica]]*Table3[[#This Row],[Cobranza]]</f>
        <v>41.69140947359999</v>
      </c>
      <c r="N14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4169.1409473599988</v>
      </c>
      <c r="O149">
        <v>21.84</v>
      </c>
      <c r="P149">
        <v>54.6</v>
      </c>
      <c r="Q149">
        <v>80.64</v>
      </c>
      <c r="R149">
        <v>44.377200000000002</v>
      </c>
      <c r="S149">
        <v>0.2</v>
      </c>
      <c r="T149">
        <v>0.02</v>
      </c>
      <c r="U149" s="8">
        <f>Table3[[#This Row],[PrimaNeta]]*Table3[[#This Row],[Comisión]]</f>
        <v>1092.6495368399999</v>
      </c>
      <c r="V149" s="15">
        <f>Table3[[#This Row],[PrimaComercial Anual]]-Table3[[#This Row],[PrimaComercial Anual]]*SUM(Table3[[#This Row],[APS]:[IVA]])</f>
        <v>5463.2476841999996</v>
      </c>
      <c r="W149" s="2">
        <v>1.4800000000000001E-2</v>
      </c>
      <c r="X149" s="2">
        <v>8.4501000000000007E-2</v>
      </c>
      <c r="Y149">
        <v>0.03</v>
      </c>
      <c r="Z149">
        <v>0.13</v>
      </c>
      <c r="AA149" s="20">
        <f>Table3[[#This Row],[APS]]*Table3[[#This Row],[PrimaComercial Anual]]</f>
        <v>109.16184000000001</v>
      </c>
      <c r="AB149" s="8">
        <f>Table3[[#This Row],[PrimaComercial Anual]]*Table3[[#This Row],[Recargo adicional]]</f>
        <v>623.26247580000006</v>
      </c>
      <c r="AC149" s="8">
        <f>Table3[[#This Row],[PrimaComercial Anual]]*Table3[[#This Row],[IT]]</f>
        <v>221.274</v>
      </c>
      <c r="AD149" s="8">
        <f>Table3[[#This Row],[PrimaComercial Anual]]*Table3[[#This Row],[IVA]]</f>
        <v>958.85400000000004</v>
      </c>
      <c r="AE149" s="15">
        <f>Table3[[#This Row],[PrimaComercial Anual Asistencia]]</f>
        <v>7375.8</v>
      </c>
      <c r="AG149">
        <v>7375.8</v>
      </c>
    </row>
    <row r="150" spans="1:33" x14ac:dyDescent="0.25">
      <c r="A150" t="s">
        <v>18</v>
      </c>
      <c r="B150">
        <v>70000</v>
      </c>
      <c r="C150">
        <v>48</v>
      </c>
      <c r="D150" s="2">
        <f>Table3[[#This Row],[PrimaTécnica]]-Table3[[#This Row],[PrimaTécnica]]*SUM(Table3[[#This Row],[Gastos Adm]:[Cobranza]])</f>
        <v>3251.9299389407988</v>
      </c>
      <c r="E150">
        <v>0</v>
      </c>
      <c r="F150">
        <v>0.15</v>
      </c>
      <c r="G150">
        <v>0.05</v>
      </c>
      <c r="H150">
        <v>0.01</v>
      </c>
      <c r="I150">
        <v>0.01</v>
      </c>
      <c r="J150" s="8">
        <f>Table3[[#This Row],[PrimaTécnica]]*Table3[[#This Row],[Gastos Adm]]</f>
        <v>625.37114210399977</v>
      </c>
      <c r="K150" s="8">
        <f>Table3[[#This Row],[PrimaTécnica]]*Table3[[#This Row],[Utilidad]]</f>
        <v>208.45704736799996</v>
      </c>
      <c r="L150" s="8">
        <f>Table3[[#This Row],[PrimaTécnica]]*Table3[[#This Row],[Marketing]]</f>
        <v>41.69140947359999</v>
      </c>
      <c r="M150" s="8">
        <f>Table3[[#This Row],[PrimaTécnica]]*Table3[[#This Row],[Cobranza]]</f>
        <v>41.69140947359999</v>
      </c>
      <c r="N15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4169.1409473599988</v>
      </c>
      <c r="O150">
        <v>21.84</v>
      </c>
      <c r="P150">
        <v>54.6</v>
      </c>
      <c r="Q150">
        <v>80.64</v>
      </c>
      <c r="R150">
        <v>44.377200000000002</v>
      </c>
      <c r="S150">
        <v>0.2</v>
      </c>
      <c r="T150">
        <v>0.02</v>
      </c>
      <c r="U150" s="8">
        <f>Table3[[#This Row],[PrimaNeta]]*Table3[[#This Row],[Comisión]]</f>
        <v>1092.6495368399999</v>
      </c>
      <c r="V150" s="15">
        <f>Table3[[#This Row],[PrimaComercial Anual]]-Table3[[#This Row],[PrimaComercial Anual]]*SUM(Table3[[#This Row],[APS]:[IVA]])</f>
        <v>5463.2476841999996</v>
      </c>
      <c r="W150" s="2">
        <v>1.4800000000000001E-2</v>
      </c>
      <c r="X150" s="2">
        <v>8.4501000000000007E-2</v>
      </c>
      <c r="Y150">
        <v>0.03</v>
      </c>
      <c r="Z150">
        <v>0.13</v>
      </c>
      <c r="AA150" s="20">
        <f>Table3[[#This Row],[APS]]*Table3[[#This Row],[PrimaComercial Anual]]</f>
        <v>109.16184000000001</v>
      </c>
      <c r="AB150" s="8">
        <f>Table3[[#This Row],[PrimaComercial Anual]]*Table3[[#This Row],[Recargo adicional]]</f>
        <v>623.26247580000006</v>
      </c>
      <c r="AC150" s="8">
        <f>Table3[[#This Row],[PrimaComercial Anual]]*Table3[[#This Row],[IT]]</f>
        <v>221.274</v>
      </c>
      <c r="AD150" s="8">
        <f>Table3[[#This Row],[PrimaComercial Anual]]*Table3[[#This Row],[IVA]]</f>
        <v>958.85400000000004</v>
      </c>
      <c r="AE150" s="15">
        <f>Table3[[#This Row],[PrimaComercial Anual Asistencia]]</f>
        <v>7375.8</v>
      </c>
      <c r="AG150">
        <v>7375.8</v>
      </c>
    </row>
    <row r="151" spans="1:33" x14ac:dyDescent="0.25">
      <c r="A151" t="s">
        <v>18</v>
      </c>
      <c r="B151">
        <v>70000</v>
      </c>
      <c r="C151">
        <v>49</v>
      </c>
      <c r="D151" s="2">
        <f>Table3[[#This Row],[PrimaTécnica]]-Table3[[#This Row],[PrimaTécnica]]*SUM(Table3[[#This Row],[Gastos Adm]:[Cobranza]])</f>
        <v>3251.9299389407988</v>
      </c>
      <c r="E151">
        <v>0</v>
      </c>
      <c r="F151">
        <v>0.15</v>
      </c>
      <c r="G151">
        <v>0.05</v>
      </c>
      <c r="H151">
        <v>0.01</v>
      </c>
      <c r="I151">
        <v>0.01</v>
      </c>
      <c r="J151" s="8">
        <f>Table3[[#This Row],[PrimaTécnica]]*Table3[[#This Row],[Gastos Adm]]</f>
        <v>625.37114210399977</v>
      </c>
      <c r="K151" s="8">
        <f>Table3[[#This Row],[PrimaTécnica]]*Table3[[#This Row],[Utilidad]]</f>
        <v>208.45704736799996</v>
      </c>
      <c r="L151" s="8">
        <f>Table3[[#This Row],[PrimaTécnica]]*Table3[[#This Row],[Marketing]]</f>
        <v>41.69140947359999</v>
      </c>
      <c r="M151" s="8">
        <f>Table3[[#This Row],[PrimaTécnica]]*Table3[[#This Row],[Cobranza]]</f>
        <v>41.69140947359999</v>
      </c>
      <c r="N15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4169.1409473599988</v>
      </c>
      <c r="O151">
        <v>21.84</v>
      </c>
      <c r="P151">
        <v>54.6</v>
      </c>
      <c r="Q151">
        <v>80.64</v>
      </c>
      <c r="R151">
        <v>44.377200000000002</v>
      </c>
      <c r="S151">
        <v>0.2</v>
      </c>
      <c r="T151">
        <v>0.02</v>
      </c>
      <c r="U151" s="8">
        <f>Table3[[#This Row],[PrimaNeta]]*Table3[[#This Row],[Comisión]]</f>
        <v>1092.6495368399999</v>
      </c>
      <c r="V151" s="15">
        <f>Table3[[#This Row],[PrimaComercial Anual]]-Table3[[#This Row],[PrimaComercial Anual]]*SUM(Table3[[#This Row],[APS]:[IVA]])</f>
        <v>5463.2476841999996</v>
      </c>
      <c r="W151" s="2">
        <v>1.4800000000000001E-2</v>
      </c>
      <c r="X151" s="2">
        <v>8.4501000000000007E-2</v>
      </c>
      <c r="Y151">
        <v>0.03</v>
      </c>
      <c r="Z151">
        <v>0.13</v>
      </c>
      <c r="AA151" s="20">
        <f>Table3[[#This Row],[APS]]*Table3[[#This Row],[PrimaComercial Anual]]</f>
        <v>109.16184000000001</v>
      </c>
      <c r="AB151" s="8">
        <f>Table3[[#This Row],[PrimaComercial Anual]]*Table3[[#This Row],[Recargo adicional]]</f>
        <v>623.26247580000006</v>
      </c>
      <c r="AC151" s="8">
        <f>Table3[[#This Row],[PrimaComercial Anual]]*Table3[[#This Row],[IT]]</f>
        <v>221.274</v>
      </c>
      <c r="AD151" s="8">
        <f>Table3[[#This Row],[PrimaComercial Anual]]*Table3[[#This Row],[IVA]]</f>
        <v>958.85400000000004</v>
      </c>
      <c r="AE151" s="15">
        <f>Table3[[#This Row],[PrimaComercial Anual Asistencia]]</f>
        <v>7375.8</v>
      </c>
      <c r="AG151">
        <v>7375.8</v>
      </c>
    </row>
    <row r="152" spans="1:33" x14ac:dyDescent="0.25">
      <c r="A152" t="s">
        <v>18</v>
      </c>
      <c r="B152">
        <v>70000</v>
      </c>
      <c r="C152">
        <v>50</v>
      </c>
      <c r="D152" s="2">
        <f>Table3[[#This Row],[PrimaTécnica]]-Table3[[#This Row],[PrimaTécnica]]*SUM(Table3[[#This Row],[Gastos Adm]:[Cobranza]])</f>
        <v>3546.9959776991986</v>
      </c>
      <c r="E152">
        <v>0</v>
      </c>
      <c r="F152">
        <v>0.15</v>
      </c>
      <c r="G152">
        <v>0.05</v>
      </c>
      <c r="H152">
        <v>0.01</v>
      </c>
      <c r="I152">
        <v>0.01</v>
      </c>
      <c r="J152" s="8">
        <f>Table3[[#This Row],[PrimaTécnica]]*Table3[[#This Row],[Gastos Adm]]</f>
        <v>682.11461109599975</v>
      </c>
      <c r="K152" s="8">
        <f>Table3[[#This Row],[PrimaTécnica]]*Table3[[#This Row],[Utilidad]]</f>
        <v>227.37153703199994</v>
      </c>
      <c r="L152" s="8">
        <f>Table3[[#This Row],[PrimaTécnica]]*Table3[[#This Row],[Marketing]]</f>
        <v>45.474307406399987</v>
      </c>
      <c r="M152" s="8">
        <f>Table3[[#This Row],[PrimaTécnica]]*Table3[[#This Row],[Cobranza]]</f>
        <v>45.474307406399987</v>
      </c>
      <c r="N15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4547.4307406399985</v>
      </c>
      <c r="O152">
        <v>21.84</v>
      </c>
      <c r="P152">
        <v>54.6</v>
      </c>
      <c r="Q152">
        <v>80.64</v>
      </c>
      <c r="R152">
        <v>44.377200000000002</v>
      </c>
      <c r="S152">
        <v>0.2</v>
      </c>
      <c r="T152">
        <v>0.02</v>
      </c>
      <c r="U152" s="8">
        <f>Table3[[#This Row],[PrimaNeta]]*Table3[[#This Row],[Comisión]]</f>
        <v>1187.22198516</v>
      </c>
      <c r="V152" s="15">
        <f>Table3[[#This Row],[PrimaComercial Anual]]-Table3[[#This Row],[PrimaComercial Anual]]*SUM(Table3[[#This Row],[APS]:[IVA]])</f>
        <v>5936.1099257999995</v>
      </c>
      <c r="W152" s="2">
        <v>1.4800000000000001E-2</v>
      </c>
      <c r="X152" s="2">
        <v>8.4501000000000007E-2</v>
      </c>
      <c r="Y152">
        <v>0.03</v>
      </c>
      <c r="Z152">
        <v>0.13</v>
      </c>
      <c r="AA152" s="20">
        <f>Table3[[#This Row],[APS]]*Table3[[#This Row],[PrimaComercial Anual]]</f>
        <v>118.61016000000001</v>
      </c>
      <c r="AB152" s="8">
        <f>Table3[[#This Row],[PrimaComercial Anual]]*Table3[[#This Row],[Recargo adicional]]</f>
        <v>677.2079142</v>
      </c>
      <c r="AC152" s="8">
        <f>Table3[[#This Row],[PrimaComercial Anual]]*Table3[[#This Row],[IT]]</f>
        <v>240.42599999999999</v>
      </c>
      <c r="AD152" s="8">
        <f>Table3[[#This Row],[PrimaComercial Anual]]*Table3[[#This Row],[IVA]]</f>
        <v>1041.846</v>
      </c>
      <c r="AE152" s="15">
        <f>Table3[[#This Row],[PrimaComercial Anual Asistencia]]</f>
        <v>8014.2</v>
      </c>
      <c r="AG152">
        <v>8014.2</v>
      </c>
    </row>
    <row r="153" spans="1:33" x14ac:dyDescent="0.25">
      <c r="A153" t="s">
        <v>18</v>
      </c>
      <c r="B153">
        <v>70000</v>
      </c>
      <c r="C153">
        <v>51</v>
      </c>
      <c r="D153" s="2">
        <f>Table3[[#This Row],[PrimaTécnica]]-Table3[[#This Row],[PrimaTécnica]]*SUM(Table3[[#This Row],[Gastos Adm]:[Cobranza]])</f>
        <v>3546.9959776991986</v>
      </c>
      <c r="E153">
        <v>0</v>
      </c>
      <c r="F153">
        <v>0.15</v>
      </c>
      <c r="G153">
        <v>0.05</v>
      </c>
      <c r="H153">
        <v>0.01</v>
      </c>
      <c r="I153">
        <v>0.01</v>
      </c>
      <c r="J153" s="8">
        <f>Table3[[#This Row],[PrimaTécnica]]*Table3[[#This Row],[Gastos Adm]]</f>
        <v>682.11461109599975</v>
      </c>
      <c r="K153" s="8">
        <f>Table3[[#This Row],[PrimaTécnica]]*Table3[[#This Row],[Utilidad]]</f>
        <v>227.37153703199994</v>
      </c>
      <c r="L153" s="8">
        <f>Table3[[#This Row],[PrimaTécnica]]*Table3[[#This Row],[Marketing]]</f>
        <v>45.474307406399987</v>
      </c>
      <c r="M153" s="8">
        <f>Table3[[#This Row],[PrimaTécnica]]*Table3[[#This Row],[Cobranza]]</f>
        <v>45.474307406399987</v>
      </c>
      <c r="N15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4547.4307406399985</v>
      </c>
      <c r="O153">
        <v>21.84</v>
      </c>
      <c r="P153">
        <v>54.6</v>
      </c>
      <c r="Q153">
        <v>80.64</v>
      </c>
      <c r="R153">
        <v>44.377200000000002</v>
      </c>
      <c r="S153">
        <v>0.2</v>
      </c>
      <c r="T153">
        <v>0.02</v>
      </c>
      <c r="U153" s="8">
        <f>Table3[[#This Row],[PrimaNeta]]*Table3[[#This Row],[Comisión]]</f>
        <v>1187.22198516</v>
      </c>
      <c r="V153" s="15">
        <f>Table3[[#This Row],[PrimaComercial Anual]]-Table3[[#This Row],[PrimaComercial Anual]]*SUM(Table3[[#This Row],[APS]:[IVA]])</f>
        <v>5936.1099257999995</v>
      </c>
      <c r="W153" s="2">
        <v>1.4800000000000001E-2</v>
      </c>
      <c r="X153" s="2">
        <v>8.4501000000000007E-2</v>
      </c>
      <c r="Y153">
        <v>0.03</v>
      </c>
      <c r="Z153">
        <v>0.13</v>
      </c>
      <c r="AA153" s="20">
        <f>Table3[[#This Row],[APS]]*Table3[[#This Row],[PrimaComercial Anual]]</f>
        <v>118.61016000000001</v>
      </c>
      <c r="AB153" s="8">
        <f>Table3[[#This Row],[PrimaComercial Anual]]*Table3[[#This Row],[Recargo adicional]]</f>
        <v>677.2079142</v>
      </c>
      <c r="AC153" s="8">
        <f>Table3[[#This Row],[PrimaComercial Anual]]*Table3[[#This Row],[IT]]</f>
        <v>240.42599999999999</v>
      </c>
      <c r="AD153" s="8">
        <f>Table3[[#This Row],[PrimaComercial Anual]]*Table3[[#This Row],[IVA]]</f>
        <v>1041.846</v>
      </c>
      <c r="AE153" s="15">
        <f>Table3[[#This Row],[PrimaComercial Anual Asistencia]]</f>
        <v>8014.2</v>
      </c>
      <c r="AG153">
        <v>8014.2</v>
      </c>
    </row>
    <row r="154" spans="1:33" x14ac:dyDescent="0.25">
      <c r="A154" t="s">
        <v>18</v>
      </c>
      <c r="B154">
        <v>70000</v>
      </c>
      <c r="C154">
        <v>52</v>
      </c>
      <c r="D154" s="2">
        <f>Table3[[#This Row],[PrimaTécnica]]-Table3[[#This Row],[PrimaTécnica]]*SUM(Table3[[#This Row],[Gastos Adm]:[Cobranza]])</f>
        <v>3546.9959776991986</v>
      </c>
      <c r="E154">
        <v>0</v>
      </c>
      <c r="F154">
        <v>0.15</v>
      </c>
      <c r="G154">
        <v>0.05</v>
      </c>
      <c r="H154">
        <v>0.01</v>
      </c>
      <c r="I154">
        <v>0.01</v>
      </c>
      <c r="J154" s="8">
        <f>Table3[[#This Row],[PrimaTécnica]]*Table3[[#This Row],[Gastos Adm]]</f>
        <v>682.11461109599975</v>
      </c>
      <c r="K154" s="8">
        <f>Table3[[#This Row],[PrimaTécnica]]*Table3[[#This Row],[Utilidad]]</f>
        <v>227.37153703199994</v>
      </c>
      <c r="L154" s="8">
        <f>Table3[[#This Row],[PrimaTécnica]]*Table3[[#This Row],[Marketing]]</f>
        <v>45.474307406399987</v>
      </c>
      <c r="M154" s="8">
        <f>Table3[[#This Row],[PrimaTécnica]]*Table3[[#This Row],[Cobranza]]</f>
        <v>45.474307406399987</v>
      </c>
      <c r="N15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4547.4307406399985</v>
      </c>
      <c r="O154">
        <v>21.84</v>
      </c>
      <c r="P154">
        <v>54.6</v>
      </c>
      <c r="Q154">
        <v>80.64</v>
      </c>
      <c r="R154">
        <v>44.377200000000002</v>
      </c>
      <c r="S154">
        <v>0.2</v>
      </c>
      <c r="T154">
        <v>0.02</v>
      </c>
      <c r="U154" s="8">
        <f>Table3[[#This Row],[PrimaNeta]]*Table3[[#This Row],[Comisión]]</f>
        <v>1187.22198516</v>
      </c>
      <c r="V154" s="15">
        <f>Table3[[#This Row],[PrimaComercial Anual]]-Table3[[#This Row],[PrimaComercial Anual]]*SUM(Table3[[#This Row],[APS]:[IVA]])</f>
        <v>5936.1099257999995</v>
      </c>
      <c r="W154" s="2">
        <v>1.4800000000000001E-2</v>
      </c>
      <c r="X154" s="2">
        <v>8.4501000000000007E-2</v>
      </c>
      <c r="Y154">
        <v>0.03</v>
      </c>
      <c r="Z154">
        <v>0.13</v>
      </c>
      <c r="AA154" s="20">
        <f>Table3[[#This Row],[APS]]*Table3[[#This Row],[PrimaComercial Anual]]</f>
        <v>118.61016000000001</v>
      </c>
      <c r="AB154" s="8">
        <f>Table3[[#This Row],[PrimaComercial Anual]]*Table3[[#This Row],[Recargo adicional]]</f>
        <v>677.2079142</v>
      </c>
      <c r="AC154" s="8">
        <f>Table3[[#This Row],[PrimaComercial Anual]]*Table3[[#This Row],[IT]]</f>
        <v>240.42599999999999</v>
      </c>
      <c r="AD154" s="8">
        <f>Table3[[#This Row],[PrimaComercial Anual]]*Table3[[#This Row],[IVA]]</f>
        <v>1041.846</v>
      </c>
      <c r="AE154" s="15">
        <f>Table3[[#This Row],[PrimaComercial Anual Asistencia]]</f>
        <v>8014.2</v>
      </c>
      <c r="AG154">
        <v>8014.2</v>
      </c>
    </row>
    <row r="155" spans="1:33" x14ac:dyDescent="0.25">
      <c r="A155" t="s">
        <v>18</v>
      </c>
      <c r="B155">
        <v>70000</v>
      </c>
      <c r="C155">
        <v>53</v>
      </c>
      <c r="D155" s="2">
        <f>Table3[[#This Row],[PrimaTécnica]]-Table3[[#This Row],[PrimaTécnica]]*SUM(Table3[[#This Row],[Gastos Adm]:[Cobranza]])</f>
        <v>3546.9959776991986</v>
      </c>
      <c r="E155">
        <v>0</v>
      </c>
      <c r="F155">
        <v>0.15</v>
      </c>
      <c r="G155">
        <v>0.05</v>
      </c>
      <c r="H155">
        <v>0.01</v>
      </c>
      <c r="I155">
        <v>0.01</v>
      </c>
      <c r="J155" s="8">
        <f>Table3[[#This Row],[PrimaTécnica]]*Table3[[#This Row],[Gastos Adm]]</f>
        <v>682.11461109599975</v>
      </c>
      <c r="K155" s="8">
        <f>Table3[[#This Row],[PrimaTécnica]]*Table3[[#This Row],[Utilidad]]</f>
        <v>227.37153703199994</v>
      </c>
      <c r="L155" s="8">
        <f>Table3[[#This Row],[PrimaTécnica]]*Table3[[#This Row],[Marketing]]</f>
        <v>45.474307406399987</v>
      </c>
      <c r="M155" s="8">
        <f>Table3[[#This Row],[PrimaTécnica]]*Table3[[#This Row],[Cobranza]]</f>
        <v>45.474307406399987</v>
      </c>
      <c r="N15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4547.4307406399985</v>
      </c>
      <c r="O155">
        <v>21.84</v>
      </c>
      <c r="P155">
        <v>54.6</v>
      </c>
      <c r="Q155">
        <v>80.64</v>
      </c>
      <c r="R155">
        <v>44.377200000000002</v>
      </c>
      <c r="S155">
        <v>0.2</v>
      </c>
      <c r="T155">
        <v>0.02</v>
      </c>
      <c r="U155" s="8">
        <f>Table3[[#This Row],[PrimaNeta]]*Table3[[#This Row],[Comisión]]</f>
        <v>1187.22198516</v>
      </c>
      <c r="V155" s="15">
        <f>Table3[[#This Row],[PrimaComercial Anual]]-Table3[[#This Row],[PrimaComercial Anual]]*SUM(Table3[[#This Row],[APS]:[IVA]])</f>
        <v>5936.1099257999995</v>
      </c>
      <c r="W155" s="2">
        <v>1.4800000000000001E-2</v>
      </c>
      <c r="X155" s="2">
        <v>8.4501000000000007E-2</v>
      </c>
      <c r="Y155">
        <v>0.03</v>
      </c>
      <c r="Z155">
        <v>0.13</v>
      </c>
      <c r="AA155" s="20">
        <f>Table3[[#This Row],[APS]]*Table3[[#This Row],[PrimaComercial Anual]]</f>
        <v>118.61016000000001</v>
      </c>
      <c r="AB155" s="8">
        <f>Table3[[#This Row],[PrimaComercial Anual]]*Table3[[#This Row],[Recargo adicional]]</f>
        <v>677.2079142</v>
      </c>
      <c r="AC155" s="8">
        <f>Table3[[#This Row],[PrimaComercial Anual]]*Table3[[#This Row],[IT]]</f>
        <v>240.42599999999999</v>
      </c>
      <c r="AD155" s="8">
        <f>Table3[[#This Row],[PrimaComercial Anual]]*Table3[[#This Row],[IVA]]</f>
        <v>1041.846</v>
      </c>
      <c r="AE155" s="15">
        <f>Table3[[#This Row],[PrimaComercial Anual Asistencia]]</f>
        <v>8014.2</v>
      </c>
      <c r="AG155">
        <v>8014.2</v>
      </c>
    </row>
    <row r="156" spans="1:33" x14ac:dyDescent="0.25">
      <c r="A156" t="s">
        <v>18</v>
      </c>
      <c r="B156">
        <v>70000</v>
      </c>
      <c r="C156">
        <v>54</v>
      </c>
      <c r="D156" s="2">
        <f>Table3[[#This Row],[PrimaTécnica]]-Table3[[#This Row],[PrimaTécnica]]*SUM(Table3[[#This Row],[Gastos Adm]:[Cobranza]])</f>
        <v>3546.9959776991986</v>
      </c>
      <c r="E156">
        <v>0</v>
      </c>
      <c r="F156">
        <v>0.15</v>
      </c>
      <c r="G156">
        <v>0.05</v>
      </c>
      <c r="H156">
        <v>0.01</v>
      </c>
      <c r="I156">
        <v>0.01</v>
      </c>
      <c r="J156" s="8">
        <f>Table3[[#This Row],[PrimaTécnica]]*Table3[[#This Row],[Gastos Adm]]</f>
        <v>682.11461109599975</v>
      </c>
      <c r="K156" s="8">
        <f>Table3[[#This Row],[PrimaTécnica]]*Table3[[#This Row],[Utilidad]]</f>
        <v>227.37153703199994</v>
      </c>
      <c r="L156" s="8">
        <f>Table3[[#This Row],[PrimaTécnica]]*Table3[[#This Row],[Marketing]]</f>
        <v>45.474307406399987</v>
      </c>
      <c r="M156" s="8">
        <f>Table3[[#This Row],[PrimaTécnica]]*Table3[[#This Row],[Cobranza]]</f>
        <v>45.474307406399987</v>
      </c>
      <c r="N15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4547.4307406399985</v>
      </c>
      <c r="O156">
        <v>21.84</v>
      </c>
      <c r="P156">
        <v>54.6</v>
      </c>
      <c r="Q156">
        <v>80.64</v>
      </c>
      <c r="R156">
        <v>44.377200000000002</v>
      </c>
      <c r="S156">
        <v>0.2</v>
      </c>
      <c r="T156">
        <v>0.02</v>
      </c>
      <c r="U156" s="8">
        <f>Table3[[#This Row],[PrimaNeta]]*Table3[[#This Row],[Comisión]]</f>
        <v>1187.22198516</v>
      </c>
      <c r="V156" s="15">
        <f>Table3[[#This Row],[PrimaComercial Anual]]-Table3[[#This Row],[PrimaComercial Anual]]*SUM(Table3[[#This Row],[APS]:[IVA]])</f>
        <v>5936.1099257999995</v>
      </c>
      <c r="W156" s="2">
        <v>1.4800000000000001E-2</v>
      </c>
      <c r="X156" s="2">
        <v>8.4501000000000007E-2</v>
      </c>
      <c r="Y156">
        <v>0.03</v>
      </c>
      <c r="Z156">
        <v>0.13</v>
      </c>
      <c r="AA156" s="20">
        <f>Table3[[#This Row],[APS]]*Table3[[#This Row],[PrimaComercial Anual]]</f>
        <v>118.61016000000001</v>
      </c>
      <c r="AB156" s="8">
        <f>Table3[[#This Row],[PrimaComercial Anual]]*Table3[[#This Row],[Recargo adicional]]</f>
        <v>677.2079142</v>
      </c>
      <c r="AC156" s="8">
        <f>Table3[[#This Row],[PrimaComercial Anual]]*Table3[[#This Row],[IT]]</f>
        <v>240.42599999999999</v>
      </c>
      <c r="AD156" s="8">
        <f>Table3[[#This Row],[PrimaComercial Anual]]*Table3[[#This Row],[IVA]]</f>
        <v>1041.846</v>
      </c>
      <c r="AE156" s="15">
        <f>Table3[[#This Row],[PrimaComercial Anual Asistencia]]</f>
        <v>8014.2</v>
      </c>
      <c r="AG156">
        <v>8014.2</v>
      </c>
    </row>
    <row r="157" spans="1:33" x14ac:dyDescent="0.25">
      <c r="A157" t="s">
        <v>18</v>
      </c>
      <c r="B157">
        <v>70000</v>
      </c>
      <c r="C157">
        <v>55</v>
      </c>
      <c r="D157" s="2">
        <f>Table3[[#This Row],[PrimaTécnica]]-Table3[[#This Row],[PrimaTécnica]]*SUM(Table3[[#This Row],[Gastos Adm]:[Cobranza]])</f>
        <v>3546.9959776991986</v>
      </c>
      <c r="E157">
        <v>0</v>
      </c>
      <c r="F157">
        <v>0.15</v>
      </c>
      <c r="G157">
        <v>0.05</v>
      </c>
      <c r="H157">
        <v>0.01</v>
      </c>
      <c r="I157">
        <v>0.01</v>
      </c>
      <c r="J157" s="8">
        <f>Table3[[#This Row],[PrimaTécnica]]*Table3[[#This Row],[Gastos Adm]]</f>
        <v>682.11461109599975</v>
      </c>
      <c r="K157" s="8">
        <f>Table3[[#This Row],[PrimaTécnica]]*Table3[[#This Row],[Utilidad]]</f>
        <v>227.37153703199994</v>
      </c>
      <c r="L157" s="8">
        <f>Table3[[#This Row],[PrimaTécnica]]*Table3[[#This Row],[Marketing]]</f>
        <v>45.474307406399987</v>
      </c>
      <c r="M157" s="8">
        <f>Table3[[#This Row],[PrimaTécnica]]*Table3[[#This Row],[Cobranza]]</f>
        <v>45.474307406399987</v>
      </c>
      <c r="N15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4547.4307406399985</v>
      </c>
      <c r="O157">
        <v>21.84</v>
      </c>
      <c r="P157">
        <v>54.6</v>
      </c>
      <c r="Q157">
        <v>80.64</v>
      </c>
      <c r="R157">
        <v>44.377200000000002</v>
      </c>
      <c r="S157">
        <v>0.2</v>
      </c>
      <c r="T157">
        <v>0.02</v>
      </c>
      <c r="U157" s="8">
        <f>Table3[[#This Row],[PrimaNeta]]*Table3[[#This Row],[Comisión]]</f>
        <v>1187.22198516</v>
      </c>
      <c r="V157" s="15">
        <f>Table3[[#This Row],[PrimaComercial Anual]]-Table3[[#This Row],[PrimaComercial Anual]]*SUM(Table3[[#This Row],[APS]:[IVA]])</f>
        <v>5936.1099257999995</v>
      </c>
      <c r="W157" s="2">
        <v>1.4800000000000001E-2</v>
      </c>
      <c r="X157" s="2">
        <v>8.4501000000000007E-2</v>
      </c>
      <c r="Y157">
        <v>0.03</v>
      </c>
      <c r="Z157">
        <v>0.13</v>
      </c>
      <c r="AA157" s="20">
        <f>Table3[[#This Row],[APS]]*Table3[[#This Row],[PrimaComercial Anual]]</f>
        <v>118.61016000000001</v>
      </c>
      <c r="AB157" s="8">
        <f>Table3[[#This Row],[PrimaComercial Anual]]*Table3[[#This Row],[Recargo adicional]]</f>
        <v>677.2079142</v>
      </c>
      <c r="AC157" s="8">
        <f>Table3[[#This Row],[PrimaComercial Anual]]*Table3[[#This Row],[IT]]</f>
        <v>240.42599999999999</v>
      </c>
      <c r="AD157" s="8">
        <f>Table3[[#This Row],[PrimaComercial Anual]]*Table3[[#This Row],[IVA]]</f>
        <v>1041.846</v>
      </c>
      <c r="AE157" s="15">
        <f>Table3[[#This Row],[PrimaComercial Anual Asistencia]]</f>
        <v>8014.2</v>
      </c>
      <c r="AG157">
        <v>8014.2</v>
      </c>
    </row>
    <row r="158" spans="1:33" x14ac:dyDescent="0.25">
      <c r="A158" t="s">
        <v>18</v>
      </c>
      <c r="B158">
        <v>70000</v>
      </c>
      <c r="C158">
        <v>56</v>
      </c>
      <c r="D158" s="2">
        <f>Table3[[#This Row],[PrimaTécnica]]-Table3[[#This Row],[PrimaTécnica]]*SUM(Table3[[#This Row],[Gastos Adm]:[Cobranza]])</f>
        <v>4063.3615455263989</v>
      </c>
      <c r="E158">
        <v>0</v>
      </c>
      <c r="F158">
        <v>0.15</v>
      </c>
      <c r="G158">
        <v>0.05</v>
      </c>
      <c r="H158">
        <v>0.01</v>
      </c>
      <c r="I158">
        <v>0.01</v>
      </c>
      <c r="J158" s="8">
        <f>Table3[[#This Row],[PrimaTécnica]]*Table3[[#This Row],[Gastos Adm]]</f>
        <v>781.41568183199979</v>
      </c>
      <c r="K158" s="8">
        <f>Table3[[#This Row],[PrimaTécnica]]*Table3[[#This Row],[Utilidad]]</f>
        <v>260.47189394399993</v>
      </c>
      <c r="L158" s="8">
        <f>Table3[[#This Row],[PrimaTécnica]]*Table3[[#This Row],[Marketing]]</f>
        <v>52.094378788799986</v>
      </c>
      <c r="M158" s="8">
        <f>Table3[[#This Row],[PrimaTécnica]]*Table3[[#This Row],[Cobranza]]</f>
        <v>52.094378788799986</v>
      </c>
      <c r="N15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5209.4378788799986</v>
      </c>
      <c r="O158">
        <v>21.84</v>
      </c>
      <c r="P158">
        <v>54.6</v>
      </c>
      <c r="Q158">
        <v>80.64</v>
      </c>
      <c r="R158">
        <v>44.377200000000002</v>
      </c>
      <c r="S158">
        <v>0.2</v>
      </c>
      <c r="T158">
        <v>0.02</v>
      </c>
      <c r="U158" s="8">
        <f>Table3[[#This Row],[PrimaNeta]]*Table3[[#This Row],[Comisión]]</f>
        <v>1352.7237697199998</v>
      </c>
      <c r="V158" s="15">
        <f>Table3[[#This Row],[PrimaComercial Anual]]-Table3[[#This Row],[PrimaComercial Anual]]*SUM(Table3[[#This Row],[APS]:[IVA]])</f>
        <v>6763.6188485999992</v>
      </c>
      <c r="W158" s="2">
        <v>1.4800000000000001E-2</v>
      </c>
      <c r="X158" s="2">
        <v>8.4501000000000007E-2</v>
      </c>
      <c r="Y158">
        <v>0.03</v>
      </c>
      <c r="Z158">
        <v>0.13</v>
      </c>
      <c r="AA158" s="20">
        <f>Table3[[#This Row],[APS]]*Table3[[#This Row],[PrimaComercial Anual]]</f>
        <v>135.14472000000001</v>
      </c>
      <c r="AB158" s="8">
        <f>Table3[[#This Row],[PrimaComercial Anual]]*Table3[[#This Row],[Recargo adicional]]</f>
        <v>771.61243139999999</v>
      </c>
      <c r="AC158" s="8">
        <f>Table3[[#This Row],[PrimaComercial Anual]]*Table3[[#This Row],[IT]]</f>
        <v>273.94200000000001</v>
      </c>
      <c r="AD158" s="8">
        <f>Table3[[#This Row],[PrimaComercial Anual]]*Table3[[#This Row],[IVA]]</f>
        <v>1187.0819999999999</v>
      </c>
      <c r="AE158" s="15">
        <f>Table3[[#This Row],[PrimaComercial Anual Asistencia]]</f>
        <v>9131.4</v>
      </c>
      <c r="AG158">
        <v>9131.4</v>
      </c>
    </row>
    <row r="159" spans="1:33" x14ac:dyDescent="0.25">
      <c r="A159" t="s">
        <v>18</v>
      </c>
      <c r="B159">
        <v>70000</v>
      </c>
      <c r="C159">
        <v>57</v>
      </c>
      <c r="D159" s="2">
        <f>Table3[[#This Row],[PrimaTécnica]]-Table3[[#This Row],[PrimaTécnica]]*SUM(Table3[[#This Row],[Gastos Adm]:[Cobranza]])</f>
        <v>4063.3615455263989</v>
      </c>
      <c r="E159">
        <v>0</v>
      </c>
      <c r="F159">
        <v>0.15</v>
      </c>
      <c r="G159">
        <v>0.05</v>
      </c>
      <c r="H159">
        <v>0.01</v>
      </c>
      <c r="I159">
        <v>0.01</v>
      </c>
      <c r="J159" s="8">
        <f>Table3[[#This Row],[PrimaTécnica]]*Table3[[#This Row],[Gastos Adm]]</f>
        <v>781.41568183199979</v>
      </c>
      <c r="K159" s="8">
        <f>Table3[[#This Row],[PrimaTécnica]]*Table3[[#This Row],[Utilidad]]</f>
        <v>260.47189394399993</v>
      </c>
      <c r="L159" s="8">
        <f>Table3[[#This Row],[PrimaTécnica]]*Table3[[#This Row],[Marketing]]</f>
        <v>52.094378788799986</v>
      </c>
      <c r="M159" s="8">
        <f>Table3[[#This Row],[PrimaTécnica]]*Table3[[#This Row],[Cobranza]]</f>
        <v>52.094378788799986</v>
      </c>
      <c r="N15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5209.4378788799986</v>
      </c>
      <c r="O159">
        <v>21.84</v>
      </c>
      <c r="P159">
        <v>54.6</v>
      </c>
      <c r="Q159">
        <v>80.64</v>
      </c>
      <c r="R159">
        <v>44.377200000000002</v>
      </c>
      <c r="S159">
        <v>0.2</v>
      </c>
      <c r="T159">
        <v>0.02</v>
      </c>
      <c r="U159" s="8">
        <f>Table3[[#This Row],[PrimaNeta]]*Table3[[#This Row],[Comisión]]</f>
        <v>1352.7237697199998</v>
      </c>
      <c r="V159" s="15">
        <f>Table3[[#This Row],[PrimaComercial Anual]]-Table3[[#This Row],[PrimaComercial Anual]]*SUM(Table3[[#This Row],[APS]:[IVA]])</f>
        <v>6763.6188485999992</v>
      </c>
      <c r="W159" s="2">
        <v>1.4800000000000001E-2</v>
      </c>
      <c r="X159" s="2">
        <v>8.4501000000000007E-2</v>
      </c>
      <c r="Y159">
        <v>0.03</v>
      </c>
      <c r="Z159">
        <v>0.13</v>
      </c>
      <c r="AA159" s="20">
        <f>Table3[[#This Row],[APS]]*Table3[[#This Row],[PrimaComercial Anual]]</f>
        <v>135.14472000000001</v>
      </c>
      <c r="AB159" s="8">
        <f>Table3[[#This Row],[PrimaComercial Anual]]*Table3[[#This Row],[Recargo adicional]]</f>
        <v>771.61243139999999</v>
      </c>
      <c r="AC159" s="8">
        <f>Table3[[#This Row],[PrimaComercial Anual]]*Table3[[#This Row],[IT]]</f>
        <v>273.94200000000001</v>
      </c>
      <c r="AD159" s="8">
        <f>Table3[[#This Row],[PrimaComercial Anual]]*Table3[[#This Row],[IVA]]</f>
        <v>1187.0819999999999</v>
      </c>
      <c r="AE159" s="15">
        <f>Table3[[#This Row],[PrimaComercial Anual Asistencia]]</f>
        <v>9131.4</v>
      </c>
      <c r="AG159">
        <v>9131.4</v>
      </c>
    </row>
    <row r="160" spans="1:33" x14ac:dyDescent="0.25">
      <c r="A160" t="s">
        <v>18</v>
      </c>
      <c r="B160">
        <v>70000</v>
      </c>
      <c r="C160">
        <v>58</v>
      </c>
      <c r="D160" s="2">
        <f>Table3[[#This Row],[PrimaTécnica]]-Table3[[#This Row],[PrimaTécnica]]*SUM(Table3[[#This Row],[Gastos Adm]:[Cobranza]])</f>
        <v>4063.3615455263989</v>
      </c>
      <c r="E160">
        <v>0</v>
      </c>
      <c r="F160">
        <v>0.15</v>
      </c>
      <c r="G160">
        <v>0.05</v>
      </c>
      <c r="H160">
        <v>0.01</v>
      </c>
      <c r="I160">
        <v>0.01</v>
      </c>
      <c r="J160" s="8">
        <f>Table3[[#This Row],[PrimaTécnica]]*Table3[[#This Row],[Gastos Adm]]</f>
        <v>781.41568183199979</v>
      </c>
      <c r="K160" s="8">
        <f>Table3[[#This Row],[PrimaTécnica]]*Table3[[#This Row],[Utilidad]]</f>
        <v>260.47189394399993</v>
      </c>
      <c r="L160" s="8">
        <f>Table3[[#This Row],[PrimaTécnica]]*Table3[[#This Row],[Marketing]]</f>
        <v>52.094378788799986</v>
      </c>
      <c r="M160" s="8">
        <f>Table3[[#This Row],[PrimaTécnica]]*Table3[[#This Row],[Cobranza]]</f>
        <v>52.094378788799986</v>
      </c>
      <c r="N16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5209.4378788799986</v>
      </c>
      <c r="O160">
        <v>21.84</v>
      </c>
      <c r="P160">
        <v>54.6</v>
      </c>
      <c r="Q160">
        <v>80.64</v>
      </c>
      <c r="R160">
        <v>44.377200000000002</v>
      </c>
      <c r="S160">
        <v>0.2</v>
      </c>
      <c r="T160">
        <v>0.02</v>
      </c>
      <c r="U160" s="8">
        <f>Table3[[#This Row],[PrimaNeta]]*Table3[[#This Row],[Comisión]]</f>
        <v>1352.7237697199998</v>
      </c>
      <c r="V160" s="15">
        <f>Table3[[#This Row],[PrimaComercial Anual]]-Table3[[#This Row],[PrimaComercial Anual]]*SUM(Table3[[#This Row],[APS]:[IVA]])</f>
        <v>6763.6188485999992</v>
      </c>
      <c r="W160" s="2">
        <v>1.4800000000000001E-2</v>
      </c>
      <c r="X160" s="2">
        <v>8.4501000000000007E-2</v>
      </c>
      <c r="Y160">
        <v>0.03</v>
      </c>
      <c r="Z160">
        <v>0.13</v>
      </c>
      <c r="AA160" s="20">
        <f>Table3[[#This Row],[APS]]*Table3[[#This Row],[PrimaComercial Anual]]</f>
        <v>135.14472000000001</v>
      </c>
      <c r="AB160" s="8">
        <f>Table3[[#This Row],[PrimaComercial Anual]]*Table3[[#This Row],[Recargo adicional]]</f>
        <v>771.61243139999999</v>
      </c>
      <c r="AC160" s="8">
        <f>Table3[[#This Row],[PrimaComercial Anual]]*Table3[[#This Row],[IT]]</f>
        <v>273.94200000000001</v>
      </c>
      <c r="AD160" s="8">
        <f>Table3[[#This Row],[PrimaComercial Anual]]*Table3[[#This Row],[IVA]]</f>
        <v>1187.0819999999999</v>
      </c>
      <c r="AE160" s="15">
        <f>Table3[[#This Row],[PrimaComercial Anual Asistencia]]</f>
        <v>9131.4</v>
      </c>
      <c r="AG160">
        <v>9131.4</v>
      </c>
    </row>
    <row r="161" spans="1:33" x14ac:dyDescent="0.25">
      <c r="A161" t="s">
        <v>18</v>
      </c>
      <c r="B161">
        <v>70000</v>
      </c>
      <c r="C161">
        <v>59</v>
      </c>
      <c r="D161" s="2">
        <f>Table3[[#This Row],[PrimaTécnica]]-Table3[[#This Row],[PrimaTécnica]]*SUM(Table3[[#This Row],[Gastos Adm]:[Cobranza]])</f>
        <v>4063.3615455263989</v>
      </c>
      <c r="E161">
        <v>0</v>
      </c>
      <c r="F161">
        <v>0.15</v>
      </c>
      <c r="G161">
        <v>0.05</v>
      </c>
      <c r="H161">
        <v>0.01</v>
      </c>
      <c r="I161">
        <v>0.01</v>
      </c>
      <c r="J161" s="8">
        <f>Table3[[#This Row],[PrimaTécnica]]*Table3[[#This Row],[Gastos Adm]]</f>
        <v>781.41568183199979</v>
      </c>
      <c r="K161" s="8">
        <f>Table3[[#This Row],[PrimaTécnica]]*Table3[[#This Row],[Utilidad]]</f>
        <v>260.47189394399993</v>
      </c>
      <c r="L161" s="8">
        <f>Table3[[#This Row],[PrimaTécnica]]*Table3[[#This Row],[Marketing]]</f>
        <v>52.094378788799986</v>
      </c>
      <c r="M161" s="8">
        <f>Table3[[#This Row],[PrimaTécnica]]*Table3[[#This Row],[Cobranza]]</f>
        <v>52.094378788799986</v>
      </c>
      <c r="N16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5209.4378788799986</v>
      </c>
      <c r="O161">
        <v>21.84</v>
      </c>
      <c r="P161">
        <v>54.6</v>
      </c>
      <c r="Q161">
        <v>80.64</v>
      </c>
      <c r="R161">
        <v>44.377200000000002</v>
      </c>
      <c r="S161">
        <v>0.2</v>
      </c>
      <c r="T161">
        <v>0.02</v>
      </c>
      <c r="U161" s="8">
        <f>Table3[[#This Row],[PrimaNeta]]*Table3[[#This Row],[Comisión]]</f>
        <v>1352.7237697199998</v>
      </c>
      <c r="V161" s="15">
        <f>Table3[[#This Row],[PrimaComercial Anual]]-Table3[[#This Row],[PrimaComercial Anual]]*SUM(Table3[[#This Row],[APS]:[IVA]])</f>
        <v>6763.6188485999992</v>
      </c>
      <c r="W161" s="2">
        <v>1.4800000000000001E-2</v>
      </c>
      <c r="X161" s="2">
        <v>8.4501000000000007E-2</v>
      </c>
      <c r="Y161">
        <v>0.03</v>
      </c>
      <c r="Z161">
        <v>0.13</v>
      </c>
      <c r="AA161" s="20">
        <f>Table3[[#This Row],[APS]]*Table3[[#This Row],[PrimaComercial Anual]]</f>
        <v>135.14472000000001</v>
      </c>
      <c r="AB161" s="8">
        <f>Table3[[#This Row],[PrimaComercial Anual]]*Table3[[#This Row],[Recargo adicional]]</f>
        <v>771.61243139999999</v>
      </c>
      <c r="AC161" s="8">
        <f>Table3[[#This Row],[PrimaComercial Anual]]*Table3[[#This Row],[IT]]</f>
        <v>273.94200000000001</v>
      </c>
      <c r="AD161" s="8">
        <f>Table3[[#This Row],[PrimaComercial Anual]]*Table3[[#This Row],[IVA]]</f>
        <v>1187.0819999999999</v>
      </c>
      <c r="AE161" s="15">
        <f>Table3[[#This Row],[PrimaComercial Anual Asistencia]]</f>
        <v>9131.4</v>
      </c>
      <c r="AG161">
        <v>9131.4</v>
      </c>
    </row>
    <row r="162" spans="1:33" x14ac:dyDescent="0.25">
      <c r="A162" t="s">
        <v>18</v>
      </c>
      <c r="B162">
        <v>70000</v>
      </c>
      <c r="C162">
        <v>60</v>
      </c>
      <c r="D162" s="2">
        <f>Table3[[#This Row],[PrimaTécnica]]-Table3[[#This Row],[PrimaTécnica]]*SUM(Table3[[#This Row],[Gastos Adm]:[Cobranza]])</f>
        <v>6977.1386782655991</v>
      </c>
      <c r="E162">
        <v>0</v>
      </c>
      <c r="F162">
        <v>0.15</v>
      </c>
      <c r="G162">
        <v>0.05</v>
      </c>
      <c r="H162">
        <v>0.01</v>
      </c>
      <c r="I162">
        <v>0.01</v>
      </c>
      <c r="J162" s="8">
        <f>Table3[[#This Row],[PrimaTécnica]]*Table3[[#This Row],[Gastos Adm]]</f>
        <v>1341.7574381279999</v>
      </c>
      <c r="K162" s="8">
        <f>Table3[[#This Row],[PrimaTécnica]]*Table3[[#This Row],[Utilidad]]</f>
        <v>447.252479376</v>
      </c>
      <c r="L162" s="8">
        <f>Table3[[#This Row],[PrimaTécnica]]*Table3[[#This Row],[Marketing]]</f>
        <v>89.450495875199991</v>
      </c>
      <c r="M162" s="8">
        <f>Table3[[#This Row],[PrimaTécnica]]*Table3[[#This Row],[Cobranza]]</f>
        <v>89.450495875199991</v>
      </c>
      <c r="N16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8945.0495875199995</v>
      </c>
      <c r="O162">
        <v>21.84</v>
      </c>
      <c r="P162">
        <v>54.6</v>
      </c>
      <c r="Q162">
        <v>80.64</v>
      </c>
      <c r="R162">
        <v>44.377200000000002</v>
      </c>
      <c r="S162">
        <v>0.2</v>
      </c>
      <c r="T162">
        <v>0.02</v>
      </c>
      <c r="U162" s="8">
        <f>Table3[[#This Row],[PrimaNeta]]*Table3[[#This Row],[Comisión]]</f>
        <v>2286.6266968800005</v>
      </c>
      <c r="V162" s="15">
        <f>Table3[[#This Row],[PrimaComercial Anual]]-Table3[[#This Row],[PrimaComercial Anual]]*SUM(Table3[[#This Row],[APS]:[IVA]])</f>
        <v>11433.133484400001</v>
      </c>
      <c r="W162" s="2">
        <v>1.4800000000000001E-2</v>
      </c>
      <c r="X162" s="2">
        <v>8.4501000000000007E-2</v>
      </c>
      <c r="Y162">
        <v>0.03</v>
      </c>
      <c r="Z162">
        <v>0.13</v>
      </c>
      <c r="AA162" s="20">
        <f>Table3[[#This Row],[APS]]*Table3[[#This Row],[PrimaComercial Anual]]</f>
        <v>228.44688000000002</v>
      </c>
      <c r="AB162" s="8">
        <f>Table3[[#This Row],[PrimaComercial Anual]]*Table3[[#This Row],[Recargo adicional]]</f>
        <v>1304.3236356000002</v>
      </c>
      <c r="AC162" s="8">
        <f>Table3[[#This Row],[PrimaComercial Anual]]*Table3[[#This Row],[IT]]</f>
        <v>463.06799999999998</v>
      </c>
      <c r="AD162" s="8">
        <f>Table3[[#This Row],[PrimaComercial Anual]]*Table3[[#This Row],[IVA]]</f>
        <v>2006.6280000000002</v>
      </c>
      <c r="AE162" s="15">
        <f>Table3[[#This Row],[PrimaComercial Anual Asistencia]]</f>
        <v>15435.6</v>
      </c>
      <c r="AG162">
        <v>15435.6</v>
      </c>
    </row>
    <row r="163" spans="1:33" x14ac:dyDescent="0.25">
      <c r="A163" t="s">
        <v>18</v>
      </c>
      <c r="B163">
        <v>70000</v>
      </c>
      <c r="C163">
        <v>61</v>
      </c>
      <c r="D163" s="2">
        <f>Table3[[#This Row],[PrimaTécnica]]-Table3[[#This Row],[PrimaTécnica]]*SUM(Table3[[#This Row],[Gastos Adm]:[Cobranza]])</f>
        <v>6977.1386782655991</v>
      </c>
      <c r="E163">
        <v>0</v>
      </c>
      <c r="F163">
        <v>0.15</v>
      </c>
      <c r="G163">
        <v>0.05</v>
      </c>
      <c r="H163">
        <v>0.01</v>
      </c>
      <c r="I163">
        <v>0.01</v>
      </c>
      <c r="J163" s="8">
        <f>Table3[[#This Row],[PrimaTécnica]]*Table3[[#This Row],[Gastos Adm]]</f>
        <v>1341.7574381279999</v>
      </c>
      <c r="K163" s="8">
        <f>Table3[[#This Row],[PrimaTécnica]]*Table3[[#This Row],[Utilidad]]</f>
        <v>447.252479376</v>
      </c>
      <c r="L163" s="8">
        <f>Table3[[#This Row],[PrimaTécnica]]*Table3[[#This Row],[Marketing]]</f>
        <v>89.450495875199991</v>
      </c>
      <c r="M163" s="8">
        <f>Table3[[#This Row],[PrimaTécnica]]*Table3[[#This Row],[Cobranza]]</f>
        <v>89.450495875199991</v>
      </c>
      <c r="N16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8945.0495875199995</v>
      </c>
      <c r="O163">
        <v>21.84</v>
      </c>
      <c r="P163">
        <v>54.6</v>
      </c>
      <c r="Q163">
        <v>80.64</v>
      </c>
      <c r="R163">
        <v>44.377200000000002</v>
      </c>
      <c r="S163">
        <v>0.2</v>
      </c>
      <c r="T163">
        <v>0.02</v>
      </c>
      <c r="U163" s="8">
        <f>Table3[[#This Row],[PrimaNeta]]*Table3[[#This Row],[Comisión]]</f>
        <v>2286.6266968800005</v>
      </c>
      <c r="V163" s="15">
        <f>Table3[[#This Row],[PrimaComercial Anual]]-Table3[[#This Row],[PrimaComercial Anual]]*SUM(Table3[[#This Row],[APS]:[IVA]])</f>
        <v>11433.133484400001</v>
      </c>
      <c r="W163" s="2">
        <v>1.4800000000000001E-2</v>
      </c>
      <c r="X163" s="2">
        <v>8.4501000000000007E-2</v>
      </c>
      <c r="Y163">
        <v>0.03</v>
      </c>
      <c r="Z163">
        <v>0.13</v>
      </c>
      <c r="AA163" s="20">
        <f>Table3[[#This Row],[APS]]*Table3[[#This Row],[PrimaComercial Anual]]</f>
        <v>228.44688000000002</v>
      </c>
      <c r="AB163" s="8">
        <f>Table3[[#This Row],[PrimaComercial Anual]]*Table3[[#This Row],[Recargo adicional]]</f>
        <v>1304.3236356000002</v>
      </c>
      <c r="AC163" s="8">
        <f>Table3[[#This Row],[PrimaComercial Anual]]*Table3[[#This Row],[IT]]</f>
        <v>463.06799999999998</v>
      </c>
      <c r="AD163" s="8">
        <f>Table3[[#This Row],[PrimaComercial Anual]]*Table3[[#This Row],[IVA]]</f>
        <v>2006.6280000000002</v>
      </c>
      <c r="AE163" s="15">
        <f>Table3[[#This Row],[PrimaComercial Anual Asistencia]]</f>
        <v>15435.6</v>
      </c>
      <c r="AG163">
        <v>15435.6</v>
      </c>
    </row>
    <row r="164" spans="1:33" x14ac:dyDescent="0.25">
      <c r="A164" t="s">
        <v>18</v>
      </c>
      <c r="B164">
        <v>70000</v>
      </c>
      <c r="C164">
        <v>62</v>
      </c>
      <c r="D164" s="2">
        <f>Table3[[#This Row],[PrimaTécnica]]-Table3[[#This Row],[PrimaTécnica]]*SUM(Table3[[#This Row],[Gastos Adm]:[Cobranza]])</f>
        <v>6977.1386782655991</v>
      </c>
      <c r="E164">
        <v>0</v>
      </c>
      <c r="F164">
        <v>0.15</v>
      </c>
      <c r="G164">
        <v>0.05</v>
      </c>
      <c r="H164">
        <v>0.01</v>
      </c>
      <c r="I164">
        <v>0.01</v>
      </c>
      <c r="J164" s="8">
        <f>Table3[[#This Row],[PrimaTécnica]]*Table3[[#This Row],[Gastos Adm]]</f>
        <v>1341.7574381279999</v>
      </c>
      <c r="K164" s="8">
        <f>Table3[[#This Row],[PrimaTécnica]]*Table3[[#This Row],[Utilidad]]</f>
        <v>447.252479376</v>
      </c>
      <c r="L164" s="8">
        <f>Table3[[#This Row],[PrimaTécnica]]*Table3[[#This Row],[Marketing]]</f>
        <v>89.450495875199991</v>
      </c>
      <c r="M164" s="8">
        <f>Table3[[#This Row],[PrimaTécnica]]*Table3[[#This Row],[Cobranza]]</f>
        <v>89.450495875199991</v>
      </c>
      <c r="N16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8945.0495875199995</v>
      </c>
      <c r="O164">
        <v>21.84</v>
      </c>
      <c r="P164">
        <v>54.6</v>
      </c>
      <c r="Q164">
        <v>80.64</v>
      </c>
      <c r="R164">
        <v>44.377200000000002</v>
      </c>
      <c r="S164">
        <v>0.2</v>
      </c>
      <c r="T164">
        <v>0.02</v>
      </c>
      <c r="U164" s="8">
        <f>Table3[[#This Row],[PrimaNeta]]*Table3[[#This Row],[Comisión]]</f>
        <v>2286.6266968800005</v>
      </c>
      <c r="V164" s="15">
        <f>Table3[[#This Row],[PrimaComercial Anual]]-Table3[[#This Row],[PrimaComercial Anual]]*SUM(Table3[[#This Row],[APS]:[IVA]])</f>
        <v>11433.133484400001</v>
      </c>
      <c r="W164" s="2">
        <v>1.4800000000000001E-2</v>
      </c>
      <c r="X164" s="2">
        <v>8.4501000000000007E-2</v>
      </c>
      <c r="Y164">
        <v>0.03</v>
      </c>
      <c r="Z164">
        <v>0.13</v>
      </c>
      <c r="AA164" s="20">
        <f>Table3[[#This Row],[APS]]*Table3[[#This Row],[PrimaComercial Anual]]</f>
        <v>228.44688000000002</v>
      </c>
      <c r="AB164" s="8">
        <f>Table3[[#This Row],[PrimaComercial Anual]]*Table3[[#This Row],[Recargo adicional]]</f>
        <v>1304.3236356000002</v>
      </c>
      <c r="AC164" s="8">
        <f>Table3[[#This Row],[PrimaComercial Anual]]*Table3[[#This Row],[IT]]</f>
        <v>463.06799999999998</v>
      </c>
      <c r="AD164" s="8">
        <f>Table3[[#This Row],[PrimaComercial Anual]]*Table3[[#This Row],[IVA]]</f>
        <v>2006.6280000000002</v>
      </c>
      <c r="AE164" s="15">
        <f>Table3[[#This Row],[PrimaComercial Anual Asistencia]]</f>
        <v>15435.6</v>
      </c>
      <c r="AG164">
        <v>15435.6</v>
      </c>
    </row>
    <row r="165" spans="1:33" x14ac:dyDescent="0.25">
      <c r="A165" t="s">
        <v>18</v>
      </c>
      <c r="B165">
        <v>70000</v>
      </c>
      <c r="C165">
        <v>63</v>
      </c>
      <c r="D165" s="2">
        <f>Table3[[#This Row],[PrimaTécnica]]-Table3[[#This Row],[PrimaTécnica]]*SUM(Table3[[#This Row],[Gastos Adm]:[Cobranza]])</f>
        <v>6977.1386782655991</v>
      </c>
      <c r="E165">
        <v>0</v>
      </c>
      <c r="F165">
        <v>0.15</v>
      </c>
      <c r="G165">
        <v>0.05</v>
      </c>
      <c r="H165">
        <v>0.01</v>
      </c>
      <c r="I165">
        <v>0.01</v>
      </c>
      <c r="J165" s="8">
        <f>Table3[[#This Row],[PrimaTécnica]]*Table3[[#This Row],[Gastos Adm]]</f>
        <v>1341.7574381279999</v>
      </c>
      <c r="K165" s="8">
        <f>Table3[[#This Row],[PrimaTécnica]]*Table3[[#This Row],[Utilidad]]</f>
        <v>447.252479376</v>
      </c>
      <c r="L165" s="8">
        <f>Table3[[#This Row],[PrimaTécnica]]*Table3[[#This Row],[Marketing]]</f>
        <v>89.450495875199991</v>
      </c>
      <c r="M165" s="8">
        <f>Table3[[#This Row],[PrimaTécnica]]*Table3[[#This Row],[Cobranza]]</f>
        <v>89.450495875199991</v>
      </c>
      <c r="N16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8945.0495875199995</v>
      </c>
      <c r="O165">
        <v>21.84</v>
      </c>
      <c r="P165">
        <v>54.6</v>
      </c>
      <c r="Q165">
        <v>80.64</v>
      </c>
      <c r="R165">
        <v>44.377200000000002</v>
      </c>
      <c r="S165">
        <v>0.2</v>
      </c>
      <c r="T165">
        <v>0.02</v>
      </c>
      <c r="U165" s="8">
        <f>Table3[[#This Row],[PrimaNeta]]*Table3[[#This Row],[Comisión]]</f>
        <v>2286.6266968800005</v>
      </c>
      <c r="V165" s="15">
        <f>Table3[[#This Row],[PrimaComercial Anual]]-Table3[[#This Row],[PrimaComercial Anual]]*SUM(Table3[[#This Row],[APS]:[IVA]])</f>
        <v>11433.133484400001</v>
      </c>
      <c r="W165" s="2">
        <v>1.4800000000000001E-2</v>
      </c>
      <c r="X165" s="2">
        <v>8.4501000000000007E-2</v>
      </c>
      <c r="Y165">
        <v>0.03</v>
      </c>
      <c r="Z165">
        <v>0.13</v>
      </c>
      <c r="AA165" s="20">
        <f>Table3[[#This Row],[APS]]*Table3[[#This Row],[PrimaComercial Anual]]</f>
        <v>228.44688000000002</v>
      </c>
      <c r="AB165" s="8">
        <f>Table3[[#This Row],[PrimaComercial Anual]]*Table3[[#This Row],[Recargo adicional]]</f>
        <v>1304.3236356000002</v>
      </c>
      <c r="AC165" s="8">
        <f>Table3[[#This Row],[PrimaComercial Anual]]*Table3[[#This Row],[IT]]</f>
        <v>463.06799999999998</v>
      </c>
      <c r="AD165" s="8">
        <f>Table3[[#This Row],[PrimaComercial Anual]]*Table3[[#This Row],[IVA]]</f>
        <v>2006.6280000000002</v>
      </c>
      <c r="AE165" s="15">
        <f>Table3[[#This Row],[PrimaComercial Anual Asistencia]]</f>
        <v>15435.6</v>
      </c>
      <c r="AG165">
        <v>15435.6</v>
      </c>
    </row>
    <row r="166" spans="1:33" x14ac:dyDescent="0.25">
      <c r="A166" t="s">
        <v>18</v>
      </c>
      <c r="B166">
        <v>70000</v>
      </c>
      <c r="C166">
        <v>64</v>
      </c>
      <c r="D166" s="2">
        <f>Table3[[#This Row],[PrimaTécnica]]-Table3[[#This Row],[PrimaTécnica]]*SUM(Table3[[#This Row],[Gastos Adm]:[Cobranza]])</f>
        <v>6977.1386782655991</v>
      </c>
      <c r="E166">
        <v>0</v>
      </c>
      <c r="F166">
        <v>0.15</v>
      </c>
      <c r="G166">
        <v>0.05</v>
      </c>
      <c r="H166">
        <v>0.01</v>
      </c>
      <c r="I166">
        <v>0.01</v>
      </c>
      <c r="J166" s="8">
        <f>Table3[[#This Row],[PrimaTécnica]]*Table3[[#This Row],[Gastos Adm]]</f>
        <v>1341.7574381279999</v>
      </c>
      <c r="K166" s="8">
        <f>Table3[[#This Row],[PrimaTécnica]]*Table3[[#This Row],[Utilidad]]</f>
        <v>447.252479376</v>
      </c>
      <c r="L166" s="8">
        <f>Table3[[#This Row],[PrimaTécnica]]*Table3[[#This Row],[Marketing]]</f>
        <v>89.450495875199991</v>
      </c>
      <c r="M166" s="8">
        <f>Table3[[#This Row],[PrimaTécnica]]*Table3[[#This Row],[Cobranza]]</f>
        <v>89.450495875199991</v>
      </c>
      <c r="N16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8945.0495875199995</v>
      </c>
      <c r="O166">
        <v>21.84</v>
      </c>
      <c r="P166">
        <v>54.6</v>
      </c>
      <c r="Q166">
        <v>80.64</v>
      </c>
      <c r="R166">
        <v>44.377200000000002</v>
      </c>
      <c r="S166">
        <v>0.2</v>
      </c>
      <c r="T166">
        <v>0.02</v>
      </c>
      <c r="U166" s="8">
        <f>Table3[[#This Row],[PrimaNeta]]*Table3[[#This Row],[Comisión]]</f>
        <v>2286.6266968800005</v>
      </c>
      <c r="V166" s="15">
        <f>Table3[[#This Row],[PrimaComercial Anual]]-Table3[[#This Row],[PrimaComercial Anual]]*SUM(Table3[[#This Row],[APS]:[IVA]])</f>
        <v>11433.133484400001</v>
      </c>
      <c r="W166" s="2">
        <v>1.4800000000000001E-2</v>
      </c>
      <c r="X166" s="2">
        <v>8.4501000000000007E-2</v>
      </c>
      <c r="Y166">
        <v>0.03</v>
      </c>
      <c r="Z166">
        <v>0.13</v>
      </c>
      <c r="AA166" s="20">
        <f>Table3[[#This Row],[APS]]*Table3[[#This Row],[PrimaComercial Anual]]</f>
        <v>228.44688000000002</v>
      </c>
      <c r="AB166" s="8">
        <f>Table3[[#This Row],[PrimaComercial Anual]]*Table3[[#This Row],[Recargo adicional]]</f>
        <v>1304.3236356000002</v>
      </c>
      <c r="AC166" s="8">
        <f>Table3[[#This Row],[PrimaComercial Anual]]*Table3[[#This Row],[IT]]</f>
        <v>463.06799999999998</v>
      </c>
      <c r="AD166" s="8">
        <f>Table3[[#This Row],[PrimaComercial Anual]]*Table3[[#This Row],[IVA]]</f>
        <v>2006.6280000000002</v>
      </c>
      <c r="AE166" s="15">
        <f>Table3[[#This Row],[PrimaComercial Anual Asistencia]]</f>
        <v>15435.6</v>
      </c>
      <c r="AG166">
        <v>15435.6</v>
      </c>
    </row>
    <row r="167" spans="1:33" x14ac:dyDescent="0.25">
      <c r="A167" t="s">
        <v>18</v>
      </c>
      <c r="B167">
        <v>70000</v>
      </c>
      <c r="C167">
        <v>65</v>
      </c>
      <c r="D167" s="2">
        <f>Table3[[#This Row],[PrimaTécnica]]-Table3[[#This Row],[PrimaTécnica]]*SUM(Table3[[#This Row],[Gastos Adm]:[Cobranza]])</f>
        <v>10001.5655755392</v>
      </c>
      <c r="E167">
        <v>0</v>
      </c>
      <c r="F167">
        <v>0.15</v>
      </c>
      <c r="G167">
        <v>0.05</v>
      </c>
      <c r="H167">
        <v>0.01</v>
      </c>
      <c r="I167">
        <v>0.01</v>
      </c>
      <c r="J167" s="8">
        <f>Table3[[#This Row],[PrimaTécnica]]*Table3[[#This Row],[Gastos Adm]]</f>
        <v>1923.3779952959999</v>
      </c>
      <c r="K167" s="8">
        <f>Table3[[#This Row],[PrimaTécnica]]*Table3[[#This Row],[Utilidad]]</f>
        <v>641.12599843199996</v>
      </c>
      <c r="L167" s="8">
        <f>Table3[[#This Row],[PrimaTécnica]]*Table3[[#This Row],[Marketing]]</f>
        <v>128.2251996864</v>
      </c>
      <c r="M167" s="8">
        <f>Table3[[#This Row],[PrimaTécnica]]*Table3[[#This Row],[Cobranza]]</f>
        <v>128.2251996864</v>
      </c>
      <c r="N16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12822.519968639999</v>
      </c>
      <c r="O167">
        <v>21.84</v>
      </c>
      <c r="P167">
        <v>54.6</v>
      </c>
      <c r="Q167">
        <v>80.64</v>
      </c>
      <c r="R167">
        <v>44.377200000000002</v>
      </c>
      <c r="S167">
        <v>0.2</v>
      </c>
      <c r="T167">
        <v>0.02</v>
      </c>
      <c r="U167" s="8">
        <f>Table3[[#This Row],[PrimaNeta]]*Table3[[#This Row],[Comisión]]</f>
        <v>3255.99429216</v>
      </c>
      <c r="V167" s="15">
        <f>Table3[[#This Row],[PrimaComercial Anual]]-Table3[[#This Row],[PrimaComercial Anual]]*SUM(Table3[[#This Row],[APS]:[IVA]])</f>
        <v>16279.971460799999</v>
      </c>
      <c r="W167" s="2">
        <v>1.4800000000000001E-2</v>
      </c>
      <c r="X167" s="2">
        <v>8.4501000000000007E-2</v>
      </c>
      <c r="Y167">
        <v>0.03</v>
      </c>
      <c r="Z167">
        <v>0.13</v>
      </c>
      <c r="AA167" s="20">
        <f>Table3[[#This Row],[APS]]*Table3[[#This Row],[PrimaComercial Anual]]</f>
        <v>325.29216000000002</v>
      </c>
      <c r="AB167" s="8">
        <f>Table3[[#This Row],[PrimaComercial Anual]]*Table3[[#This Row],[Recargo adicional]]</f>
        <v>1857.2643792000001</v>
      </c>
      <c r="AC167" s="8">
        <f>Table3[[#This Row],[PrimaComercial Anual]]*Table3[[#This Row],[IT]]</f>
        <v>659.37599999999998</v>
      </c>
      <c r="AD167" s="8">
        <f>Table3[[#This Row],[PrimaComercial Anual]]*Table3[[#This Row],[IVA]]</f>
        <v>2857.2960000000003</v>
      </c>
      <c r="AE167" s="15">
        <f>Table3[[#This Row],[PrimaComercial Anual Asistencia]]</f>
        <v>21979.200000000001</v>
      </c>
      <c r="AG167">
        <v>21979.200000000001</v>
      </c>
    </row>
    <row r="168" spans="1:33" x14ac:dyDescent="0.25">
      <c r="A168" t="s">
        <v>18</v>
      </c>
      <c r="B168">
        <v>70000</v>
      </c>
      <c r="C168">
        <v>66</v>
      </c>
      <c r="D168" s="2">
        <f>Table3[[#This Row],[PrimaTécnica]]-Table3[[#This Row],[PrimaTécnica]]*SUM(Table3[[#This Row],[Gastos Adm]:[Cobranza]])</f>
        <v>10001.5655755392</v>
      </c>
      <c r="E168">
        <v>0</v>
      </c>
      <c r="F168">
        <v>0.15</v>
      </c>
      <c r="G168">
        <v>0.05</v>
      </c>
      <c r="H168">
        <v>0.01</v>
      </c>
      <c r="I168">
        <v>0.01</v>
      </c>
      <c r="J168" s="8">
        <f>Table3[[#This Row],[PrimaTécnica]]*Table3[[#This Row],[Gastos Adm]]</f>
        <v>1923.3779952959999</v>
      </c>
      <c r="K168" s="8">
        <f>Table3[[#This Row],[PrimaTécnica]]*Table3[[#This Row],[Utilidad]]</f>
        <v>641.12599843199996</v>
      </c>
      <c r="L168" s="8">
        <f>Table3[[#This Row],[PrimaTécnica]]*Table3[[#This Row],[Marketing]]</f>
        <v>128.2251996864</v>
      </c>
      <c r="M168" s="8">
        <f>Table3[[#This Row],[PrimaTécnica]]*Table3[[#This Row],[Cobranza]]</f>
        <v>128.2251996864</v>
      </c>
      <c r="N16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12822.519968639999</v>
      </c>
      <c r="O168">
        <v>21.84</v>
      </c>
      <c r="P168">
        <v>54.6</v>
      </c>
      <c r="Q168">
        <v>80.64</v>
      </c>
      <c r="R168">
        <v>44.377200000000002</v>
      </c>
      <c r="S168">
        <v>0.2</v>
      </c>
      <c r="T168">
        <v>0.02</v>
      </c>
      <c r="U168" s="8">
        <f>Table3[[#This Row],[PrimaNeta]]*Table3[[#This Row],[Comisión]]</f>
        <v>3255.99429216</v>
      </c>
      <c r="V168" s="15">
        <f>Table3[[#This Row],[PrimaComercial Anual]]-Table3[[#This Row],[PrimaComercial Anual]]*SUM(Table3[[#This Row],[APS]:[IVA]])</f>
        <v>16279.971460799999</v>
      </c>
      <c r="W168" s="2">
        <v>1.4800000000000001E-2</v>
      </c>
      <c r="X168" s="2">
        <v>8.4501000000000007E-2</v>
      </c>
      <c r="Y168">
        <v>0.03</v>
      </c>
      <c r="Z168">
        <v>0.13</v>
      </c>
      <c r="AA168" s="20">
        <f>Table3[[#This Row],[APS]]*Table3[[#This Row],[PrimaComercial Anual]]</f>
        <v>325.29216000000002</v>
      </c>
      <c r="AB168" s="8">
        <f>Table3[[#This Row],[PrimaComercial Anual]]*Table3[[#This Row],[Recargo adicional]]</f>
        <v>1857.2643792000001</v>
      </c>
      <c r="AC168" s="8">
        <f>Table3[[#This Row],[PrimaComercial Anual]]*Table3[[#This Row],[IT]]</f>
        <v>659.37599999999998</v>
      </c>
      <c r="AD168" s="8">
        <f>Table3[[#This Row],[PrimaComercial Anual]]*Table3[[#This Row],[IVA]]</f>
        <v>2857.2960000000003</v>
      </c>
      <c r="AE168" s="15">
        <f>Table3[[#This Row],[PrimaComercial Anual Asistencia]]</f>
        <v>21979.200000000001</v>
      </c>
      <c r="AG168">
        <v>21979.200000000001</v>
      </c>
    </row>
    <row r="169" spans="1:33" x14ac:dyDescent="0.25">
      <c r="A169" t="s">
        <v>18</v>
      </c>
      <c r="B169">
        <v>70000</v>
      </c>
      <c r="C169">
        <v>67</v>
      </c>
      <c r="D169" s="2">
        <f>Table3[[#This Row],[PrimaTécnica]]-Table3[[#This Row],[PrimaTécnica]]*SUM(Table3[[#This Row],[Gastos Adm]:[Cobranza]])</f>
        <v>10001.5655755392</v>
      </c>
      <c r="E169">
        <v>0</v>
      </c>
      <c r="F169">
        <v>0.15</v>
      </c>
      <c r="G169">
        <v>0.05</v>
      </c>
      <c r="H169">
        <v>0.01</v>
      </c>
      <c r="I169">
        <v>0.01</v>
      </c>
      <c r="J169" s="8">
        <f>Table3[[#This Row],[PrimaTécnica]]*Table3[[#This Row],[Gastos Adm]]</f>
        <v>1923.3779952959999</v>
      </c>
      <c r="K169" s="8">
        <f>Table3[[#This Row],[PrimaTécnica]]*Table3[[#This Row],[Utilidad]]</f>
        <v>641.12599843199996</v>
      </c>
      <c r="L169" s="8">
        <f>Table3[[#This Row],[PrimaTécnica]]*Table3[[#This Row],[Marketing]]</f>
        <v>128.2251996864</v>
      </c>
      <c r="M169" s="8">
        <f>Table3[[#This Row],[PrimaTécnica]]*Table3[[#This Row],[Cobranza]]</f>
        <v>128.2251996864</v>
      </c>
      <c r="N16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12822.519968639999</v>
      </c>
      <c r="O169">
        <v>21.84</v>
      </c>
      <c r="P169">
        <v>54.6</v>
      </c>
      <c r="Q169">
        <v>80.64</v>
      </c>
      <c r="R169">
        <v>44.377200000000002</v>
      </c>
      <c r="S169">
        <v>0.2</v>
      </c>
      <c r="T169">
        <v>0.02</v>
      </c>
      <c r="U169" s="8">
        <f>Table3[[#This Row],[PrimaNeta]]*Table3[[#This Row],[Comisión]]</f>
        <v>3255.99429216</v>
      </c>
      <c r="V169" s="15">
        <f>Table3[[#This Row],[PrimaComercial Anual]]-Table3[[#This Row],[PrimaComercial Anual]]*SUM(Table3[[#This Row],[APS]:[IVA]])</f>
        <v>16279.971460799999</v>
      </c>
      <c r="W169" s="2">
        <v>1.4800000000000001E-2</v>
      </c>
      <c r="X169" s="2">
        <v>8.4501000000000007E-2</v>
      </c>
      <c r="Y169">
        <v>0.03</v>
      </c>
      <c r="Z169">
        <v>0.13</v>
      </c>
      <c r="AA169" s="20">
        <f>Table3[[#This Row],[APS]]*Table3[[#This Row],[PrimaComercial Anual]]</f>
        <v>325.29216000000002</v>
      </c>
      <c r="AB169" s="8">
        <f>Table3[[#This Row],[PrimaComercial Anual]]*Table3[[#This Row],[Recargo adicional]]</f>
        <v>1857.2643792000001</v>
      </c>
      <c r="AC169" s="8">
        <f>Table3[[#This Row],[PrimaComercial Anual]]*Table3[[#This Row],[IT]]</f>
        <v>659.37599999999998</v>
      </c>
      <c r="AD169" s="8">
        <f>Table3[[#This Row],[PrimaComercial Anual]]*Table3[[#This Row],[IVA]]</f>
        <v>2857.2960000000003</v>
      </c>
      <c r="AE169" s="15">
        <f>Table3[[#This Row],[PrimaComercial Anual Asistencia]]</f>
        <v>21979.200000000001</v>
      </c>
      <c r="AG169">
        <v>21979.200000000001</v>
      </c>
    </row>
    <row r="170" spans="1:33" x14ac:dyDescent="0.25">
      <c r="A170" t="s">
        <v>18</v>
      </c>
      <c r="B170">
        <v>70000</v>
      </c>
      <c r="C170">
        <v>68</v>
      </c>
      <c r="D170" s="2">
        <f>Table3[[#This Row],[PrimaTécnica]]-Table3[[#This Row],[PrimaTécnica]]*SUM(Table3[[#This Row],[Gastos Adm]:[Cobranza]])</f>
        <v>10001.5655755392</v>
      </c>
      <c r="E170">
        <v>0</v>
      </c>
      <c r="F170">
        <v>0.15</v>
      </c>
      <c r="G170">
        <v>0.05</v>
      </c>
      <c r="H170">
        <v>0.01</v>
      </c>
      <c r="I170">
        <v>0.01</v>
      </c>
      <c r="J170" s="8">
        <f>Table3[[#This Row],[PrimaTécnica]]*Table3[[#This Row],[Gastos Adm]]</f>
        <v>1923.3779952959999</v>
      </c>
      <c r="K170" s="8">
        <f>Table3[[#This Row],[PrimaTécnica]]*Table3[[#This Row],[Utilidad]]</f>
        <v>641.12599843199996</v>
      </c>
      <c r="L170" s="8">
        <f>Table3[[#This Row],[PrimaTécnica]]*Table3[[#This Row],[Marketing]]</f>
        <v>128.2251996864</v>
      </c>
      <c r="M170" s="8">
        <f>Table3[[#This Row],[PrimaTécnica]]*Table3[[#This Row],[Cobranza]]</f>
        <v>128.2251996864</v>
      </c>
      <c r="N17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12822.519968639999</v>
      </c>
      <c r="O170">
        <v>21.84</v>
      </c>
      <c r="P170">
        <v>54.6</v>
      </c>
      <c r="Q170">
        <v>80.64</v>
      </c>
      <c r="R170">
        <v>44.377200000000002</v>
      </c>
      <c r="S170">
        <v>0.2</v>
      </c>
      <c r="T170">
        <v>0.02</v>
      </c>
      <c r="U170" s="8">
        <f>Table3[[#This Row],[PrimaNeta]]*Table3[[#This Row],[Comisión]]</f>
        <v>3255.99429216</v>
      </c>
      <c r="V170" s="15">
        <f>Table3[[#This Row],[PrimaComercial Anual]]-Table3[[#This Row],[PrimaComercial Anual]]*SUM(Table3[[#This Row],[APS]:[IVA]])</f>
        <v>16279.971460799999</v>
      </c>
      <c r="W170" s="2">
        <v>1.4800000000000001E-2</v>
      </c>
      <c r="X170" s="2">
        <v>8.4501000000000007E-2</v>
      </c>
      <c r="Y170">
        <v>0.03</v>
      </c>
      <c r="Z170">
        <v>0.13</v>
      </c>
      <c r="AA170" s="20">
        <f>Table3[[#This Row],[APS]]*Table3[[#This Row],[PrimaComercial Anual]]</f>
        <v>325.29216000000002</v>
      </c>
      <c r="AB170" s="8">
        <f>Table3[[#This Row],[PrimaComercial Anual]]*Table3[[#This Row],[Recargo adicional]]</f>
        <v>1857.2643792000001</v>
      </c>
      <c r="AC170" s="8">
        <f>Table3[[#This Row],[PrimaComercial Anual]]*Table3[[#This Row],[IT]]</f>
        <v>659.37599999999998</v>
      </c>
      <c r="AD170" s="8">
        <f>Table3[[#This Row],[PrimaComercial Anual]]*Table3[[#This Row],[IVA]]</f>
        <v>2857.2960000000003</v>
      </c>
      <c r="AE170" s="15">
        <f>Table3[[#This Row],[PrimaComercial Anual Asistencia]]</f>
        <v>21979.200000000001</v>
      </c>
      <c r="AG170">
        <v>21979.200000000001</v>
      </c>
    </row>
    <row r="171" spans="1:33" x14ac:dyDescent="0.25">
      <c r="A171" t="s">
        <v>18</v>
      </c>
      <c r="B171">
        <v>70000</v>
      </c>
      <c r="C171">
        <v>69</v>
      </c>
      <c r="D171" s="2">
        <f>Table3[[#This Row],[PrimaTécnica]]-Table3[[#This Row],[PrimaTécnica]]*SUM(Table3[[#This Row],[Gastos Adm]:[Cobranza]])</f>
        <v>10001.5655755392</v>
      </c>
      <c r="E171">
        <v>0</v>
      </c>
      <c r="F171">
        <v>0.15</v>
      </c>
      <c r="G171">
        <v>0.05</v>
      </c>
      <c r="H171">
        <v>0.01</v>
      </c>
      <c r="I171">
        <v>0.01</v>
      </c>
      <c r="J171" s="8">
        <f>Table3[[#This Row],[PrimaTécnica]]*Table3[[#This Row],[Gastos Adm]]</f>
        <v>1923.3779952959999</v>
      </c>
      <c r="K171" s="8">
        <f>Table3[[#This Row],[PrimaTécnica]]*Table3[[#This Row],[Utilidad]]</f>
        <v>641.12599843199996</v>
      </c>
      <c r="L171" s="8">
        <f>Table3[[#This Row],[PrimaTécnica]]*Table3[[#This Row],[Marketing]]</f>
        <v>128.2251996864</v>
      </c>
      <c r="M171" s="8">
        <f>Table3[[#This Row],[PrimaTécnica]]*Table3[[#This Row],[Cobranza]]</f>
        <v>128.2251996864</v>
      </c>
      <c r="N17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12822.519968639999</v>
      </c>
      <c r="O171">
        <v>21.84</v>
      </c>
      <c r="P171">
        <v>54.6</v>
      </c>
      <c r="Q171">
        <v>80.64</v>
      </c>
      <c r="R171">
        <v>44.377200000000002</v>
      </c>
      <c r="S171">
        <v>0.2</v>
      </c>
      <c r="T171">
        <v>0.02</v>
      </c>
      <c r="U171" s="8">
        <f>Table3[[#This Row],[PrimaNeta]]*Table3[[#This Row],[Comisión]]</f>
        <v>3255.99429216</v>
      </c>
      <c r="V171" s="15">
        <f>Table3[[#This Row],[PrimaComercial Anual]]-Table3[[#This Row],[PrimaComercial Anual]]*SUM(Table3[[#This Row],[APS]:[IVA]])</f>
        <v>16279.971460799999</v>
      </c>
      <c r="W171" s="2">
        <v>1.4800000000000001E-2</v>
      </c>
      <c r="X171" s="2">
        <v>8.4501000000000007E-2</v>
      </c>
      <c r="Y171">
        <v>0.03</v>
      </c>
      <c r="Z171">
        <v>0.13</v>
      </c>
      <c r="AA171" s="20">
        <f>Table3[[#This Row],[APS]]*Table3[[#This Row],[PrimaComercial Anual]]</f>
        <v>325.29216000000002</v>
      </c>
      <c r="AB171" s="8">
        <f>Table3[[#This Row],[PrimaComercial Anual]]*Table3[[#This Row],[Recargo adicional]]</f>
        <v>1857.2643792000001</v>
      </c>
      <c r="AC171" s="8">
        <f>Table3[[#This Row],[PrimaComercial Anual]]*Table3[[#This Row],[IT]]</f>
        <v>659.37599999999998</v>
      </c>
      <c r="AD171" s="8">
        <f>Table3[[#This Row],[PrimaComercial Anual]]*Table3[[#This Row],[IVA]]</f>
        <v>2857.2960000000003</v>
      </c>
      <c r="AE171" s="15">
        <f>Table3[[#This Row],[PrimaComercial Anual Asistencia]]</f>
        <v>21979.200000000001</v>
      </c>
      <c r="AG171">
        <v>21979.200000000001</v>
      </c>
    </row>
    <row r="172" spans="1:33" x14ac:dyDescent="0.25">
      <c r="A172" t="s">
        <v>18</v>
      </c>
      <c r="B172">
        <v>70000</v>
      </c>
      <c r="C172">
        <v>70</v>
      </c>
      <c r="D172" s="2">
        <f>Table3[[#This Row],[PrimaTécnica]]-Table3[[#This Row],[PrimaTécnica]]*SUM(Table3[[#This Row],[Gastos Adm]:[Cobranza]])</f>
        <v>10001.5655755392</v>
      </c>
      <c r="E172">
        <v>0</v>
      </c>
      <c r="F172">
        <v>0.15</v>
      </c>
      <c r="G172">
        <v>0.05</v>
      </c>
      <c r="H172">
        <v>0.01</v>
      </c>
      <c r="I172">
        <v>0.01</v>
      </c>
      <c r="J172" s="8">
        <f>Table3[[#This Row],[PrimaTécnica]]*Table3[[#This Row],[Gastos Adm]]</f>
        <v>1923.3779952959999</v>
      </c>
      <c r="K172" s="8">
        <f>Table3[[#This Row],[PrimaTécnica]]*Table3[[#This Row],[Utilidad]]</f>
        <v>641.12599843199996</v>
      </c>
      <c r="L172" s="8">
        <f>Table3[[#This Row],[PrimaTécnica]]*Table3[[#This Row],[Marketing]]</f>
        <v>128.2251996864</v>
      </c>
      <c r="M172" s="8">
        <f>Table3[[#This Row],[PrimaTécnica]]*Table3[[#This Row],[Cobranza]]</f>
        <v>128.2251996864</v>
      </c>
      <c r="N17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12822.519968639999</v>
      </c>
      <c r="O172">
        <v>21.84</v>
      </c>
      <c r="P172">
        <v>54.6</v>
      </c>
      <c r="Q172">
        <v>80.64</v>
      </c>
      <c r="R172">
        <v>44.377200000000002</v>
      </c>
      <c r="S172">
        <v>0.2</v>
      </c>
      <c r="T172">
        <v>0.02</v>
      </c>
      <c r="U172" s="8">
        <f>Table3[[#This Row],[PrimaNeta]]*Table3[[#This Row],[Comisión]]</f>
        <v>3255.99429216</v>
      </c>
      <c r="V172" s="15">
        <f>Table3[[#This Row],[PrimaComercial Anual]]-Table3[[#This Row],[PrimaComercial Anual]]*SUM(Table3[[#This Row],[APS]:[IVA]])</f>
        <v>16279.971460799999</v>
      </c>
      <c r="W172" s="2">
        <v>1.4800000000000001E-2</v>
      </c>
      <c r="X172" s="2">
        <v>8.4501000000000007E-2</v>
      </c>
      <c r="Y172">
        <v>0.03</v>
      </c>
      <c r="Z172">
        <v>0.13</v>
      </c>
      <c r="AA172" s="20">
        <f>Table3[[#This Row],[APS]]*Table3[[#This Row],[PrimaComercial Anual]]</f>
        <v>325.29216000000002</v>
      </c>
      <c r="AB172" s="8">
        <f>Table3[[#This Row],[PrimaComercial Anual]]*Table3[[#This Row],[Recargo adicional]]</f>
        <v>1857.2643792000001</v>
      </c>
      <c r="AC172" s="8">
        <f>Table3[[#This Row],[PrimaComercial Anual]]*Table3[[#This Row],[IT]]</f>
        <v>659.37599999999998</v>
      </c>
      <c r="AD172" s="8">
        <f>Table3[[#This Row],[PrimaComercial Anual]]*Table3[[#This Row],[IVA]]</f>
        <v>2857.2960000000003</v>
      </c>
      <c r="AE172" s="15">
        <f>Table3[[#This Row],[PrimaComercial Anual Asistencia]]</f>
        <v>21979.200000000001</v>
      </c>
      <c r="AG172">
        <v>21979.200000000001</v>
      </c>
    </row>
    <row r="173" spans="1:33" x14ac:dyDescent="0.25">
      <c r="A173" t="s">
        <v>18</v>
      </c>
      <c r="B173">
        <v>70000</v>
      </c>
      <c r="C173">
        <v>71</v>
      </c>
      <c r="D173" s="2">
        <f>Table3[[#This Row],[PrimaTécnica]]-Table3[[#This Row],[PrimaTécnica]]*SUM(Table3[[#This Row],[Gastos Adm]:[Cobranza]])</f>
        <v>11845.728317779198</v>
      </c>
      <c r="E173">
        <v>0</v>
      </c>
      <c r="F173">
        <v>0.15</v>
      </c>
      <c r="G173">
        <v>0.05</v>
      </c>
      <c r="H173">
        <v>0.01</v>
      </c>
      <c r="I173">
        <v>0.01</v>
      </c>
      <c r="J173" s="8">
        <f>Table3[[#This Row],[PrimaTécnica]]*Table3[[#This Row],[Gastos Adm]]</f>
        <v>2278.0246764959998</v>
      </c>
      <c r="K173" s="8">
        <f>Table3[[#This Row],[PrimaTécnica]]*Table3[[#This Row],[Utilidad]]</f>
        <v>759.34155883199992</v>
      </c>
      <c r="L173" s="8">
        <f>Table3[[#This Row],[PrimaTécnica]]*Table3[[#This Row],[Marketing]]</f>
        <v>151.86831176639998</v>
      </c>
      <c r="M173" s="8">
        <f>Table3[[#This Row],[PrimaTécnica]]*Table3[[#This Row],[Cobranza]]</f>
        <v>151.86831176639998</v>
      </c>
      <c r="N17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73">
        <v>21.84</v>
      </c>
      <c r="P173">
        <v>54.6</v>
      </c>
      <c r="Q173">
        <v>80.64</v>
      </c>
      <c r="R173">
        <v>44.377200000000002</v>
      </c>
      <c r="S173">
        <v>0.2</v>
      </c>
      <c r="T173">
        <v>0.02</v>
      </c>
      <c r="U173" s="8">
        <f>Table3[[#This Row],[PrimaNeta]]*Table3[[#This Row],[Comisión]]</f>
        <v>3847.0720941599998</v>
      </c>
      <c r="V173" s="15">
        <f>Table3[[#This Row],[PrimaComercial Anual]]-Table3[[#This Row],[PrimaComercial Anual]]*SUM(Table3[[#This Row],[APS]:[IVA]])</f>
        <v>19235.360470799998</v>
      </c>
      <c r="W173" s="2">
        <v>1.4800000000000001E-2</v>
      </c>
      <c r="X173" s="2">
        <v>8.4501000000000007E-2</v>
      </c>
      <c r="Y173">
        <v>0.03</v>
      </c>
      <c r="Z173">
        <v>0.13</v>
      </c>
      <c r="AA173" s="20">
        <f>Table3[[#This Row],[APS]]*Table3[[#This Row],[PrimaComercial Anual]]</f>
        <v>384.34416000000004</v>
      </c>
      <c r="AB173" s="8">
        <f>Table3[[#This Row],[PrimaComercial Anual]]*Table3[[#This Row],[Recargo adicional]]</f>
        <v>2194.4233692000003</v>
      </c>
      <c r="AC173" s="8">
        <f>Table3[[#This Row],[PrimaComercial Anual]]*Table3[[#This Row],[IT]]</f>
        <v>779.07600000000002</v>
      </c>
      <c r="AD173" s="8">
        <f>Table3[[#This Row],[PrimaComercial Anual]]*Table3[[#This Row],[IVA]]</f>
        <v>3375.9960000000001</v>
      </c>
      <c r="AE173" s="15">
        <f>Table3[[#This Row],[PrimaComercial Anual Asistencia]]</f>
        <v>25969.200000000001</v>
      </c>
      <c r="AG173">
        <v>25969.200000000001</v>
      </c>
    </row>
    <row r="174" spans="1:33" x14ac:dyDescent="0.25">
      <c r="A174" t="s">
        <v>18</v>
      </c>
      <c r="B174">
        <v>70000</v>
      </c>
      <c r="C174">
        <v>72</v>
      </c>
      <c r="D174" s="2">
        <f>Table3[[#This Row],[PrimaTécnica]]-Table3[[#This Row],[PrimaTécnica]]*SUM(Table3[[#This Row],[Gastos Adm]:[Cobranza]])</f>
        <v>11845.728317779198</v>
      </c>
      <c r="E174">
        <v>0</v>
      </c>
      <c r="F174">
        <v>0.15</v>
      </c>
      <c r="G174">
        <v>0.05</v>
      </c>
      <c r="H174">
        <v>0.01</v>
      </c>
      <c r="I174">
        <v>0.01</v>
      </c>
      <c r="J174" s="8">
        <f>Table3[[#This Row],[PrimaTécnica]]*Table3[[#This Row],[Gastos Adm]]</f>
        <v>2278.0246764959998</v>
      </c>
      <c r="K174" s="8">
        <f>Table3[[#This Row],[PrimaTécnica]]*Table3[[#This Row],[Utilidad]]</f>
        <v>759.34155883199992</v>
      </c>
      <c r="L174" s="8">
        <f>Table3[[#This Row],[PrimaTécnica]]*Table3[[#This Row],[Marketing]]</f>
        <v>151.86831176639998</v>
      </c>
      <c r="M174" s="8">
        <f>Table3[[#This Row],[PrimaTécnica]]*Table3[[#This Row],[Cobranza]]</f>
        <v>151.86831176639998</v>
      </c>
      <c r="N17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74">
        <v>21.84</v>
      </c>
      <c r="P174">
        <v>54.6</v>
      </c>
      <c r="Q174">
        <v>80.64</v>
      </c>
      <c r="R174">
        <v>44.377200000000002</v>
      </c>
      <c r="S174">
        <v>0.2</v>
      </c>
      <c r="T174">
        <v>0.02</v>
      </c>
      <c r="U174" s="8">
        <f>Table3[[#This Row],[PrimaNeta]]*Table3[[#This Row],[Comisión]]</f>
        <v>3847.0720941599998</v>
      </c>
      <c r="V174" s="15">
        <f>Table3[[#This Row],[PrimaComercial Anual]]-Table3[[#This Row],[PrimaComercial Anual]]*SUM(Table3[[#This Row],[APS]:[IVA]])</f>
        <v>19235.360470799998</v>
      </c>
      <c r="W174" s="2">
        <v>1.4800000000000001E-2</v>
      </c>
      <c r="X174" s="2">
        <v>8.4501000000000007E-2</v>
      </c>
      <c r="Y174">
        <v>0.03</v>
      </c>
      <c r="Z174">
        <v>0.13</v>
      </c>
      <c r="AA174" s="20">
        <f>Table3[[#This Row],[APS]]*Table3[[#This Row],[PrimaComercial Anual]]</f>
        <v>384.34416000000004</v>
      </c>
      <c r="AB174" s="8">
        <f>Table3[[#This Row],[PrimaComercial Anual]]*Table3[[#This Row],[Recargo adicional]]</f>
        <v>2194.4233692000003</v>
      </c>
      <c r="AC174" s="8">
        <f>Table3[[#This Row],[PrimaComercial Anual]]*Table3[[#This Row],[IT]]</f>
        <v>779.07600000000002</v>
      </c>
      <c r="AD174" s="8">
        <f>Table3[[#This Row],[PrimaComercial Anual]]*Table3[[#This Row],[IVA]]</f>
        <v>3375.9960000000001</v>
      </c>
      <c r="AE174" s="15">
        <f>Table3[[#This Row],[PrimaComercial Anual Asistencia]]</f>
        <v>25969.200000000001</v>
      </c>
      <c r="AG174">
        <v>25969.200000000001</v>
      </c>
    </row>
    <row r="175" spans="1:33" x14ac:dyDescent="0.25">
      <c r="A175" t="s">
        <v>18</v>
      </c>
      <c r="B175">
        <v>70000</v>
      </c>
      <c r="C175">
        <v>73</v>
      </c>
      <c r="D175" s="2">
        <f>Table3[[#This Row],[PrimaTécnica]]-Table3[[#This Row],[PrimaTécnica]]*SUM(Table3[[#This Row],[Gastos Adm]:[Cobranza]])</f>
        <v>11845.728317779198</v>
      </c>
      <c r="E175">
        <v>0</v>
      </c>
      <c r="F175">
        <v>0.15</v>
      </c>
      <c r="G175">
        <v>0.05</v>
      </c>
      <c r="H175">
        <v>0.01</v>
      </c>
      <c r="I175">
        <v>0.01</v>
      </c>
      <c r="J175" s="8">
        <f>Table3[[#This Row],[PrimaTécnica]]*Table3[[#This Row],[Gastos Adm]]</f>
        <v>2278.0246764959998</v>
      </c>
      <c r="K175" s="8">
        <f>Table3[[#This Row],[PrimaTécnica]]*Table3[[#This Row],[Utilidad]]</f>
        <v>759.34155883199992</v>
      </c>
      <c r="L175" s="8">
        <f>Table3[[#This Row],[PrimaTécnica]]*Table3[[#This Row],[Marketing]]</f>
        <v>151.86831176639998</v>
      </c>
      <c r="M175" s="8">
        <f>Table3[[#This Row],[PrimaTécnica]]*Table3[[#This Row],[Cobranza]]</f>
        <v>151.86831176639998</v>
      </c>
      <c r="N17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75">
        <v>21.84</v>
      </c>
      <c r="P175">
        <v>54.6</v>
      </c>
      <c r="Q175">
        <v>80.64</v>
      </c>
      <c r="R175">
        <v>44.377200000000002</v>
      </c>
      <c r="S175">
        <v>0.2</v>
      </c>
      <c r="T175">
        <v>0.02</v>
      </c>
      <c r="U175" s="8">
        <f>Table3[[#This Row],[PrimaNeta]]*Table3[[#This Row],[Comisión]]</f>
        <v>3847.0720941599998</v>
      </c>
      <c r="V175" s="15">
        <f>Table3[[#This Row],[PrimaComercial Anual]]-Table3[[#This Row],[PrimaComercial Anual]]*SUM(Table3[[#This Row],[APS]:[IVA]])</f>
        <v>19235.360470799998</v>
      </c>
      <c r="W175" s="2">
        <v>1.4800000000000001E-2</v>
      </c>
      <c r="X175" s="2">
        <v>8.4501000000000007E-2</v>
      </c>
      <c r="Y175">
        <v>0.03</v>
      </c>
      <c r="Z175">
        <v>0.13</v>
      </c>
      <c r="AA175" s="20">
        <f>Table3[[#This Row],[APS]]*Table3[[#This Row],[PrimaComercial Anual]]</f>
        <v>384.34416000000004</v>
      </c>
      <c r="AB175" s="8">
        <f>Table3[[#This Row],[PrimaComercial Anual]]*Table3[[#This Row],[Recargo adicional]]</f>
        <v>2194.4233692000003</v>
      </c>
      <c r="AC175" s="8">
        <f>Table3[[#This Row],[PrimaComercial Anual]]*Table3[[#This Row],[IT]]</f>
        <v>779.07600000000002</v>
      </c>
      <c r="AD175" s="8">
        <f>Table3[[#This Row],[PrimaComercial Anual]]*Table3[[#This Row],[IVA]]</f>
        <v>3375.9960000000001</v>
      </c>
      <c r="AE175" s="15">
        <f>Table3[[#This Row],[PrimaComercial Anual Asistencia]]</f>
        <v>25969.200000000001</v>
      </c>
      <c r="AG175">
        <v>25969.200000000001</v>
      </c>
    </row>
    <row r="176" spans="1:33" x14ac:dyDescent="0.25">
      <c r="A176" t="s">
        <v>18</v>
      </c>
      <c r="B176">
        <v>70000</v>
      </c>
      <c r="C176">
        <v>74</v>
      </c>
      <c r="D176" s="2">
        <f>Table3[[#This Row],[PrimaTécnica]]-Table3[[#This Row],[PrimaTécnica]]*SUM(Table3[[#This Row],[Gastos Adm]:[Cobranza]])</f>
        <v>11845.728317779198</v>
      </c>
      <c r="E176">
        <v>0</v>
      </c>
      <c r="F176">
        <v>0.15</v>
      </c>
      <c r="G176">
        <v>0.05</v>
      </c>
      <c r="H176">
        <v>0.01</v>
      </c>
      <c r="I176">
        <v>0.01</v>
      </c>
      <c r="J176" s="8">
        <f>Table3[[#This Row],[PrimaTécnica]]*Table3[[#This Row],[Gastos Adm]]</f>
        <v>2278.0246764959998</v>
      </c>
      <c r="K176" s="8">
        <f>Table3[[#This Row],[PrimaTécnica]]*Table3[[#This Row],[Utilidad]]</f>
        <v>759.34155883199992</v>
      </c>
      <c r="L176" s="8">
        <f>Table3[[#This Row],[PrimaTécnica]]*Table3[[#This Row],[Marketing]]</f>
        <v>151.86831176639998</v>
      </c>
      <c r="M176" s="8">
        <f>Table3[[#This Row],[PrimaTécnica]]*Table3[[#This Row],[Cobranza]]</f>
        <v>151.86831176639998</v>
      </c>
      <c r="N17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76">
        <v>21.84</v>
      </c>
      <c r="P176">
        <v>54.6</v>
      </c>
      <c r="Q176">
        <v>80.64</v>
      </c>
      <c r="R176">
        <v>44.377200000000002</v>
      </c>
      <c r="S176">
        <v>0.2</v>
      </c>
      <c r="T176">
        <v>0.02</v>
      </c>
      <c r="U176" s="8">
        <f>Table3[[#This Row],[PrimaNeta]]*Table3[[#This Row],[Comisión]]</f>
        <v>3847.0720941599998</v>
      </c>
      <c r="V176" s="15">
        <f>Table3[[#This Row],[PrimaComercial Anual]]-Table3[[#This Row],[PrimaComercial Anual]]*SUM(Table3[[#This Row],[APS]:[IVA]])</f>
        <v>19235.360470799998</v>
      </c>
      <c r="W176" s="2">
        <v>1.4800000000000001E-2</v>
      </c>
      <c r="X176" s="2">
        <v>8.4501000000000007E-2</v>
      </c>
      <c r="Y176">
        <v>0.03</v>
      </c>
      <c r="Z176">
        <v>0.13</v>
      </c>
      <c r="AA176" s="20">
        <f>Table3[[#This Row],[APS]]*Table3[[#This Row],[PrimaComercial Anual]]</f>
        <v>384.34416000000004</v>
      </c>
      <c r="AB176" s="8">
        <f>Table3[[#This Row],[PrimaComercial Anual]]*Table3[[#This Row],[Recargo adicional]]</f>
        <v>2194.4233692000003</v>
      </c>
      <c r="AC176" s="8">
        <f>Table3[[#This Row],[PrimaComercial Anual]]*Table3[[#This Row],[IT]]</f>
        <v>779.07600000000002</v>
      </c>
      <c r="AD176" s="8">
        <f>Table3[[#This Row],[PrimaComercial Anual]]*Table3[[#This Row],[IVA]]</f>
        <v>3375.9960000000001</v>
      </c>
      <c r="AE176" s="15">
        <f>Table3[[#This Row],[PrimaComercial Anual Asistencia]]</f>
        <v>25969.200000000001</v>
      </c>
      <c r="AG176">
        <v>25969.200000000001</v>
      </c>
    </row>
    <row r="177" spans="1:33" x14ac:dyDescent="0.25">
      <c r="A177" t="s">
        <v>18</v>
      </c>
      <c r="B177">
        <v>70000</v>
      </c>
      <c r="C177">
        <v>75</v>
      </c>
      <c r="D177" s="2">
        <f>Table3[[#This Row],[PrimaTécnica]]-Table3[[#This Row],[PrimaTécnica]]*SUM(Table3[[#This Row],[Gastos Adm]:[Cobranza]])</f>
        <v>11845.728317779198</v>
      </c>
      <c r="E177">
        <v>0</v>
      </c>
      <c r="F177">
        <v>0.15</v>
      </c>
      <c r="G177">
        <v>0.05</v>
      </c>
      <c r="H177">
        <v>0.01</v>
      </c>
      <c r="I177">
        <v>0.01</v>
      </c>
      <c r="J177" s="8">
        <f>Table3[[#This Row],[PrimaTécnica]]*Table3[[#This Row],[Gastos Adm]]</f>
        <v>2278.0246764959998</v>
      </c>
      <c r="K177" s="8">
        <f>Table3[[#This Row],[PrimaTécnica]]*Table3[[#This Row],[Utilidad]]</f>
        <v>759.34155883199992</v>
      </c>
      <c r="L177" s="8">
        <f>Table3[[#This Row],[PrimaTécnica]]*Table3[[#This Row],[Marketing]]</f>
        <v>151.86831176639998</v>
      </c>
      <c r="M177" s="8">
        <f>Table3[[#This Row],[PrimaTécnica]]*Table3[[#This Row],[Cobranza]]</f>
        <v>151.86831176639998</v>
      </c>
      <c r="N17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77">
        <v>21.84</v>
      </c>
      <c r="P177">
        <v>54.6</v>
      </c>
      <c r="Q177">
        <v>80.64</v>
      </c>
      <c r="R177">
        <v>44.377200000000002</v>
      </c>
      <c r="S177">
        <v>0.2</v>
      </c>
      <c r="T177">
        <v>0.02</v>
      </c>
      <c r="U177" s="8">
        <f>Table3[[#This Row],[PrimaNeta]]*Table3[[#This Row],[Comisión]]</f>
        <v>3847.0720941599998</v>
      </c>
      <c r="V177" s="15">
        <f>Table3[[#This Row],[PrimaComercial Anual]]-Table3[[#This Row],[PrimaComercial Anual]]*SUM(Table3[[#This Row],[APS]:[IVA]])</f>
        <v>19235.360470799998</v>
      </c>
      <c r="W177" s="2">
        <v>1.4800000000000001E-2</v>
      </c>
      <c r="X177" s="2">
        <v>8.4501000000000007E-2</v>
      </c>
      <c r="Y177">
        <v>0.03</v>
      </c>
      <c r="Z177">
        <v>0.13</v>
      </c>
      <c r="AA177" s="20">
        <f>Table3[[#This Row],[APS]]*Table3[[#This Row],[PrimaComercial Anual]]</f>
        <v>384.34416000000004</v>
      </c>
      <c r="AB177" s="8">
        <f>Table3[[#This Row],[PrimaComercial Anual]]*Table3[[#This Row],[Recargo adicional]]</f>
        <v>2194.4233692000003</v>
      </c>
      <c r="AC177" s="8">
        <f>Table3[[#This Row],[PrimaComercial Anual]]*Table3[[#This Row],[IT]]</f>
        <v>779.07600000000002</v>
      </c>
      <c r="AD177" s="8">
        <f>Table3[[#This Row],[PrimaComercial Anual]]*Table3[[#This Row],[IVA]]</f>
        <v>3375.9960000000001</v>
      </c>
      <c r="AE177" s="15">
        <f>Table3[[#This Row],[PrimaComercial Anual Asistencia]]</f>
        <v>25969.200000000001</v>
      </c>
      <c r="AG177">
        <v>25969.200000000001</v>
      </c>
    </row>
    <row r="178" spans="1:33" x14ac:dyDescent="0.25">
      <c r="A178" t="s">
        <v>18</v>
      </c>
      <c r="B178">
        <v>70000</v>
      </c>
      <c r="C178">
        <v>76</v>
      </c>
      <c r="D178" s="2">
        <f>Table3[[#This Row],[PrimaTécnica]]-Table3[[#This Row],[PrimaTécnica]]*SUM(Table3[[#This Row],[Gastos Adm]:[Cobranza]])</f>
        <v>11845.728317779198</v>
      </c>
      <c r="E178">
        <v>0</v>
      </c>
      <c r="F178">
        <v>0.15</v>
      </c>
      <c r="G178">
        <v>0.05</v>
      </c>
      <c r="H178">
        <v>0.01</v>
      </c>
      <c r="I178">
        <v>0.01</v>
      </c>
      <c r="J178" s="8">
        <f>Table3[[#This Row],[PrimaTécnica]]*Table3[[#This Row],[Gastos Adm]]</f>
        <v>2278.0246764959998</v>
      </c>
      <c r="K178" s="8">
        <f>Table3[[#This Row],[PrimaTécnica]]*Table3[[#This Row],[Utilidad]]</f>
        <v>759.34155883199992</v>
      </c>
      <c r="L178" s="8">
        <f>Table3[[#This Row],[PrimaTécnica]]*Table3[[#This Row],[Marketing]]</f>
        <v>151.86831176639998</v>
      </c>
      <c r="M178" s="8">
        <f>Table3[[#This Row],[PrimaTécnica]]*Table3[[#This Row],[Cobranza]]</f>
        <v>151.86831176639998</v>
      </c>
      <c r="N17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78">
        <v>21.84</v>
      </c>
      <c r="P178">
        <v>54.6</v>
      </c>
      <c r="Q178">
        <v>80.64</v>
      </c>
      <c r="R178">
        <v>44.377200000000002</v>
      </c>
      <c r="S178">
        <v>0.2</v>
      </c>
      <c r="T178">
        <v>0.02</v>
      </c>
      <c r="U178" s="8">
        <f>Table3[[#This Row],[PrimaNeta]]*Table3[[#This Row],[Comisión]]</f>
        <v>3847.0720941599998</v>
      </c>
      <c r="V178" s="15">
        <f>Table3[[#This Row],[PrimaComercial Anual]]-Table3[[#This Row],[PrimaComercial Anual]]*SUM(Table3[[#This Row],[APS]:[IVA]])</f>
        <v>19235.360470799998</v>
      </c>
      <c r="W178" s="2">
        <v>1.4800000000000001E-2</v>
      </c>
      <c r="X178" s="2">
        <v>8.4501000000000007E-2</v>
      </c>
      <c r="Y178">
        <v>0.03</v>
      </c>
      <c r="Z178">
        <v>0.13</v>
      </c>
      <c r="AA178" s="20">
        <f>Table3[[#This Row],[APS]]*Table3[[#This Row],[PrimaComercial Anual]]</f>
        <v>384.34416000000004</v>
      </c>
      <c r="AB178" s="8">
        <f>Table3[[#This Row],[PrimaComercial Anual]]*Table3[[#This Row],[Recargo adicional]]</f>
        <v>2194.4233692000003</v>
      </c>
      <c r="AC178" s="8">
        <f>Table3[[#This Row],[PrimaComercial Anual]]*Table3[[#This Row],[IT]]</f>
        <v>779.07600000000002</v>
      </c>
      <c r="AD178" s="8">
        <f>Table3[[#This Row],[PrimaComercial Anual]]*Table3[[#This Row],[IVA]]</f>
        <v>3375.9960000000001</v>
      </c>
      <c r="AE178" s="15">
        <f>Table3[[#This Row],[PrimaComercial Anual Asistencia]]</f>
        <v>25969.200000000001</v>
      </c>
      <c r="AG178">
        <v>25969.200000000001</v>
      </c>
    </row>
    <row r="179" spans="1:33" x14ac:dyDescent="0.25">
      <c r="A179" t="s">
        <v>18</v>
      </c>
      <c r="B179">
        <v>70000</v>
      </c>
      <c r="C179">
        <v>77</v>
      </c>
      <c r="D179" s="2">
        <f>Table3[[#This Row],[PrimaTécnica]]-Table3[[#This Row],[PrimaTécnica]]*SUM(Table3[[#This Row],[Gastos Adm]:[Cobranza]])</f>
        <v>11845.728317779198</v>
      </c>
      <c r="E179">
        <v>0</v>
      </c>
      <c r="F179">
        <v>0.15</v>
      </c>
      <c r="G179">
        <v>0.05</v>
      </c>
      <c r="H179">
        <v>0.01</v>
      </c>
      <c r="I179">
        <v>0.01</v>
      </c>
      <c r="J179" s="8">
        <f>Table3[[#This Row],[PrimaTécnica]]*Table3[[#This Row],[Gastos Adm]]</f>
        <v>2278.0246764959998</v>
      </c>
      <c r="K179" s="8">
        <f>Table3[[#This Row],[PrimaTécnica]]*Table3[[#This Row],[Utilidad]]</f>
        <v>759.34155883199992</v>
      </c>
      <c r="L179" s="8">
        <f>Table3[[#This Row],[PrimaTécnica]]*Table3[[#This Row],[Marketing]]</f>
        <v>151.86831176639998</v>
      </c>
      <c r="M179" s="8">
        <f>Table3[[#This Row],[PrimaTécnica]]*Table3[[#This Row],[Cobranza]]</f>
        <v>151.86831176639998</v>
      </c>
      <c r="N17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79">
        <v>21.84</v>
      </c>
      <c r="P179">
        <v>54.6</v>
      </c>
      <c r="Q179">
        <v>80.64</v>
      </c>
      <c r="R179">
        <v>44.377200000000002</v>
      </c>
      <c r="S179">
        <v>0.2</v>
      </c>
      <c r="T179">
        <v>0.02</v>
      </c>
      <c r="U179" s="8">
        <f>Table3[[#This Row],[PrimaNeta]]*Table3[[#This Row],[Comisión]]</f>
        <v>3847.0720941599998</v>
      </c>
      <c r="V179" s="15">
        <f>Table3[[#This Row],[PrimaComercial Anual]]-Table3[[#This Row],[PrimaComercial Anual]]*SUM(Table3[[#This Row],[APS]:[IVA]])</f>
        <v>19235.360470799998</v>
      </c>
      <c r="W179" s="2">
        <v>1.4800000000000001E-2</v>
      </c>
      <c r="X179" s="2">
        <v>8.4501000000000007E-2</v>
      </c>
      <c r="Y179">
        <v>0.03</v>
      </c>
      <c r="Z179">
        <v>0.13</v>
      </c>
      <c r="AA179" s="20">
        <f>Table3[[#This Row],[APS]]*Table3[[#This Row],[PrimaComercial Anual]]</f>
        <v>384.34416000000004</v>
      </c>
      <c r="AB179" s="8">
        <f>Table3[[#This Row],[PrimaComercial Anual]]*Table3[[#This Row],[Recargo adicional]]</f>
        <v>2194.4233692000003</v>
      </c>
      <c r="AC179" s="8">
        <f>Table3[[#This Row],[PrimaComercial Anual]]*Table3[[#This Row],[IT]]</f>
        <v>779.07600000000002</v>
      </c>
      <c r="AD179" s="8">
        <f>Table3[[#This Row],[PrimaComercial Anual]]*Table3[[#This Row],[IVA]]</f>
        <v>3375.9960000000001</v>
      </c>
      <c r="AE179" s="15">
        <f>Table3[[#This Row],[PrimaComercial Anual Asistencia]]</f>
        <v>25969.200000000001</v>
      </c>
      <c r="AG179">
        <v>25969.200000000001</v>
      </c>
    </row>
    <row r="180" spans="1:33" x14ac:dyDescent="0.25">
      <c r="A180" t="s">
        <v>18</v>
      </c>
      <c r="B180">
        <v>70000</v>
      </c>
      <c r="C180">
        <v>78</v>
      </c>
      <c r="D180" s="2">
        <f>Table3[[#This Row],[PrimaTécnica]]-Table3[[#This Row],[PrimaTécnica]]*SUM(Table3[[#This Row],[Gastos Adm]:[Cobranza]])</f>
        <v>11845.728317779198</v>
      </c>
      <c r="E180">
        <v>0</v>
      </c>
      <c r="F180">
        <v>0.15</v>
      </c>
      <c r="G180">
        <v>0.05</v>
      </c>
      <c r="H180">
        <v>0.01</v>
      </c>
      <c r="I180">
        <v>0.01</v>
      </c>
      <c r="J180" s="8">
        <f>Table3[[#This Row],[PrimaTécnica]]*Table3[[#This Row],[Gastos Adm]]</f>
        <v>2278.0246764959998</v>
      </c>
      <c r="K180" s="8">
        <f>Table3[[#This Row],[PrimaTécnica]]*Table3[[#This Row],[Utilidad]]</f>
        <v>759.34155883199992</v>
      </c>
      <c r="L180" s="8">
        <f>Table3[[#This Row],[PrimaTécnica]]*Table3[[#This Row],[Marketing]]</f>
        <v>151.86831176639998</v>
      </c>
      <c r="M180" s="8">
        <f>Table3[[#This Row],[PrimaTécnica]]*Table3[[#This Row],[Cobranza]]</f>
        <v>151.86831176639998</v>
      </c>
      <c r="N18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80">
        <v>21.84</v>
      </c>
      <c r="P180">
        <v>54.6</v>
      </c>
      <c r="Q180">
        <v>80.64</v>
      </c>
      <c r="R180">
        <v>44.377200000000002</v>
      </c>
      <c r="S180">
        <v>0.2</v>
      </c>
      <c r="T180">
        <v>0.02</v>
      </c>
      <c r="U180" s="8">
        <f>Table3[[#This Row],[PrimaNeta]]*Table3[[#This Row],[Comisión]]</f>
        <v>3847.0720941599998</v>
      </c>
      <c r="V180" s="15">
        <f>Table3[[#This Row],[PrimaComercial Anual]]-Table3[[#This Row],[PrimaComercial Anual]]*SUM(Table3[[#This Row],[APS]:[IVA]])</f>
        <v>19235.360470799998</v>
      </c>
      <c r="W180" s="2">
        <v>1.4800000000000001E-2</v>
      </c>
      <c r="X180" s="2">
        <v>8.4501000000000007E-2</v>
      </c>
      <c r="Y180">
        <v>0.03</v>
      </c>
      <c r="Z180">
        <v>0.13</v>
      </c>
      <c r="AA180" s="20">
        <f>Table3[[#This Row],[APS]]*Table3[[#This Row],[PrimaComercial Anual]]</f>
        <v>384.34416000000004</v>
      </c>
      <c r="AB180" s="8">
        <f>Table3[[#This Row],[PrimaComercial Anual]]*Table3[[#This Row],[Recargo adicional]]</f>
        <v>2194.4233692000003</v>
      </c>
      <c r="AC180" s="8">
        <f>Table3[[#This Row],[PrimaComercial Anual]]*Table3[[#This Row],[IT]]</f>
        <v>779.07600000000002</v>
      </c>
      <c r="AD180" s="8">
        <f>Table3[[#This Row],[PrimaComercial Anual]]*Table3[[#This Row],[IVA]]</f>
        <v>3375.9960000000001</v>
      </c>
      <c r="AE180" s="15">
        <f>Table3[[#This Row],[PrimaComercial Anual Asistencia]]</f>
        <v>25969.200000000001</v>
      </c>
      <c r="AG180">
        <v>25969.200000000001</v>
      </c>
    </row>
    <row r="181" spans="1:33" x14ac:dyDescent="0.25">
      <c r="A181" t="s">
        <v>18</v>
      </c>
      <c r="B181">
        <v>70000</v>
      </c>
      <c r="C181">
        <v>79</v>
      </c>
      <c r="D181" s="2">
        <f>Table3[[#This Row],[PrimaTécnica]]-Table3[[#This Row],[PrimaTécnica]]*SUM(Table3[[#This Row],[Gastos Adm]:[Cobranza]])</f>
        <v>11845.728317779198</v>
      </c>
      <c r="E181">
        <v>0</v>
      </c>
      <c r="F181">
        <v>0.15</v>
      </c>
      <c r="G181">
        <v>0.05</v>
      </c>
      <c r="H181">
        <v>0.01</v>
      </c>
      <c r="I181">
        <v>0.01</v>
      </c>
      <c r="J181" s="8">
        <f>Table3[[#This Row],[PrimaTécnica]]*Table3[[#This Row],[Gastos Adm]]</f>
        <v>2278.0246764959998</v>
      </c>
      <c r="K181" s="8">
        <f>Table3[[#This Row],[PrimaTécnica]]*Table3[[#This Row],[Utilidad]]</f>
        <v>759.34155883199992</v>
      </c>
      <c r="L181" s="8">
        <f>Table3[[#This Row],[PrimaTécnica]]*Table3[[#This Row],[Marketing]]</f>
        <v>151.86831176639998</v>
      </c>
      <c r="M181" s="8">
        <f>Table3[[#This Row],[PrimaTécnica]]*Table3[[#This Row],[Cobranza]]</f>
        <v>151.86831176639998</v>
      </c>
      <c r="N18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81">
        <v>21.84</v>
      </c>
      <c r="P181">
        <v>54.6</v>
      </c>
      <c r="Q181">
        <v>80.64</v>
      </c>
      <c r="R181">
        <v>44.377200000000002</v>
      </c>
      <c r="S181">
        <v>0.2</v>
      </c>
      <c r="T181">
        <v>0.02</v>
      </c>
      <c r="U181" s="8">
        <f>Table3[[#This Row],[PrimaNeta]]*Table3[[#This Row],[Comisión]]</f>
        <v>3847.0720941599998</v>
      </c>
      <c r="V181" s="15">
        <f>Table3[[#This Row],[PrimaComercial Anual]]-Table3[[#This Row],[PrimaComercial Anual]]*SUM(Table3[[#This Row],[APS]:[IVA]])</f>
        <v>19235.360470799998</v>
      </c>
      <c r="W181" s="2">
        <v>1.4800000000000001E-2</v>
      </c>
      <c r="X181" s="2">
        <v>8.4501000000000007E-2</v>
      </c>
      <c r="Y181">
        <v>0.03</v>
      </c>
      <c r="Z181">
        <v>0.13</v>
      </c>
      <c r="AA181" s="20">
        <f>Table3[[#This Row],[APS]]*Table3[[#This Row],[PrimaComercial Anual]]</f>
        <v>384.34416000000004</v>
      </c>
      <c r="AB181" s="8">
        <f>Table3[[#This Row],[PrimaComercial Anual]]*Table3[[#This Row],[Recargo adicional]]</f>
        <v>2194.4233692000003</v>
      </c>
      <c r="AC181" s="8">
        <f>Table3[[#This Row],[PrimaComercial Anual]]*Table3[[#This Row],[IT]]</f>
        <v>779.07600000000002</v>
      </c>
      <c r="AD181" s="8">
        <f>Table3[[#This Row],[PrimaComercial Anual]]*Table3[[#This Row],[IVA]]</f>
        <v>3375.9960000000001</v>
      </c>
      <c r="AE181" s="15">
        <f>Table3[[#This Row],[PrimaComercial Anual Asistencia]]</f>
        <v>25969.200000000001</v>
      </c>
      <c r="AG181">
        <v>25969.200000000001</v>
      </c>
    </row>
    <row r="182" spans="1:33" x14ac:dyDescent="0.25">
      <c r="A182" t="s">
        <v>18</v>
      </c>
      <c r="B182">
        <v>70000</v>
      </c>
      <c r="C182">
        <v>80</v>
      </c>
      <c r="D182" s="2">
        <f>Table3[[#This Row],[PrimaTécnica]]-Table3[[#This Row],[PrimaTécnica]]*SUM(Table3[[#This Row],[Gastos Adm]:[Cobranza]])</f>
        <v>11845.728317779198</v>
      </c>
      <c r="E182">
        <v>0</v>
      </c>
      <c r="F182">
        <v>0.15</v>
      </c>
      <c r="G182">
        <v>0.05</v>
      </c>
      <c r="H182">
        <v>0.01</v>
      </c>
      <c r="I182">
        <v>0.01</v>
      </c>
      <c r="J182" s="8">
        <f>Table3[[#This Row],[PrimaTécnica]]*Table3[[#This Row],[Gastos Adm]]</f>
        <v>2278.0246764959998</v>
      </c>
      <c r="K182" s="8">
        <f>Table3[[#This Row],[PrimaTécnica]]*Table3[[#This Row],[Utilidad]]</f>
        <v>759.34155883199992</v>
      </c>
      <c r="L182" s="8">
        <f>Table3[[#This Row],[PrimaTécnica]]*Table3[[#This Row],[Marketing]]</f>
        <v>151.86831176639998</v>
      </c>
      <c r="M182" s="8">
        <f>Table3[[#This Row],[PrimaTécnica]]*Table3[[#This Row],[Cobranza]]</f>
        <v>151.86831176639998</v>
      </c>
      <c r="N18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82">
        <v>21.84</v>
      </c>
      <c r="P182">
        <v>54.6</v>
      </c>
      <c r="Q182">
        <v>80.64</v>
      </c>
      <c r="R182">
        <v>44.377200000000002</v>
      </c>
      <c r="S182">
        <v>0.2</v>
      </c>
      <c r="T182">
        <v>0.02</v>
      </c>
      <c r="U182" s="8">
        <f>Table3[[#This Row],[PrimaNeta]]*Table3[[#This Row],[Comisión]]</f>
        <v>3847.0720941599998</v>
      </c>
      <c r="V182" s="15">
        <f>Table3[[#This Row],[PrimaComercial Anual]]-Table3[[#This Row],[PrimaComercial Anual]]*SUM(Table3[[#This Row],[APS]:[IVA]])</f>
        <v>19235.360470799998</v>
      </c>
      <c r="W182" s="2">
        <v>1.4800000000000001E-2</v>
      </c>
      <c r="X182" s="2">
        <v>8.4501000000000007E-2</v>
      </c>
      <c r="Y182">
        <v>0.03</v>
      </c>
      <c r="Z182">
        <v>0.13</v>
      </c>
      <c r="AA182" s="20">
        <f>Table3[[#This Row],[APS]]*Table3[[#This Row],[PrimaComercial Anual]]</f>
        <v>384.34416000000004</v>
      </c>
      <c r="AB182" s="8">
        <f>Table3[[#This Row],[PrimaComercial Anual]]*Table3[[#This Row],[Recargo adicional]]</f>
        <v>2194.4233692000003</v>
      </c>
      <c r="AC182" s="8">
        <f>Table3[[#This Row],[PrimaComercial Anual]]*Table3[[#This Row],[IT]]</f>
        <v>779.07600000000002</v>
      </c>
      <c r="AD182" s="8">
        <f>Table3[[#This Row],[PrimaComercial Anual]]*Table3[[#This Row],[IVA]]</f>
        <v>3375.9960000000001</v>
      </c>
      <c r="AE182" s="15">
        <f>Table3[[#This Row],[PrimaComercial Anual Asistencia]]</f>
        <v>25969.200000000001</v>
      </c>
      <c r="AG182">
        <v>25969.200000000001</v>
      </c>
    </row>
    <row r="183" spans="1:33" x14ac:dyDescent="0.25">
      <c r="A183" t="s">
        <v>18</v>
      </c>
      <c r="B183">
        <v>70000</v>
      </c>
      <c r="C183">
        <v>81</v>
      </c>
      <c r="D183" s="2">
        <f>Table3[[#This Row],[PrimaTécnica]]-Table3[[#This Row],[PrimaTécnica]]*SUM(Table3[[#This Row],[Gastos Adm]:[Cobranza]])</f>
        <v>11845.728317779198</v>
      </c>
      <c r="E183">
        <v>0</v>
      </c>
      <c r="F183">
        <v>0.15</v>
      </c>
      <c r="G183">
        <v>0.05</v>
      </c>
      <c r="H183">
        <v>0.01</v>
      </c>
      <c r="I183">
        <v>0.01</v>
      </c>
      <c r="J183" s="8">
        <f>Table3[[#This Row],[PrimaTécnica]]*Table3[[#This Row],[Gastos Adm]]</f>
        <v>2278.0246764959998</v>
      </c>
      <c r="K183" s="8">
        <f>Table3[[#This Row],[PrimaTécnica]]*Table3[[#This Row],[Utilidad]]</f>
        <v>759.34155883199992</v>
      </c>
      <c r="L183" s="8">
        <f>Table3[[#This Row],[PrimaTécnica]]*Table3[[#This Row],[Marketing]]</f>
        <v>151.86831176639998</v>
      </c>
      <c r="M183" s="8">
        <f>Table3[[#This Row],[PrimaTécnica]]*Table3[[#This Row],[Cobranza]]</f>
        <v>151.86831176639998</v>
      </c>
      <c r="N18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83">
        <v>21.84</v>
      </c>
      <c r="P183">
        <v>54.6</v>
      </c>
      <c r="Q183">
        <v>80.64</v>
      </c>
      <c r="R183">
        <v>44.377200000000002</v>
      </c>
      <c r="S183">
        <v>0.2</v>
      </c>
      <c r="T183">
        <v>0.02</v>
      </c>
      <c r="U183" s="8">
        <f>Table3[[#This Row],[PrimaNeta]]*Table3[[#This Row],[Comisión]]</f>
        <v>3847.0720941599998</v>
      </c>
      <c r="V183" s="15">
        <f>Table3[[#This Row],[PrimaComercial Anual]]-Table3[[#This Row],[PrimaComercial Anual]]*SUM(Table3[[#This Row],[APS]:[IVA]])</f>
        <v>19235.360470799998</v>
      </c>
      <c r="W183" s="2">
        <v>1.4800000000000001E-2</v>
      </c>
      <c r="X183" s="2">
        <v>8.4501000000000007E-2</v>
      </c>
      <c r="Y183">
        <v>0.03</v>
      </c>
      <c r="Z183">
        <v>0.13</v>
      </c>
      <c r="AA183" s="20">
        <f>Table3[[#This Row],[APS]]*Table3[[#This Row],[PrimaComercial Anual]]</f>
        <v>384.34416000000004</v>
      </c>
      <c r="AB183" s="8">
        <f>Table3[[#This Row],[PrimaComercial Anual]]*Table3[[#This Row],[Recargo adicional]]</f>
        <v>2194.4233692000003</v>
      </c>
      <c r="AC183" s="8">
        <f>Table3[[#This Row],[PrimaComercial Anual]]*Table3[[#This Row],[IT]]</f>
        <v>779.07600000000002</v>
      </c>
      <c r="AD183" s="8">
        <f>Table3[[#This Row],[PrimaComercial Anual]]*Table3[[#This Row],[IVA]]</f>
        <v>3375.9960000000001</v>
      </c>
      <c r="AE183" s="15">
        <f>Table3[[#This Row],[PrimaComercial Anual Asistencia]]</f>
        <v>25969.200000000001</v>
      </c>
      <c r="AG183">
        <v>25969.200000000001</v>
      </c>
    </row>
    <row r="184" spans="1:33" x14ac:dyDescent="0.25">
      <c r="A184" t="s">
        <v>18</v>
      </c>
      <c r="B184">
        <v>70000</v>
      </c>
      <c r="C184">
        <v>82</v>
      </c>
      <c r="D184" s="2">
        <f>Table3[[#This Row],[PrimaTécnica]]-Table3[[#This Row],[PrimaTécnica]]*SUM(Table3[[#This Row],[Gastos Adm]:[Cobranza]])</f>
        <v>11845.728317779198</v>
      </c>
      <c r="E184">
        <v>0</v>
      </c>
      <c r="F184">
        <v>0.15</v>
      </c>
      <c r="G184">
        <v>0.05</v>
      </c>
      <c r="H184">
        <v>0.01</v>
      </c>
      <c r="I184">
        <v>0.01</v>
      </c>
      <c r="J184" s="8">
        <f>Table3[[#This Row],[PrimaTécnica]]*Table3[[#This Row],[Gastos Adm]]</f>
        <v>2278.0246764959998</v>
      </c>
      <c r="K184" s="8">
        <f>Table3[[#This Row],[PrimaTécnica]]*Table3[[#This Row],[Utilidad]]</f>
        <v>759.34155883199992</v>
      </c>
      <c r="L184" s="8">
        <f>Table3[[#This Row],[PrimaTécnica]]*Table3[[#This Row],[Marketing]]</f>
        <v>151.86831176639998</v>
      </c>
      <c r="M184" s="8">
        <f>Table3[[#This Row],[PrimaTécnica]]*Table3[[#This Row],[Cobranza]]</f>
        <v>151.86831176639998</v>
      </c>
      <c r="N18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84">
        <v>21.84</v>
      </c>
      <c r="P184">
        <v>54.6</v>
      </c>
      <c r="Q184">
        <v>80.64</v>
      </c>
      <c r="R184">
        <v>44.377200000000002</v>
      </c>
      <c r="S184">
        <v>0.2</v>
      </c>
      <c r="T184">
        <v>0.02</v>
      </c>
      <c r="U184" s="8">
        <f>Table3[[#This Row],[PrimaNeta]]*Table3[[#This Row],[Comisión]]</f>
        <v>3847.0720941599998</v>
      </c>
      <c r="V184" s="15">
        <f>Table3[[#This Row],[PrimaComercial Anual]]-Table3[[#This Row],[PrimaComercial Anual]]*SUM(Table3[[#This Row],[APS]:[IVA]])</f>
        <v>19235.360470799998</v>
      </c>
      <c r="W184" s="2">
        <v>1.4800000000000001E-2</v>
      </c>
      <c r="X184" s="2">
        <v>8.4501000000000007E-2</v>
      </c>
      <c r="Y184">
        <v>0.03</v>
      </c>
      <c r="Z184">
        <v>0.13</v>
      </c>
      <c r="AA184" s="20">
        <f>Table3[[#This Row],[APS]]*Table3[[#This Row],[PrimaComercial Anual]]</f>
        <v>384.34416000000004</v>
      </c>
      <c r="AB184" s="8">
        <f>Table3[[#This Row],[PrimaComercial Anual]]*Table3[[#This Row],[Recargo adicional]]</f>
        <v>2194.4233692000003</v>
      </c>
      <c r="AC184" s="8">
        <f>Table3[[#This Row],[PrimaComercial Anual]]*Table3[[#This Row],[IT]]</f>
        <v>779.07600000000002</v>
      </c>
      <c r="AD184" s="8">
        <f>Table3[[#This Row],[PrimaComercial Anual]]*Table3[[#This Row],[IVA]]</f>
        <v>3375.9960000000001</v>
      </c>
      <c r="AE184" s="15">
        <f>Table3[[#This Row],[PrimaComercial Anual Asistencia]]</f>
        <v>25969.200000000001</v>
      </c>
      <c r="AG184">
        <v>25969.200000000001</v>
      </c>
    </row>
    <row r="185" spans="1:33" x14ac:dyDescent="0.25">
      <c r="A185" t="s">
        <v>18</v>
      </c>
      <c r="B185">
        <v>70000</v>
      </c>
      <c r="C185">
        <v>83</v>
      </c>
      <c r="D185" s="2">
        <f>Table3[[#This Row],[PrimaTécnica]]-Table3[[#This Row],[PrimaTécnica]]*SUM(Table3[[#This Row],[Gastos Adm]:[Cobranza]])</f>
        <v>11845.728317779198</v>
      </c>
      <c r="E185">
        <v>0</v>
      </c>
      <c r="F185">
        <v>0.15</v>
      </c>
      <c r="G185">
        <v>0.05</v>
      </c>
      <c r="H185">
        <v>0.01</v>
      </c>
      <c r="I185">
        <v>0.01</v>
      </c>
      <c r="J185" s="8">
        <f>Table3[[#This Row],[PrimaTécnica]]*Table3[[#This Row],[Gastos Adm]]</f>
        <v>2278.0246764959998</v>
      </c>
      <c r="K185" s="8">
        <f>Table3[[#This Row],[PrimaTécnica]]*Table3[[#This Row],[Utilidad]]</f>
        <v>759.34155883199992</v>
      </c>
      <c r="L185" s="8">
        <f>Table3[[#This Row],[PrimaTécnica]]*Table3[[#This Row],[Marketing]]</f>
        <v>151.86831176639998</v>
      </c>
      <c r="M185" s="8">
        <f>Table3[[#This Row],[PrimaTécnica]]*Table3[[#This Row],[Cobranza]]</f>
        <v>151.86831176639998</v>
      </c>
      <c r="N18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85">
        <v>21.84</v>
      </c>
      <c r="P185">
        <v>54.6</v>
      </c>
      <c r="Q185">
        <v>80.64</v>
      </c>
      <c r="R185">
        <v>44.377200000000002</v>
      </c>
      <c r="S185">
        <v>0.2</v>
      </c>
      <c r="T185">
        <v>0.02</v>
      </c>
      <c r="U185" s="8">
        <f>Table3[[#This Row],[PrimaNeta]]*Table3[[#This Row],[Comisión]]</f>
        <v>3847.0720941599998</v>
      </c>
      <c r="V185" s="15">
        <f>Table3[[#This Row],[PrimaComercial Anual]]-Table3[[#This Row],[PrimaComercial Anual]]*SUM(Table3[[#This Row],[APS]:[IVA]])</f>
        <v>19235.360470799998</v>
      </c>
      <c r="W185" s="2">
        <v>1.4800000000000001E-2</v>
      </c>
      <c r="X185" s="2">
        <v>8.4501000000000007E-2</v>
      </c>
      <c r="Y185">
        <v>0.03</v>
      </c>
      <c r="Z185">
        <v>0.13</v>
      </c>
      <c r="AA185" s="20">
        <f>Table3[[#This Row],[APS]]*Table3[[#This Row],[PrimaComercial Anual]]</f>
        <v>384.34416000000004</v>
      </c>
      <c r="AB185" s="8">
        <f>Table3[[#This Row],[PrimaComercial Anual]]*Table3[[#This Row],[Recargo adicional]]</f>
        <v>2194.4233692000003</v>
      </c>
      <c r="AC185" s="8">
        <f>Table3[[#This Row],[PrimaComercial Anual]]*Table3[[#This Row],[IT]]</f>
        <v>779.07600000000002</v>
      </c>
      <c r="AD185" s="8">
        <f>Table3[[#This Row],[PrimaComercial Anual]]*Table3[[#This Row],[IVA]]</f>
        <v>3375.9960000000001</v>
      </c>
      <c r="AE185" s="15">
        <f>Table3[[#This Row],[PrimaComercial Anual Asistencia]]</f>
        <v>25969.200000000001</v>
      </c>
      <c r="AG185">
        <v>25969.200000000001</v>
      </c>
    </row>
    <row r="186" spans="1:33" x14ac:dyDescent="0.25">
      <c r="A186" t="s">
        <v>18</v>
      </c>
      <c r="B186">
        <v>70000</v>
      </c>
      <c r="C186">
        <v>84</v>
      </c>
      <c r="D186" s="2">
        <f>Table3[[#This Row],[PrimaTécnica]]-Table3[[#This Row],[PrimaTécnica]]*SUM(Table3[[#This Row],[Gastos Adm]:[Cobranza]])</f>
        <v>11845.728317779198</v>
      </c>
      <c r="E186">
        <v>0</v>
      </c>
      <c r="F186">
        <v>0.15</v>
      </c>
      <c r="G186">
        <v>0.05</v>
      </c>
      <c r="H186">
        <v>0.01</v>
      </c>
      <c r="I186">
        <v>0.01</v>
      </c>
      <c r="J186" s="8">
        <f>Table3[[#This Row],[PrimaTécnica]]*Table3[[#This Row],[Gastos Adm]]</f>
        <v>2278.0246764959998</v>
      </c>
      <c r="K186" s="8">
        <f>Table3[[#This Row],[PrimaTécnica]]*Table3[[#This Row],[Utilidad]]</f>
        <v>759.34155883199992</v>
      </c>
      <c r="L186" s="8">
        <f>Table3[[#This Row],[PrimaTécnica]]*Table3[[#This Row],[Marketing]]</f>
        <v>151.86831176639998</v>
      </c>
      <c r="M186" s="8">
        <f>Table3[[#This Row],[PrimaTécnica]]*Table3[[#This Row],[Cobranza]]</f>
        <v>151.86831176639998</v>
      </c>
      <c r="N18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86">
        <v>21.84</v>
      </c>
      <c r="P186">
        <v>54.6</v>
      </c>
      <c r="Q186">
        <v>80.64</v>
      </c>
      <c r="R186">
        <v>44.377200000000002</v>
      </c>
      <c r="S186">
        <v>0.2</v>
      </c>
      <c r="T186">
        <v>0.02</v>
      </c>
      <c r="U186" s="8">
        <f>Table3[[#This Row],[PrimaNeta]]*Table3[[#This Row],[Comisión]]</f>
        <v>3847.0720941599998</v>
      </c>
      <c r="V186" s="15">
        <f>Table3[[#This Row],[PrimaComercial Anual]]-Table3[[#This Row],[PrimaComercial Anual]]*SUM(Table3[[#This Row],[APS]:[IVA]])</f>
        <v>19235.360470799998</v>
      </c>
      <c r="W186" s="2">
        <v>1.4800000000000001E-2</v>
      </c>
      <c r="X186" s="2">
        <v>8.4501000000000007E-2</v>
      </c>
      <c r="Y186">
        <v>0.03</v>
      </c>
      <c r="Z186">
        <v>0.13</v>
      </c>
      <c r="AA186" s="20">
        <f>Table3[[#This Row],[APS]]*Table3[[#This Row],[PrimaComercial Anual]]</f>
        <v>384.34416000000004</v>
      </c>
      <c r="AB186" s="8">
        <f>Table3[[#This Row],[PrimaComercial Anual]]*Table3[[#This Row],[Recargo adicional]]</f>
        <v>2194.4233692000003</v>
      </c>
      <c r="AC186" s="8">
        <f>Table3[[#This Row],[PrimaComercial Anual]]*Table3[[#This Row],[IT]]</f>
        <v>779.07600000000002</v>
      </c>
      <c r="AD186" s="8">
        <f>Table3[[#This Row],[PrimaComercial Anual]]*Table3[[#This Row],[IVA]]</f>
        <v>3375.9960000000001</v>
      </c>
      <c r="AE186" s="15">
        <f>Table3[[#This Row],[PrimaComercial Anual Asistencia]]</f>
        <v>25969.200000000001</v>
      </c>
      <c r="AG186">
        <v>25969.200000000001</v>
      </c>
    </row>
    <row r="187" spans="1:33" x14ac:dyDescent="0.25">
      <c r="A187" t="s">
        <v>18</v>
      </c>
      <c r="B187">
        <v>70000</v>
      </c>
      <c r="C187">
        <v>85</v>
      </c>
      <c r="D187" s="2">
        <f>Table3[[#This Row],[PrimaTécnica]]-Table3[[#This Row],[PrimaTécnica]]*SUM(Table3[[#This Row],[Gastos Adm]:[Cobranza]])</f>
        <v>11845.728317779198</v>
      </c>
      <c r="E187">
        <v>0</v>
      </c>
      <c r="F187">
        <v>0.15</v>
      </c>
      <c r="G187">
        <v>0.05</v>
      </c>
      <c r="H187">
        <v>0.01</v>
      </c>
      <c r="I187">
        <v>0.01</v>
      </c>
      <c r="J187" s="8">
        <f>Table3[[#This Row],[PrimaTécnica]]*Table3[[#This Row],[Gastos Adm]]</f>
        <v>2278.0246764959998</v>
      </c>
      <c r="K187" s="8">
        <f>Table3[[#This Row],[PrimaTécnica]]*Table3[[#This Row],[Utilidad]]</f>
        <v>759.34155883199992</v>
      </c>
      <c r="L187" s="8">
        <f>Table3[[#This Row],[PrimaTécnica]]*Table3[[#This Row],[Marketing]]</f>
        <v>151.86831176639998</v>
      </c>
      <c r="M187" s="8">
        <f>Table3[[#This Row],[PrimaTécnica]]*Table3[[#This Row],[Cobranza]]</f>
        <v>151.86831176639998</v>
      </c>
      <c r="N18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87">
        <v>21.84</v>
      </c>
      <c r="P187">
        <v>54.6</v>
      </c>
      <c r="Q187">
        <v>80.64</v>
      </c>
      <c r="R187">
        <v>44.377200000000002</v>
      </c>
      <c r="S187">
        <v>0.2</v>
      </c>
      <c r="T187">
        <v>0.02</v>
      </c>
      <c r="U187" s="8">
        <f>Table3[[#This Row],[PrimaNeta]]*Table3[[#This Row],[Comisión]]</f>
        <v>3847.0720941599998</v>
      </c>
      <c r="V187" s="15">
        <f>Table3[[#This Row],[PrimaComercial Anual]]-Table3[[#This Row],[PrimaComercial Anual]]*SUM(Table3[[#This Row],[APS]:[IVA]])</f>
        <v>19235.360470799998</v>
      </c>
      <c r="W187" s="2">
        <v>1.4800000000000001E-2</v>
      </c>
      <c r="X187" s="2">
        <v>8.4501000000000007E-2</v>
      </c>
      <c r="Y187">
        <v>0.03</v>
      </c>
      <c r="Z187">
        <v>0.13</v>
      </c>
      <c r="AA187" s="20">
        <f>Table3[[#This Row],[APS]]*Table3[[#This Row],[PrimaComercial Anual]]</f>
        <v>384.34416000000004</v>
      </c>
      <c r="AB187" s="8">
        <f>Table3[[#This Row],[PrimaComercial Anual]]*Table3[[#This Row],[Recargo adicional]]</f>
        <v>2194.4233692000003</v>
      </c>
      <c r="AC187" s="8">
        <f>Table3[[#This Row],[PrimaComercial Anual]]*Table3[[#This Row],[IT]]</f>
        <v>779.07600000000002</v>
      </c>
      <c r="AD187" s="8">
        <f>Table3[[#This Row],[PrimaComercial Anual]]*Table3[[#This Row],[IVA]]</f>
        <v>3375.9960000000001</v>
      </c>
      <c r="AE187" s="15">
        <f>Table3[[#This Row],[PrimaComercial Anual Asistencia]]</f>
        <v>25969.200000000001</v>
      </c>
      <c r="AG187">
        <v>25969.200000000001</v>
      </c>
    </row>
    <row r="188" spans="1:33" x14ac:dyDescent="0.25">
      <c r="A188" t="s">
        <v>18</v>
      </c>
      <c r="B188">
        <v>70000</v>
      </c>
      <c r="C188">
        <v>86</v>
      </c>
      <c r="D188" s="2">
        <f>Table3[[#This Row],[PrimaTécnica]]-Table3[[#This Row],[PrimaTécnica]]*SUM(Table3[[#This Row],[Gastos Adm]:[Cobranza]])</f>
        <v>11845.728317779198</v>
      </c>
      <c r="E188">
        <v>0</v>
      </c>
      <c r="F188">
        <v>0.15</v>
      </c>
      <c r="G188">
        <v>0.05</v>
      </c>
      <c r="H188">
        <v>0.01</v>
      </c>
      <c r="I188">
        <v>0.01</v>
      </c>
      <c r="J188" s="8">
        <f>Table3[[#This Row],[PrimaTécnica]]*Table3[[#This Row],[Gastos Adm]]</f>
        <v>2278.0246764959998</v>
      </c>
      <c r="K188" s="8">
        <f>Table3[[#This Row],[PrimaTécnica]]*Table3[[#This Row],[Utilidad]]</f>
        <v>759.34155883199992</v>
      </c>
      <c r="L188" s="8">
        <f>Table3[[#This Row],[PrimaTécnica]]*Table3[[#This Row],[Marketing]]</f>
        <v>151.86831176639998</v>
      </c>
      <c r="M188" s="8">
        <f>Table3[[#This Row],[PrimaTécnica]]*Table3[[#This Row],[Cobranza]]</f>
        <v>151.86831176639998</v>
      </c>
      <c r="N18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88">
        <v>21.84</v>
      </c>
      <c r="P188">
        <v>54.6</v>
      </c>
      <c r="Q188">
        <v>80.64</v>
      </c>
      <c r="R188">
        <v>44.377200000000002</v>
      </c>
      <c r="S188">
        <v>0.2</v>
      </c>
      <c r="T188">
        <v>0.02</v>
      </c>
      <c r="U188" s="8">
        <f>Table3[[#This Row],[PrimaNeta]]*Table3[[#This Row],[Comisión]]</f>
        <v>3847.0720941599998</v>
      </c>
      <c r="V188" s="15">
        <f>Table3[[#This Row],[PrimaComercial Anual]]-Table3[[#This Row],[PrimaComercial Anual]]*SUM(Table3[[#This Row],[APS]:[IVA]])</f>
        <v>19235.360470799998</v>
      </c>
      <c r="W188" s="2">
        <v>1.4800000000000001E-2</v>
      </c>
      <c r="X188" s="2">
        <v>8.4501000000000007E-2</v>
      </c>
      <c r="Y188">
        <v>0.03</v>
      </c>
      <c r="Z188">
        <v>0.13</v>
      </c>
      <c r="AA188" s="20">
        <f>Table3[[#This Row],[APS]]*Table3[[#This Row],[PrimaComercial Anual]]</f>
        <v>384.34416000000004</v>
      </c>
      <c r="AB188" s="8">
        <f>Table3[[#This Row],[PrimaComercial Anual]]*Table3[[#This Row],[Recargo adicional]]</f>
        <v>2194.4233692000003</v>
      </c>
      <c r="AC188" s="8">
        <f>Table3[[#This Row],[PrimaComercial Anual]]*Table3[[#This Row],[IT]]</f>
        <v>779.07600000000002</v>
      </c>
      <c r="AD188" s="8">
        <f>Table3[[#This Row],[PrimaComercial Anual]]*Table3[[#This Row],[IVA]]</f>
        <v>3375.9960000000001</v>
      </c>
      <c r="AE188" s="15">
        <f>Table3[[#This Row],[PrimaComercial Anual Asistencia]]</f>
        <v>25969.200000000001</v>
      </c>
      <c r="AG188">
        <v>25969.200000000001</v>
      </c>
    </row>
    <row r="189" spans="1:33" x14ac:dyDescent="0.25">
      <c r="A189" t="s">
        <v>18</v>
      </c>
      <c r="B189">
        <v>70000</v>
      </c>
      <c r="C189">
        <v>87</v>
      </c>
      <c r="D189" s="2">
        <f>Table3[[#This Row],[PrimaTécnica]]-Table3[[#This Row],[PrimaTécnica]]*SUM(Table3[[#This Row],[Gastos Adm]:[Cobranza]])</f>
        <v>11845.728317779198</v>
      </c>
      <c r="E189">
        <v>0</v>
      </c>
      <c r="F189">
        <v>0.15</v>
      </c>
      <c r="G189">
        <v>0.05</v>
      </c>
      <c r="H189">
        <v>0.01</v>
      </c>
      <c r="I189">
        <v>0.01</v>
      </c>
      <c r="J189" s="8">
        <f>Table3[[#This Row],[PrimaTécnica]]*Table3[[#This Row],[Gastos Adm]]</f>
        <v>2278.0246764959998</v>
      </c>
      <c r="K189" s="8">
        <f>Table3[[#This Row],[PrimaTécnica]]*Table3[[#This Row],[Utilidad]]</f>
        <v>759.34155883199992</v>
      </c>
      <c r="L189" s="8">
        <f>Table3[[#This Row],[PrimaTécnica]]*Table3[[#This Row],[Marketing]]</f>
        <v>151.86831176639998</v>
      </c>
      <c r="M189" s="8">
        <f>Table3[[#This Row],[PrimaTécnica]]*Table3[[#This Row],[Cobranza]]</f>
        <v>151.86831176639998</v>
      </c>
      <c r="N18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89">
        <v>21.84</v>
      </c>
      <c r="P189">
        <v>54.6</v>
      </c>
      <c r="Q189">
        <v>80.64</v>
      </c>
      <c r="R189">
        <v>44.377200000000002</v>
      </c>
      <c r="S189">
        <v>0.2</v>
      </c>
      <c r="T189">
        <v>0.02</v>
      </c>
      <c r="U189" s="8">
        <f>Table3[[#This Row],[PrimaNeta]]*Table3[[#This Row],[Comisión]]</f>
        <v>3847.0720941599998</v>
      </c>
      <c r="V189" s="15">
        <f>Table3[[#This Row],[PrimaComercial Anual]]-Table3[[#This Row],[PrimaComercial Anual]]*SUM(Table3[[#This Row],[APS]:[IVA]])</f>
        <v>19235.360470799998</v>
      </c>
      <c r="W189" s="2">
        <v>1.4800000000000001E-2</v>
      </c>
      <c r="X189" s="2">
        <v>8.4501000000000007E-2</v>
      </c>
      <c r="Y189">
        <v>0.03</v>
      </c>
      <c r="Z189">
        <v>0.13</v>
      </c>
      <c r="AA189" s="20">
        <f>Table3[[#This Row],[APS]]*Table3[[#This Row],[PrimaComercial Anual]]</f>
        <v>384.34416000000004</v>
      </c>
      <c r="AB189" s="8">
        <f>Table3[[#This Row],[PrimaComercial Anual]]*Table3[[#This Row],[Recargo adicional]]</f>
        <v>2194.4233692000003</v>
      </c>
      <c r="AC189" s="8">
        <f>Table3[[#This Row],[PrimaComercial Anual]]*Table3[[#This Row],[IT]]</f>
        <v>779.07600000000002</v>
      </c>
      <c r="AD189" s="8">
        <f>Table3[[#This Row],[PrimaComercial Anual]]*Table3[[#This Row],[IVA]]</f>
        <v>3375.9960000000001</v>
      </c>
      <c r="AE189" s="15">
        <f>Table3[[#This Row],[PrimaComercial Anual Asistencia]]</f>
        <v>25969.200000000001</v>
      </c>
      <c r="AG189">
        <v>25969.200000000001</v>
      </c>
    </row>
    <row r="190" spans="1:33" x14ac:dyDescent="0.25">
      <c r="A190" t="s">
        <v>18</v>
      </c>
      <c r="B190">
        <v>70000</v>
      </c>
      <c r="C190">
        <v>88</v>
      </c>
      <c r="D190" s="2">
        <f>Table3[[#This Row],[PrimaTécnica]]-Table3[[#This Row],[PrimaTécnica]]*SUM(Table3[[#This Row],[Gastos Adm]:[Cobranza]])</f>
        <v>11845.728317779198</v>
      </c>
      <c r="E190">
        <v>0</v>
      </c>
      <c r="F190">
        <v>0.15</v>
      </c>
      <c r="G190">
        <v>0.05</v>
      </c>
      <c r="H190">
        <v>0.01</v>
      </c>
      <c r="I190">
        <v>0.01</v>
      </c>
      <c r="J190" s="8">
        <f>Table3[[#This Row],[PrimaTécnica]]*Table3[[#This Row],[Gastos Adm]]</f>
        <v>2278.0246764959998</v>
      </c>
      <c r="K190" s="8">
        <f>Table3[[#This Row],[PrimaTécnica]]*Table3[[#This Row],[Utilidad]]</f>
        <v>759.34155883199992</v>
      </c>
      <c r="L190" s="8">
        <f>Table3[[#This Row],[PrimaTécnica]]*Table3[[#This Row],[Marketing]]</f>
        <v>151.86831176639998</v>
      </c>
      <c r="M190" s="8">
        <f>Table3[[#This Row],[PrimaTécnica]]*Table3[[#This Row],[Cobranza]]</f>
        <v>151.86831176639998</v>
      </c>
      <c r="N19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90">
        <v>21.84</v>
      </c>
      <c r="P190">
        <v>54.6</v>
      </c>
      <c r="Q190">
        <v>80.64</v>
      </c>
      <c r="R190">
        <v>44.377200000000002</v>
      </c>
      <c r="S190">
        <v>0.2</v>
      </c>
      <c r="T190">
        <v>0.02</v>
      </c>
      <c r="U190" s="8">
        <f>Table3[[#This Row],[PrimaNeta]]*Table3[[#This Row],[Comisión]]</f>
        <v>3847.0720941599998</v>
      </c>
      <c r="V190" s="15">
        <f>Table3[[#This Row],[PrimaComercial Anual]]-Table3[[#This Row],[PrimaComercial Anual]]*SUM(Table3[[#This Row],[APS]:[IVA]])</f>
        <v>19235.360470799998</v>
      </c>
      <c r="W190" s="2">
        <v>1.4800000000000001E-2</v>
      </c>
      <c r="X190" s="2">
        <v>8.4501000000000007E-2</v>
      </c>
      <c r="Y190">
        <v>0.03</v>
      </c>
      <c r="Z190">
        <v>0.13</v>
      </c>
      <c r="AA190" s="20">
        <f>Table3[[#This Row],[APS]]*Table3[[#This Row],[PrimaComercial Anual]]</f>
        <v>384.34416000000004</v>
      </c>
      <c r="AB190" s="8">
        <f>Table3[[#This Row],[PrimaComercial Anual]]*Table3[[#This Row],[Recargo adicional]]</f>
        <v>2194.4233692000003</v>
      </c>
      <c r="AC190" s="8">
        <f>Table3[[#This Row],[PrimaComercial Anual]]*Table3[[#This Row],[IT]]</f>
        <v>779.07600000000002</v>
      </c>
      <c r="AD190" s="8">
        <f>Table3[[#This Row],[PrimaComercial Anual]]*Table3[[#This Row],[IVA]]</f>
        <v>3375.9960000000001</v>
      </c>
      <c r="AE190" s="15">
        <f>Table3[[#This Row],[PrimaComercial Anual Asistencia]]</f>
        <v>25969.200000000001</v>
      </c>
      <c r="AG190">
        <v>25969.200000000001</v>
      </c>
    </row>
    <row r="191" spans="1:33" x14ac:dyDescent="0.25">
      <c r="A191" t="s">
        <v>18</v>
      </c>
      <c r="B191">
        <v>70000</v>
      </c>
      <c r="C191">
        <v>89</v>
      </c>
      <c r="D191" s="2">
        <f>Table3[[#This Row],[PrimaTécnica]]-Table3[[#This Row],[PrimaTécnica]]*SUM(Table3[[#This Row],[Gastos Adm]:[Cobranza]])</f>
        <v>11845.728317779198</v>
      </c>
      <c r="E191">
        <v>0</v>
      </c>
      <c r="F191">
        <v>0.15</v>
      </c>
      <c r="G191">
        <v>0.05</v>
      </c>
      <c r="H191">
        <v>0.01</v>
      </c>
      <c r="I191">
        <v>0.01</v>
      </c>
      <c r="J191" s="8">
        <f>Table3[[#This Row],[PrimaTécnica]]*Table3[[#This Row],[Gastos Adm]]</f>
        <v>2278.0246764959998</v>
      </c>
      <c r="K191" s="8">
        <f>Table3[[#This Row],[PrimaTécnica]]*Table3[[#This Row],[Utilidad]]</f>
        <v>759.34155883199992</v>
      </c>
      <c r="L191" s="8">
        <f>Table3[[#This Row],[PrimaTécnica]]*Table3[[#This Row],[Marketing]]</f>
        <v>151.86831176639998</v>
      </c>
      <c r="M191" s="8">
        <f>Table3[[#This Row],[PrimaTécnica]]*Table3[[#This Row],[Cobranza]]</f>
        <v>151.86831176639998</v>
      </c>
      <c r="N19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91">
        <v>21.84</v>
      </c>
      <c r="P191">
        <v>54.6</v>
      </c>
      <c r="Q191">
        <v>80.64</v>
      </c>
      <c r="R191">
        <v>44.377200000000002</v>
      </c>
      <c r="S191">
        <v>0.2</v>
      </c>
      <c r="T191">
        <v>0.02</v>
      </c>
      <c r="U191" s="8">
        <f>Table3[[#This Row],[PrimaNeta]]*Table3[[#This Row],[Comisión]]</f>
        <v>3847.0720941599998</v>
      </c>
      <c r="V191" s="15">
        <f>Table3[[#This Row],[PrimaComercial Anual]]-Table3[[#This Row],[PrimaComercial Anual]]*SUM(Table3[[#This Row],[APS]:[IVA]])</f>
        <v>19235.360470799998</v>
      </c>
      <c r="W191" s="2">
        <v>1.4800000000000001E-2</v>
      </c>
      <c r="X191" s="2">
        <v>8.4501000000000007E-2</v>
      </c>
      <c r="Y191">
        <v>0.03</v>
      </c>
      <c r="Z191">
        <v>0.13</v>
      </c>
      <c r="AA191" s="20">
        <f>Table3[[#This Row],[APS]]*Table3[[#This Row],[PrimaComercial Anual]]</f>
        <v>384.34416000000004</v>
      </c>
      <c r="AB191" s="8">
        <f>Table3[[#This Row],[PrimaComercial Anual]]*Table3[[#This Row],[Recargo adicional]]</f>
        <v>2194.4233692000003</v>
      </c>
      <c r="AC191" s="8">
        <f>Table3[[#This Row],[PrimaComercial Anual]]*Table3[[#This Row],[IT]]</f>
        <v>779.07600000000002</v>
      </c>
      <c r="AD191" s="8">
        <f>Table3[[#This Row],[PrimaComercial Anual]]*Table3[[#This Row],[IVA]]</f>
        <v>3375.9960000000001</v>
      </c>
      <c r="AE191" s="15">
        <f>Table3[[#This Row],[PrimaComercial Anual Asistencia]]</f>
        <v>25969.200000000001</v>
      </c>
      <c r="AG191">
        <v>25969.200000000001</v>
      </c>
    </row>
    <row r="192" spans="1:33" x14ac:dyDescent="0.25">
      <c r="A192" t="s">
        <v>18</v>
      </c>
      <c r="B192">
        <v>70000</v>
      </c>
      <c r="C192">
        <v>90</v>
      </c>
      <c r="D192" s="2">
        <f>Table3[[#This Row],[PrimaTécnica]]-Table3[[#This Row],[PrimaTécnica]]*SUM(Table3[[#This Row],[Gastos Adm]:[Cobranza]])</f>
        <v>11845.728317779198</v>
      </c>
      <c r="E192">
        <v>0</v>
      </c>
      <c r="F192">
        <v>0.15</v>
      </c>
      <c r="G192">
        <v>0.05</v>
      </c>
      <c r="H192">
        <v>0.01</v>
      </c>
      <c r="I192">
        <v>0.01</v>
      </c>
      <c r="J192" s="8">
        <f>Table3[[#This Row],[PrimaTécnica]]*Table3[[#This Row],[Gastos Adm]]</f>
        <v>2278.0246764959998</v>
      </c>
      <c r="K192" s="8">
        <f>Table3[[#This Row],[PrimaTécnica]]*Table3[[#This Row],[Utilidad]]</f>
        <v>759.34155883199992</v>
      </c>
      <c r="L192" s="8">
        <f>Table3[[#This Row],[PrimaTécnica]]*Table3[[#This Row],[Marketing]]</f>
        <v>151.86831176639998</v>
      </c>
      <c r="M192" s="8">
        <f>Table3[[#This Row],[PrimaTécnica]]*Table3[[#This Row],[Cobranza]]</f>
        <v>151.86831176639998</v>
      </c>
      <c r="N19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92">
        <v>21.84</v>
      </c>
      <c r="P192">
        <v>54.6</v>
      </c>
      <c r="Q192">
        <v>80.64</v>
      </c>
      <c r="R192">
        <v>44.377200000000002</v>
      </c>
      <c r="S192">
        <v>0.2</v>
      </c>
      <c r="T192">
        <v>0.02</v>
      </c>
      <c r="U192" s="8">
        <f>Table3[[#This Row],[PrimaNeta]]*Table3[[#This Row],[Comisión]]</f>
        <v>3847.0720941599998</v>
      </c>
      <c r="V192" s="15">
        <f>Table3[[#This Row],[PrimaComercial Anual]]-Table3[[#This Row],[PrimaComercial Anual]]*SUM(Table3[[#This Row],[APS]:[IVA]])</f>
        <v>19235.360470799998</v>
      </c>
      <c r="W192" s="2">
        <v>1.4800000000000001E-2</v>
      </c>
      <c r="X192" s="2">
        <v>8.4501000000000007E-2</v>
      </c>
      <c r="Y192">
        <v>0.03</v>
      </c>
      <c r="Z192">
        <v>0.13</v>
      </c>
      <c r="AA192" s="20">
        <f>Table3[[#This Row],[APS]]*Table3[[#This Row],[PrimaComercial Anual]]</f>
        <v>384.34416000000004</v>
      </c>
      <c r="AB192" s="8">
        <f>Table3[[#This Row],[PrimaComercial Anual]]*Table3[[#This Row],[Recargo adicional]]</f>
        <v>2194.4233692000003</v>
      </c>
      <c r="AC192" s="8">
        <f>Table3[[#This Row],[PrimaComercial Anual]]*Table3[[#This Row],[IT]]</f>
        <v>779.07600000000002</v>
      </c>
      <c r="AD192" s="8">
        <f>Table3[[#This Row],[PrimaComercial Anual]]*Table3[[#This Row],[IVA]]</f>
        <v>3375.9960000000001</v>
      </c>
      <c r="AE192" s="15">
        <f>Table3[[#This Row],[PrimaComercial Anual Asistencia]]</f>
        <v>25969.200000000001</v>
      </c>
      <c r="AG192">
        <v>25969.200000000001</v>
      </c>
    </row>
    <row r="193" spans="1:36" x14ac:dyDescent="0.25">
      <c r="A193" t="s">
        <v>18</v>
      </c>
      <c r="B193">
        <v>70000</v>
      </c>
      <c r="C193">
        <v>91</v>
      </c>
      <c r="D193" s="2">
        <f>Table3[[#This Row],[PrimaTécnica]]-Table3[[#This Row],[PrimaTécnica]]*SUM(Table3[[#This Row],[Gastos Adm]:[Cobranza]])</f>
        <v>11845.728317779198</v>
      </c>
      <c r="E193">
        <v>0</v>
      </c>
      <c r="F193">
        <v>0.15</v>
      </c>
      <c r="G193">
        <v>0.05</v>
      </c>
      <c r="H193">
        <v>0.01</v>
      </c>
      <c r="I193">
        <v>0.01</v>
      </c>
      <c r="J193" s="8">
        <f>Table3[[#This Row],[PrimaTécnica]]*Table3[[#This Row],[Gastos Adm]]</f>
        <v>2278.0246764959998</v>
      </c>
      <c r="K193" s="8">
        <f>Table3[[#This Row],[PrimaTécnica]]*Table3[[#This Row],[Utilidad]]</f>
        <v>759.34155883199992</v>
      </c>
      <c r="L193" s="8">
        <f>Table3[[#This Row],[PrimaTécnica]]*Table3[[#This Row],[Marketing]]</f>
        <v>151.86831176639998</v>
      </c>
      <c r="M193" s="8">
        <f>Table3[[#This Row],[PrimaTécnica]]*Table3[[#This Row],[Cobranza]]</f>
        <v>151.86831176639998</v>
      </c>
      <c r="N19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93">
        <v>21.84</v>
      </c>
      <c r="P193">
        <v>54.6</v>
      </c>
      <c r="Q193">
        <v>80.64</v>
      </c>
      <c r="R193">
        <v>44.377200000000002</v>
      </c>
      <c r="S193">
        <v>0.2</v>
      </c>
      <c r="T193">
        <v>0.02</v>
      </c>
      <c r="U193" s="8">
        <f>Table3[[#This Row],[PrimaNeta]]*Table3[[#This Row],[Comisión]]</f>
        <v>3847.0720941599998</v>
      </c>
      <c r="V193" s="15">
        <f>Table3[[#This Row],[PrimaComercial Anual]]-Table3[[#This Row],[PrimaComercial Anual]]*SUM(Table3[[#This Row],[APS]:[IVA]])</f>
        <v>19235.360470799998</v>
      </c>
      <c r="W193" s="2">
        <v>1.4800000000000001E-2</v>
      </c>
      <c r="X193" s="2">
        <v>8.4501000000000007E-2</v>
      </c>
      <c r="Y193">
        <v>0.03</v>
      </c>
      <c r="Z193">
        <v>0.13</v>
      </c>
      <c r="AA193" s="20">
        <f>Table3[[#This Row],[APS]]*Table3[[#This Row],[PrimaComercial Anual]]</f>
        <v>384.34416000000004</v>
      </c>
      <c r="AB193" s="8">
        <f>Table3[[#This Row],[PrimaComercial Anual]]*Table3[[#This Row],[Recargo adicional]]</f>
        <v>2194.4233692000003</v>
      </c>
      <c r="AC193" s="8">
        <f>Table3[[#This Row],[PrimaComercial Anual]]*Table3[[#This Row],[IT]]</f>
        <v>779.07600000000002</v>
      </c>
      <c r="AD193" s="8">
        <f>Table3[[#This Row],[PrimaComercial Anual]]*Table3[[#This Row],[IVA]]</f>
        <v>3375.9960000000001</v>
      </c>
      <c r="AE193" s="15">
        <f>Table3[[#This Row],[PrimaComercial Anual Asistencia]]</f>
        <v>25969.200000000001</v>
      </c>
      <c r="AG193">
        <v>25969.200000000001</v>
      </c>
    </row>
    <row r="194" spans="1:36" x14ac:dyDescent="0.25">
      <c r="A194" t="s">
        <v>18</v>
      </c>
      <c r="B194">
        <v>70000</v>
      </c>
      <c r="C194">
        <v>92</v>
      </c>
      <c r="D194" s="2">
        <f>Table3[[#This Row],[PrimaTécnica]]-Table3[[#This Row],[PrimaTécnica]]*SUM(Table3[[#This Row],[Gastos Adm]:[Cobranza]])</f>
        <v>11845.728317779198</v>
      </c>
      <c r="E194">
        <v>0</v>
      </c>
      <c r="F194">
        <v>0.15</v>
      </c>
      <c r="G194">
        <v>0.05</v>
      </c>
      <c r="H194">
        <v>0.01</v>
      </c>
      <c r="I194">
        <v>0.01</v>
      </c>
      <c r="J194" s="8">
        <f>Table3[[#This Row],[PrimaTécnica]]*Table3[[#This Row],[Gastos Adm]]</f>
        <v>2278.0246764959998</v>
      </c>
      <c r="K194" s="8">
        <f>Table3[[#This Row],[PrimaTécnica]]*Table3[[#This Row],[Utilidad]]</f>
        <v>759.34155883199992</v>
      </c>
      <c r="L194" s="8">
        <f>Table3[[#This Row],[PrimaTécnica]]*Table3[[#This Row],[Marketing]]</f>
        <v>151.86831176639998</v>
      </c>
      <c r="M194" s="8">
        <f>Table3[[#This Row],[PrimaTécnica]]*Table3[[#This Row],[Cobranza]]</f>
        <v>151.86831176639998</v>
      </c>
      <c r="N19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94">
        <v>21.84</v>
      </c>
      <c r="P194">
        <v>54.6</v>
      </c>
      <c r="Q194">
        <v>80.64</v>
      </c>
      <c r="R194">
        <v>44.377200000000002</v>
      </c>
      <c r="S194">
        <v>0.2</v>
      </c>
      <c r="T194">
        <v>0.02</v>
      </c>
      <c r="U194" s="8">
        <f>Table3[[#This Row],[PrimaNeta]]*Table3[[#This Row],[Comisión]]</f>
        <v>3847.0720941599998</v>
      </c>
      <c r="V194" s="15">
        <f>Table3[[#This Row],[PrimaComercial Anual]]-Table3[[#This Row],[PrimaComercial Anual]]*SUM(Table3[[#This Row],[APS]:[IVA]])</f>
        <v>19235.360470799998</v>
      </c>
      <c r="W194" s="2">
        <v>1.4800000000000001E-2</v>
      </c>
      <c r="X194" s="2">
        <v>8.4501000000000007E-2</v>
      </c>
      <c r="Y194">
        <v>0.03</v>
      </c>
      <c r="Z194">
        <v>0.13</v>
      </c>
      <c r="AA194" s="20">
        <f>Table3[[#This Row],[APS]]*Table3[[#This Row],[PrimaComercial Anual]]</f>
        <v>384.34416000000004</v>
      </c>
      <c r="AB194" s="8">
        <f>Table3[[#This Row],[PrimaComercial Anual]]*Table3[[#This Row],[Recargo adicional]]</f>
        <v>2194.4233692000003</v>
      </c>
      <c r="AC194" s="8">
        <f>Table3[[#This Row],[PrimaComercial Anual]]*Table3[[#This Row],[IT]]</f>
        <v>779.07600000000002</v>
      </c>
      <c r="AD194" s="8">
        <f>Table3[[#This Row],[PrimaComercial Anual]]*Table3[[#This Row],[IVA]]</f>
        <v>3375.9960000000001</v>
      </c>
      <c r="AE194" s="15">
        <f>Table3[[#This Row],[PrimaComercial Anual Asistencia]]</f>
        <v>25969.200000000001</v>
      </c>
      <c r="AG194">
        <v>25969.200000000001</v>
      </c>
    </row>
    <row r="195" spans="1:36" x14ac:dyDescent="0.25">
      <c r="A195" t="s">
        <v>18</v>
      </c>
      <c r="B195">
        <v>70000</v>
      </c>
      <c r="C195">
        <v>93</v>
      </c>
      <c r="D195" s="2">
        <f>Table3[[#This Row],[PrimaTécnica]]-Table3[[#This Row],[PrimaTécnica]]*SUM(Table3[[#This Row],[Gastos Adm]:[Cobranza]])</f>
        <v>11845.728317779198</v>
      </c>
      <c r="E195">
        <v>0</v>
      </c>
      <c r="F195">
        <v>0.15</v>
      </c>
      <c r="G195">
        <v>0.05</v>
      </c>
      <c r="H195">
        <v>0.01</v>
      </c>
      <c r="I195">
        <v>0.01</v>
      </c>
      <c r="J195" s="8">
        <f>Table3[[#This Row],[PrimaTécnica]]*Table3[[#This Row],[Gastos Adm]]</f>
        <v>2278.0246764959998</v>
      </c>
      <c r="K195" s="8">
        <f>Table3[[#This Row],[PrimaTécnica]]*Table3[[#This Row],[Utilidad]]</f>
        <v>759.34155883199992</v>
      </c>
      <c r="L195" s="8">
        <f>Table3[[#This Row],[PrimaTécnica]]*Table3[[#This Row],[Marketing]]</f>
        <v>151.86831176639998</v>
      </c>
      <c r="M195" s="8">
        <f>Table3[[#This Row],[PrimaTécnica]]*Table3[[#This Row],[Cobranza]]</f>
        <v>151.86831176639998</v>
      </c>
      <c r="N19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95">
        <v>21.84</v>
      </c>
      <c r="P195">
        <v>54.6</v>
      </c>
      <c r="Q195">
        <v>80.64</v>
      </c>
      <c r="R195">
        <v>44.377200000000002</v>
      </c>
      <c r="S195">
        <v>0.2</v>
      </c>
      <c r="T195">
        <v>0.02</v>
      </c>
      <c r="U195" s="8">
        <f>Table3[[#This Row],[PrimaNeta]]*Table3[[#This Row],[Comisión]]</f>
        <v>3847.0720941599998</v>
      </c>
      <c r="V195" s="15">
        <f>Table3[[#This Row],[PrimaComercial Anual]]-Table3[[#This Row],[PrimaComercial Anual]]*SUM(Table3[[#This Row],[APS]:[IVA]])</f>
        <v>19235.360470799998</v>
      </c>
      <c r="W195" s="2">
        <v>1.4800000000000001E-2</v>
      </c>
      <c r="X195" s="2">
        <v>8.4501000000000007E-2</v>
      </c>
      <c r="Y195">
        <v>0.03</v>
      </c>
      <c r="Z195">
        <v>0.13</v>
      </c>
      <c r="AA195" s="20">
        <f>Table3[[#This Row],[APS]]*Table3[[#This Row],[PrimaComercial Anual]]</f>
        <v>384.34416000000004</v>
      </c>
      <c r="AB195" s="8">
        <f>Table3[[#This Row],[PrimaComercial Anual]]*Table3[[#This Row],[Recargo adicional]]</f>
        <v>2194.4233692000003</v>
      </c>
      <c r="AC195" s="8">
        <f>Table3[[#This Row],[PrimaComercial Anual]]*Table3[[#This Row],[IT]]</f>
        <v>779.07600000000002</v>
      </c>
      <c r="AD195" s="8">
        <f>Table3[[#This Row],[PrimaComercial Anual]]*Table3[[#This Row],[IVA]]</f>
        <v>3375.9960000000001</v>
      </c>
      <c r="AE195" s="15">
        <f>Table3[[#This Row],[PrimaComercial Anual Asistencia]]</f>
        <v>25969.200000000001</v>
      </c>
      <c r="AG195">
        <v>25969.200000000001</v>
      </c>
    </row>
    <row r="196" spans="1:36" x14ac:dyDescent="0.25">
      <c r="A196" t="s">
        <v>18</v>
      </c>
      <c r="B196">
        <v>70000</v>
      </c>
      <c r="C196">
        <v>94</v>
      </c>
      <c r="D196" s="2">
        <f>Table3[[#This Row],[PrimaTécnica]]-Table3[[#This Row],[PrimaTécnica]]*SUM(Table3[[#This Row],[Gastos Adm]:[Cobranza]])</f>
        <v>11845.728317779198</v>
      </c>
      <c r="E196">
        <v>0</v>
      </c>
      <c r="F196">
        <v>0.15</v>
      </c>
      <c r="G196">
        <v>0.05</v>
      </c>
      <c r="H196">
        <v>0.01</v>
      </c>
      <c r="I196">
        <v>0.01</v>
      </c>
      <c r="J196" s="8">
        <f>Table3[[#This Row],[PrimaTécnica]]*Table3[[#This Row],[Gastos Adm]]</f>
        <v>2278.0246764959998</v>
      </c>
      <c r="K196" s="8">
        <f>Table3[[#This Row],[PrimaTécnica]]*Table3[[#This Row],[Utilidad]]</f>
        <v>759.34155883199992</v>
      </c>
      <c r="L196" s="8">
        <f>Table3[[#This Row],[PrimaTécnica]]*Table3[[#This Row],[Marketing]]</f>
        <v>151.86831176639998</v>
      </c>
      <c r="M196" s="8">
        <f>Table3[[#This Row],[PrimaTécnica]]*Table3[[#This Row],[Cobranza]]</f>
        <v>151.86831176639998</v>
      </c>
      <c r="N19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96">
        <v>21.84</v>
      </c>
      <c r="P196">
        <v>54.6</v>
      </c>
      <c r="Q196">
        <v>80.64</v>
      </c>
      <c r="R196">
        <v>44.377200000000002</v>
      </c>
      <c r="S196">
        <v>0.2</v>
      </c>
      <c r="T196">
        <v>0.02</v>
      </c>
      <c r="U196" s="8">
        <f>Table3[[#This Row],[PrimaNeta]]*Table3[[#This Row],[Comisión]]</f>
        <v>3847.0720941599998</v>
      </c>
      <c r="V196" s="15">
        <f>Table3[[#This Row],[PrimaComercial Anual]]-Table3[[#This Row],[PrimaComercial Anual]]*SUM(Table3[[#This Row],[APS]:[IVA]])</f>
        <v>19235.360470799998</v>
      </c>
      <c r="W196" s="2">
        <v>1.4800000000000001E-2</v>
      </c>
      <c r="X196" s="2">
        <v>8.4501000000000007E-2</v>
      </c>
      <c r="Y196">
        <v>0.03</v>
      </c>
      <c r="Z196">
        <v>0.13</v>
      </c>
      <c r="AA196" s="20">
        <f>Table3[[#This Row],[APS]]*Table3[[#This Row],[PrimaComercial Anual]]</f>
        <v>384.34416000000004</v>
      </c>
      <c r="AB196" s="8">
        <f>Table3[[#This Row],[PrimaComercial Anual]]*Table3[[#This Row],[Recargo adicional]]</f>
        <v>2194.4233692000003</v>
      </c>
      <c r="AC196" s="8">
        <f>Table3[[#This Row],[PrimaComercial Anual]]*Table3[[#This Row],[IT]]</f>
        <v>779.07600000000002</v>
      </c>
      <c r="AD196" s="8">
        <f>Table3[[#This Row],[PrimaComercial Anual]]*Table3[[#This Row],[IVA]]</f>
        <v>3375.9960000000001</v>
      </c>
      <c r="AE196" s="15">
        <f>Table3[[#This Row],[PrimaComercial Anual Asistencia]]</f>
        <v>25969.200000000001</v>
      </c>
      <c r="AG196">
        <v>25969.200000000001</v>
      </c>
    </row>
    <row r="197" spans="1:36" x14ac:dyDescent="0.25">
      <c r="A197" t="s">
        <v>18</v>
      </c>
      <c r="B197">
        <v>70000</v>
      </c>
      <c r="C197">
        <v>95</v>
      </c>
      <c r="D197" s="2">
        <f>Table3[[#This Row],[PrimaTécnica]]-Table3[[#This Row],[PrimaTécnica]]*SUM(Table3[[#This Row],[Gastos Adm]:[Cobranza]])</f>
        <v>11845.728317779198</v>
      </c>
      <c r="E197">
        <v>0</v>
      </c>
      <c r="F197">
        <v>0.15</v>
      </c>
      <c r="G197">
        <v>0.05</v>
      </c>
      <c r="H197">
        <v>0.01</v>
      </c>
      <c r="I197">
        <v>0.01</v>
      </c>
      <c r="J197" s="8">
        <f>Table3[[#This Row],[PrimaTécnica]]*Table3[[#This Row],[Gastos Adm]]</f>
        <v>2278.0246764959998</v>
      </c>
      <c r="K197" s="8">
        <f>Table3[[#This Row],[PrimaTécnica]]*Table3[[#This Row],[Utilidad]]</f>
        <v>759.34155883199992</v>
      </c>
      <c r="L197" s="8">
        <f>Table3[[#This Row],[PrimaTécnica]]*Table3[[#This Row],[Marketing]]</f>
        <v>151.86831176639998</v>
      </c>
      <c r="M197" s="8">
        <f>Table3[[#This Row],[PrimaTécnica]]*Table3[[#This Row],[Cobranza]]</f>
        <v>151.86831176639998</v>
      </c>
      <c r="N19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97">
        <v>21.84</v>
      </c>
      <c r="P197">
        <v>54.6</v>
      </c>
      <c r="Q197">
        <v>80.64</v>
      </c>
      <c r="R197">
        <v>44.377200000000002</v>
      </c>
      <c r="S197">
        <v>0.2</v>
      </c>
      <c r="T197">
        <v>0.02</v>
      </c>
      <c r="U197" s="8">
        <f>Table3[[#This Row],[PrimaNeta]]*Table3[[#This Row],[Comisión]]</f>
        <v>3847.0720941599998</v>
      </c>
      <c r="V197" s="15">
        <f>Table3[[#This Row],[PrimaComercial Anual]]-Table3[[#This Row],[PrimaComercial Anual]]*SUM(Table3[[#This Row],[APS]:[IVA]])</f>
        <v>19235.360470799998</v>
      </c>
      <c r="W197" s="2">
        <v>1.4800000000000001E-2</v>
      </c>
      <c r="X197" s="2">
        <v>8.4501000000000007E-2</v>
      </c>
      <c r="Y197">
        <v>0.03</v>
      </c>
      <c r="Z197">
        <v>0.13</v>
      </c>
      <c r="AA197" s="20">
        <f>Table3[[#This Row],[APS]]*Table3[[#This Row],[PrimaComercial Anual]]</f>
        <v>384.34416000000004</v>
      </c>
      <c r="AB197" s="8">
        <f>Table3[[#This Row],[PrimaComercial Anual]]*Table3[[#This Row],[Recargo adicional]]</f>
        <v>2194.4233692000003</v>
      </c>
      <c r="AC197" s="8">
        <f>Table3[[#This Row],[PrimaComercial Anual]]*Table3[[#This Row],[IT]]</f>
        <v>779.07600000000002</v>
      </c>
      <c r="AD197" s="8">
        <f>Table3[[#This Row],[PrimaComercial Anual]]*Table3[[#This Row],[IVA]]</f>
        <v>3375.9960000000001</v>
      </c>
      <c r="AE197" s="15">
        <f>Table3[[#This Row],[PrimaComercial Anual Asistencia]]</f>
        <v>25969.200000000001</v>
      </c>
      <c r="AG197">
        <v>25969.200000000001</v>
      </c>
    </row>
    <row r="198" spans="1:36" x14ac:dyDescent="0.25">
      <c r="A198" t="s">
        <v>18</v>
      </c>
      <c r="B198">
        <v>70000</v>
      </c>
      <c r="C198">
        <v>96</v>
      </c>
      <c r="D198" s="2">
        <f>Table3[[#This Row],[PrimaTécnica]]-Table3[[#This Row],[PrimaTécnica]]*SUM(Table3[[#This Row],[Gastos Adm]:[Cobranza]])</f>
        <v>11845.728317779198</v>
      </c>
      <c r="E198">
        <v>0</v>
      </c>
      <c r="F198">
        <v>0.15</v>
      </c>
      <c r="G198">
        <v>0.05</v>
      </c>
      <c r="H198">
        <v>0.01</v>
      </c>
      <c r="I198">
        <v>0.01</v>
      </c>
      <c r="J198" s="8">
        <f>Table3[[#This Row],[PrimaTécnica]]*Table3[[#This Row],[Gastos Adm]]</f>
        <v>2278.0246764959998</v>
      </c>
      <c r="K198" s="8">
        <f>Table3[[#This Row],[PrimaTécnica]]*Table3[[#This Row],[Utilidad]]</f>
        <v>759.34155883199992</v>
      </c>
      <c r="L198" s="8">
        <f>Table3[[#This Row],[PrimaTécnica]]*Table3[[#This Row],[Marketing]]</f>
        <v>151.86831176639998</v>
      </c>
      <c r="M198" s="8">
        <f>Table3[[#This Row],[PrimaTécnica]]*Table3[[#This Row],[Cobranza]]</f>
        <v>151.86831176639998</v>
      </c>
      <c r="N19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98">
        <v>21.84</v>
      </c>
      <c r="P198">
        <v>54.6</v>
      </c>
      <c r="Q198">
        <v>80.64</v>
      </c>
      <c r="R198">
        <v>44.377200000000002</v>
      </c>
      <c r="S198">
        <v>0.2</v>
      </c>
      <c r="T198">
        <v>0.02</v>
      </c>
      <c r="U198" s="8">
        <f>Table3[[#This Row],[PrimaNeta]]*Table3[[#This Row],[Comisión]]</f>
        <v>3847.0720941599998</v>
      </c>
      <c r="V198" s="15">
        <f>Table3[[#This Row],[PrimaComercial Anual]]-Table3[[#This Row],[PrimaComercial Anual]]*SUM(Table3[[#This Row],[APS]:[IVA]])</f>
        <v>19235.360470799998</v>
      </c>
      <c r="W198" s="2">
        <v>1.4800000000000001E-2</v>
      </c>
      <c r="X198" s="2">
        <v>8.4501000000000007E-2</v>
      </c>
      <c r="Y198">
        <v>0.03</v>
      </c>
      <c r="Z198">
        <v>0.13</v>
      </c>
      <c r="AA198" s="20">
        <f>Table3[[#This Row],[APS]]*Table3[[#This Row],[PrimaComercial Anual]]</f>
        <v>384.34416000000004</v>
      </c>
      <c r="AB198" s="8">
        <f>Table3[[#This Row],[PrimaComercial Anual]]*Table3[[#This Row],[Recargo adicional]]</f>
        <v>2194.4233692000003</v>
      </c>
      <c r="AC198" s="8">
        <f>Table3[[#This Row],[PrimaComercial Anual]]*Table3[[#This Row],[IT]]</f>
        <v>779.07600000000002</v>
      </c>
      <c r="AD198" s="8">
        <f>Table3[[#This Row],[PrimaComercial Anual]]*Table3[[#This Row],[IVA]]</f>
        <v>3375.9960000000001</v>
      </c>
      <c r="AE198" s="15">
        <f>Table3[[#This Row],[PrimaComercial Anual Asistencia]]</f>
        <v>25969.200000000001</v>
      </c>
      <c r="AG198">
        <v>25969.200000000001</v>
      </c>
    </row>
    <row r="199" spans="1:36" x14ac:dyDescent="0.25">
      <c r="A199" t="s">
        <v>18</v>
      </c>
      <c r="B199">
        <v>70000</v>
      </c>
      <c r="C199">
        <v>97</v>
      </c>
      <c r="D199" s="2">
        <f>Table3[[#This Row],[PrimaTécnica]]-Table3[[#This Row],[PrimaTécnica]]*SUM(Table3[[#This Row],[Gastos Adm]:[Cobranza]])</f>
        <v>11845.728317779198</v>
      </c>
      <c r="E199">
        <v>0</v>
      </c>
      <c r="F199">
        <v>0.15</v>
      </c>
      <c r="G199">
        <v>0.05</v>
      </c>
      <c r="H199">
        <v>0.01</v>
      </c>
      <c r="I199">
        <v>0.01</v>
      </c>
      <c r="J199" s="8">
        <f>Table3[[#This Row],[PrimaTécnica]]*Table3[[#This Row],[Gastos Adm]]</f>
        <v>2278.0246764959998</v>
      </c>
      <c r="K199" s="8">
        <f>Table3[[#This Row],[PrimaTécnica]]*Table3[[#This Row],[Utilidad]]</f>
        <v>759.34155883199992</v>
      </c>
      <c r="L199" s="8">
        <f>Table3[[#This Row],[PrimaTécnica]]*Table3[[#This Row],[Marketing]]</f>
        <v>151.86831176639998</v>
      </c>
      <c r="M199" s="8">
        <f>Table3[[#This Row],[PrimaTécnica]]*Table3[[#This Row],[Cobranza]]</f>
        <v>151.86831176639998</v>
      </c>
      <c r="N19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199">
        <v>21.84</v>
      </c>
      <c r="P199">
        <v>54.6</v>
      </c>
      <c r="Q199">
        <v>80.64</v>
      </c>
      <c r="R199">
        <v>44.377200000000002</v>
      </c>
      <c r="S199">
        <v>0.2</v>
      </c>
      <c r="T199">
        <v>0.02</v>
      </c>
      <c r="U199" s="8">
        <f>Table3[[#This Row],[PrimaNeta]]*Table3[[#This Row],[Comisión]]</f>
        <v>3847.0720941599998</v>
      </c>
      <c r="V199" s="15">
        <f>Table3[[#This Row],[PrimaComercial Anual]]-Table3[[#This Row],[PrimaComercial Anual]]*SUM(Table3[[#This Row],[APS]:[IVA]])</f>
        <v>19235.360470799998</v>
      </c>
      <c r="W199" s="2">
        <v>1.4800000000000001E-2</v>
      </c>
      <c r="X199" s="2">
        <v>8.4501000000000007E-2</v>
      </c>
      <c r="Y199">
        <v>0.03</v>
      </c>
      <c r="Z199">
        <v>0.13</v>
      </c>
      <c r="AA199" s="20">
        <f>Table3[[#This Row],[APS]]*Table3[[#This Row],[PrimaComercial Anual]]</f>
        <v>384.34416000000004</v>
      </c>
      <c r="AB199" s="8">
        <f>Table3[[#This Row],[PrimaComercial Anual]]*Table3[[#This Row],[Recargo adicional]]</f>
        <v>2194.4233692000003</v>
      </c>
      <c r="AC199" s="8">
        <f>Table3[[#This Row],[PrimaComercial Anual]]*Table3[[#This Row],[IT]]</f>
        <v>779.07600000000002</v>
      </c>
      <c r="AD199" s="8">
        <f>Table3[[#This Row],[PrimaComercial Anual]]*Table3[[#This Row],[IVA]]</f>
        <v>3375.9960000000001</v>
      </c>
      <c r="AE199" s="15">
        <f>Table3[[#This Row],[PrimaComercial Anual Asistencia]]</f>
        <v>25969.200000000001</v>
      </c>
      <c r="AG199">
        <v>25969.200000000001</v>
      </c>
    </row>
    <row r="200" spans="1:36" x14ac:dyDescent="0.25">
      <c r="A200" t="s">
        <v>18</v>
      </c>
      <c r="B200">
        <v>70000</v>
      </c>
      <c r="C200">
        <v>98</v>
      </c>
      <c r="D200" s="2">
        <f>Table3[[#This Row],[PrimaTécnica]]-Table3[[#This Row],[PrimaTécnica]]*SUM(Table3[[#This Row],[Gastos Adm]:[Cobranza]])</f>
        <v>11845.728317779198</v>
      </c>
      <c r="E200">
        <v>0</v>
      </c>
      <c r="F200">
        <v>0.15</v>
      </c>
      <c r="G200">
        <v>0.05</v>
      </c>
      <c r="H200">
        <v>0.01</v>
      </c>
      <c r="I200">
        <v>0.01</v>
      </c>
      <c r="J200" s="8">
        <f>Table3[[#This Row],[PrimaTécnica]]*Table3[[#This Row],[Gastos Adm]]</f>
        <v>2278.0246764959998</v>
      </c>
      <c r="K200" s="8">
        <f>Table3[[#This Row],[PrimaTécnica]]*Table3[[#This Row],[Utilidad]]</f>
        <v>759.34155883199992</v>
      </c>
      <c r="L200" s="8">
        <f>Table3[[#This Row],[PrimaTécnica]]*Table3[[#This Row],[Marketing]]</f>
        <v>151.86831176639998</v>
      </c>
      <c r="M200" s="8">
        <f>Table3[[#This Row],[PrimaTécnica]]*Table3[[#This Row],[Cobranza]]</f>
        <v>151.86831176639998</v>
      </c>
      <c r="N20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200">
        <v>21.84</v>
      </c>
      <c r="P200">
        <v>54.6</v>
      </c>
      <c r="Q200">
        <v>80.64</v>
      </c>
      <c r="R200">
        <v>44.377200000000002</v>
      </c>
      <c r="S200">
        <v>0.2</v>
      </c>
      <c r="T200">
        <v>0.02</v>
      </c>
      <c r="U200" s="8">
        <f>Table3[[#This Row],[PrimaNeta]]*Table3[[#This Row],[Comisión]]</f>
        <v>3847.0720941599998</v>
      </c>
      <c r="V200" s="15">
        <f>Table3[[#This Row],[PrimaComercial Anual]]-Table3[[#This Row],[PrimaComercial Anual]]*SUM(Table3[[#This Row],[APS]:[IVA]])</f>
        <v>19235.360470799998</v>
      </c>
      <c r="W200" s="2">
        <v>1.4800000000000001E-2</v>
      </c>
      <c r="X200" s="2">
        <v>8.4501000000000007E-2</v>
      </c>
      <c r="Y200">
        <v>0.03</v>
      </c>
      <c r="Z200">
        <v>0.13</v>
      </c>
      <c r="AA200" s="20">
        <f>Table3[[#This Row],[APS]]*Table3[[#This Row],[PrimaComercial Anual]]</f>
        <v>384.34416000000004</v>
      </c>
      <c r="AB200" s="8">
        <f>Table3[[#This Row],[PrimaComercial Anual]]*Table3[[#This Row],[Recargo adicional]]</f>
        <v>2194.4233692000003</v>
      </c>
      <c r="AC200" s="8">
        <f>Table3[[#This Row],[PrimaComercial Anual]]*Table3[[#This Row],[IT]]</f>
        <v>779.07600000000002</v>
      </c>
      <c r="AD200" s="8">
        <f>Table3[[#This Row],[PrimaComercial Anual]]*Table3[[#This Row],[IVA]]</f>
        <v>3375.9960000000001</v>
      </c>
      <c r="AE200" s="15">
        <f>Table3[[#This Row],[PrimaComercial Anual Asistencia]]</f>
        <v>25969.200000000001</v>
      </c>
      <c r="AG200">
        <v>25969.200000000001</v>
      </c>
    </row>
    <row r="201" spans="1:36" x14ac:dyDescent="0.25">
      <c r="A201" t="s">
        <v>18</v>
      </c>
      <c r="B201">
        <v>70000</v>
      </c>
      <c r="C201">
        <v>99</v>
      </c>
      <c r="D201" s="2">
        <f>Table3[[#This Row],[PrimaTécnica]]-Table3[[#This Row],[PrimaTécnica]]*SUM(Table3[[#This Row],[Gastos Adm]:[Cobranza]])</f>
        <v>11845.728317779198</v>
      </c>
      <c r="E201">
        <v>0</v>
      </c>
      <c r="F201">
        <v>0.15</v>
      </c>
      <c r="G201">
        <v>0.05</v>
      </c>
      <c r="H201">
        <v>0.01</v>
      </c>
      <c r="I201">
        <v>0.01</v>
      </c>
      <c r="J201" s="8">
        <f>Table3[[#This Row],[PrimaTécnica]]*Table3[[#This Row],[Gastos Adm]]</f>
        <v>2278.0246764959998</v>
      </c>
      <c r="K201" s="8">
        <f>Table3[[#This Row],[PrimaTécnica]]*Table3[[#This Row],[Utilidad]]</f>
        <v>759.34155883199992</v>
      </c>
      <c r="L201" s="8">
        <f>Table3[[#This Row],[PrimaTécnica]]*Table3[[#This Row],[Marketing]]</f>
        <v>151.86831176639998</v>
      </c>
      <c r="M201" s="8">
        <f>Table3[[#This Row],[PrimaTécnica]]*Table3[[#This Row],[Cobranza]]</f>
        <v>151.86831176639998</v>
      </c>
      <c r="N20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15186.831176639998</v>
      </c>
      <c r="O201">
        <v>21.84</v>
      </c>
      <c r="P201">
        <v>54.6</v>
      </c>
      <c r="Q201">
        <v>80.64</v>
      </c>
      <c r="R201">
        <v>44.377200000000002</v>
      </c>
      <c r="S201">
        <v>0.2</v>
      </c>
      <c r="T201">
        <v>0.02</v>
      </c>
      <c r="U201" s="8">
        <f>Table3[[#This Row],[PrimaNeta]]*Table3[[#This Row],[Comisión]]</f>
        <v>3847.0720941599998</v>
      </c>
      <c r="V201" s="15">
        <f>Table3[[#This Row],[PrimaComercial Anual]]-Table3[[#This Row],[PrimaComercial Anual]]*SUM(Table3[[#This Row],[APS]:[IVA]])</f>
        <v>19235.360470799998</v>
      </c>
      <c r="W201" s="2">
        <v>1.4800000000000001E-2</v>
      </c>
      <c r="X201" s="2">
        <v>8.4501000000000007E-2</v>
      </c>
      <c r="Y201">
        <v>0.03</v>
      </c>
      <c r="Z201">
        <v>0.13</v>
      </c>
      <c r="AA201" s="20">
        <f>Table3[[#This Row],[APS]]*Table3[[#This Row],[PrimaComercial Anual]]</f>
        <v>384.34416000000004</v>
      </c>
      <c r="AB201" s="8">
        <f>Table3[[#This Row],[PrimaComercial Anual]]*Table3[[#This Row],[Recargo adicional]]</f>
        <v>2194.4233692000003</v>
      </c>
      <c r="AC201" s="8">
        <f>Table3[[#This Row],[PrimaComercial Anual]]*Table3[[#This Row],[IT]]</f>
        <v>779.07600000000002</v>
      </c>
      <c r="AD201" s="8">
        <f>Table3[[#This Row],[PrimaComercial Anual]]*Table3[[#This Row],[IVA]]</f>
        <v>3375.9960000000001</v>
      </c>
      <c r="AE201" s="15">
        <f>Table3[[#This Row],[PrimaComercial Anual Asistencia]]</f>
        <v>25969.200000000001</v>
      </c>
      <c r="AG201">
        <v>25969.200000000001</v>
      </c>
    </row>
    <row r="202" spans="1:36" x14ac:dyDescent="0.25">
      <c r="A202" t="s">
        <v>19</v>
      </c>
      <c r="B202">
        <v>70000</v>
      </c>
      <c r="C202">
        <v>19</v>
      </c>
      <c r="D202" s="2">
        <f>Table3[[#This Row],[PrimaTécnica]]-Table3[[#This Row],[PrimaTécnica]]*SUM(Table3[[#This Row],[Gastos Adm]:[Cobranza]])</f>
        <v>2145.4322935968003</v>
      </c>
      <c r="E202">
        <v>754.47197279999989</v>
      </c>
      <c r="F202">
        <v>0.15</v>
      </c>
      <c r="G202">
        <v>0.05</v>
      </c>
      <c r="H202">
        <v>0.01</v>
      </c>
      <c r="I202">
        <v>0.01</v>
      </c>
      <c r="J202" s="8">
        <f>Table3[[#This Row],[PrimaTécnica]]*Table3[[#This Row],[Gastos Adm]]</f>
        <v>412.58313338400001</v>
      </c>
      <c r="K202" s="8">
        <f>Table3[[#This Row],[PrimaTécnica]]*Table3[[#This Row],[Utilidad]]</f>
        <v>137.52771112800002</v>
      </c>
      <c r="L202" s="8">
        <f>Table3[[#This Row],[PrimaTécnica]]*Table3[[#This Row],[Marketing]]</f>
        <v>27.505542225600003</v>
      </c>
      <c r="M202" s="8">
        <f>Table3[[#This Row],[PrimaTécnica]]*Table3[[#This Row],[Cobranza]]</f>
        <v>27.505542225600003</v>
      </c>
      <c r="N20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202">
        <v>21.84</v>
      </c>
      <c r="P202">
        <v>54.6</v>
      </c>
      <c r="Q202">
        <v>80.64</v>
      </c>
      <c r="R202">
        <v>44.377200000000002</v>
      </c>
      <c r="S202">
        <v>0.2</v>
      </c>
      <c r="T202">
        <v>0.02</v>
      </c>
      <c r="U202" s="8">
        <f>Table3[[#This Row],[PrimaNeta]]*Table3[[#This Row],[Comisión]]</f>
        <v>738.00285564000012</v>
      </c>
      <c r="V202" s="15">
        <f>Table3[[#This Row],[PrimaComercial Anual]]-Table3[[#This Row],[PrimaComercial Anual]]*SUM(Table3[[#This Row],[APS]:[IVA]])</f>
        <v>3690.0142782000003</v>
      </c>
      <c r="W202" s="2">
        <v>1.4800000000000001E-2</v>
      </c>
      <c r="X202" s="2">
        <v>8.4501000000000007E-2</v>
      </c>
      <c r="Y202">
        <v>0.03</v>
      </c>
      <c r="Z202">
        <v>0.13</v>
      </c>
      <c r="AA202" s="20">
        <f>Table3[[#This Row],[APS]]*Table3[[#This Row],[PrimaComercial Anual]]</f>
        <v>73.730640000000008</v>
      </c>
      <c r="AB202" s="8">
        <f>Table3[[#This Row],[PrimaComercial Anual]]*Table3[[#This Row],[Recargo adicional]]</f>
        <v>420.96708180000007</v>
      </c>
      <c r="AC202" s="8">
        <f>Table3[[#This Row],[PrimaComercial Anual]]*Table3[[#This Row],[IT]]</f>
        <v>149.45400000000001</v>
      </c>
      <c r="AD202" s="8">
        <f>Table3[[#This Row],[PrimaComercial Anual]]*Table3[[#This Row],[IVA]]</f>
        <v>647.63400000000001</v>
      </c>
      <c r="AE202" s="15">
        <f>Table3[[#This Row],[PrimaComercial Anual Asistencia]]</f>
        <v>4981.8</v>
      </c>
      <c r="AF202">
        <v>1675.8</v>
      </c>
      <c r="AG202">
        <v>4981.8</v>
      </c>
      <c r="AI202" s="14"/>
      <c r="AJ202" s="16"/>
    </row>
    <row r="203" spans="1:36" x14ac:dyDescent="0.25">
      <c r="A203" t="s">
        <v>19</v>
      </c>
      <c r="B203">
        <v>70000</v>
      </c>
      <c r="C203">
        <v>20</v>
      </c>
      <c r="D203" s="2">
        <f>Table3[[#This Row],[PrimaTécnica]]-Table3[[#This Row],[PrimaTécnica]]*SUM(Table3[[#This Row],[Gastos Adm]:[Cobranza]])</f>
        <v>2145.4322935968003</v>
      </c>
      <c r="E203">
        <v>754.47197279999989</v>
      </c>
      <c r="F203">
        <v>0.15</v>
      </c>
      <c r="G203">
        <v>0.05</v>
      </c>
      <c r="H203">
        <v>0.01</v>
      </c>
      <c r="I203">
        <v>0.01</v>
      </c>
      <c r="J203" s="8">
        <f>Table3[[#This Row],[PrimaTécnica]]*Table3[[#This Row],[Gastos Adm]]</f>
        <v>412.58313338400001</v>
      </c>
      <c r="K203" s="8">
        <f>Table3[[#This Row],[PrimaTécnica]]*Table3[[#This Row],[Utilidad]]</f>
        <v>137.52771112800002</v>
      </c>
      <c r="L203" s="8">
        <f>Table3[[#This Row],[PrimaTécnica]]*Table3[[#This Row],[Marketing]]</f>
        <v>27.505542225600003</v>
      </c>
      <c r="M203" s="8">
        <f>Table3[[#This Row],[PrimaTécnica]]*Table3[[#This Row],[Cobranza]]</f>
        <v>27.505542225600003</v>
      </c>
      <c r="N20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203">
        <v>21.84</v>
      </c>
      <c r="P203">
        <v>54.6</v>
      </c>
      <c r="Q203">
        <v>80.64</v>
      </c>
      <c r="R203">
        <v>44.377200000000002</v>
      </c>
      <c r="S203">
        <v>0.2</v>
      </c>
      <c r="T203">
        <v>0.02</v>
      </c>
      <c r="U203" s="8">
        <f>Table3[[#This Row],[PrimaNeta]]*Table3[[#This Row],[Comisión]]</f>
        <v>738.00285564000012</v>
      </c>
      <c r="V203" s="15">
        <f>Table3[[#This Row],[PrimaComercial Anual]]-Table3[[#This Row],[PrimaComercial Anual]]*SUM(Table3[[#This Row],[APS]:[IVA]])</f>
        <v>3690.0142782000003</v>
      </c>
      <c r="W203" s="2">
        <v>1.4800000000000001E-2</v>
      </c>
      <c r="X203" s="2">
        <v>8.4501000000000007E-2</v>
      </c>
      <c r="Y203">
        <v>0.03</v>
      </c>
      <c r="Z203">
        <v>0.13</v>
      </c>
      <c r="AA203" s="20">
        <f>Table3[[#This Row],[APS]]*Table3[[#This Row],[PrimaComercial Anual]]</f>
        <v>73.730640000000008</v>
      </c>
      <c r="AB203" s="8">
        <f>Table3[[#This Row],[PrimaComercial Anual]]*Table3[[#This Row],[Recargo adicional]]</f>
        <v>420.96708180000007</v>
      </c>
      <c r="AC203" s="8">
        <f>Table3[[#This Row],[PrimaComercial Anual]]*Table3[[#This Row],[IT]]</f>
        <v>149.45400000000001</v>
      </c>
      <c r="AD203" s="8">
        <f>Table3[[#This Row],[PrimaComercial Anual]]*Table3[[#This Row],[IVA]]</f>
        <v>647.63400000000001</v>
      </c>
      <c r="AE203" s="15">
        <f>Table3[[#This Row],[PrimaComercial Anual Asistencia]]</f>
        <v>4981.8</v>
      </c>
      <c r="AF203">
        <v>1675.8</v>
      </c>
      <c r="AG203">
        <v>4981.8</v>
      </c>
      <c r="AJ203" s="16"/>
    </row>
    <row r="204" spans="1:36" x14ac:dyDescent="0.25">
      <c r="A204" t="s">
        <v>19</v>
      </c>
      <c r="B204">
        <v>70000</v>
      </c>
      <c r="C204">
        <v>21</v>
      </c>
      <c r="D204" s="2">
        <f>Table3[[#This Row],[PrimaTécnica]]-Table3[[#This Row],[PrimaTécnica]]*SUM(Table3[[#This Row],[Gastos Adm]:[Cobranza]])</f>
        <v>2145.4322935968003</v>
      </c>
      <c r="E204">
        <v>754.47197279999989</v>
      </c>
      <c r="F204">
        <v>0.15</v>
      </c>
      <c r="G204">
        <v>0.05</v>
      </c>
      <c r="H204">
        <v>0.01</v>
      </c>
      <c r="I204">
        <v>0.01</v>
      </c>
      <c r="J204" s="8">
        <f>Table3[[#This Row],[PrimaTécnica]]*Table3[[#This Row],[Gastos Adm]]</f>
        <v>412.58313338400001</v>
      </c>
      <c r="K204" s="8">
        <f>Table3[[#This Row],[PrimaTécnica]]*Table3[[#This Row],[Utilidad]]</f>
        <v>137.52771112800002</v>
      </c>
      <c r="L204" s="8">
        <f>Table3[[#This Row],[PrimaTécnica]]*Table3[[#This Row],[Marketing]]</f>
        <v>27.505542225600003</v>
      </c>
      <c r="M204" s="8">
        <f>Table3[[#This Row],[PrimaTécnica]]*Table3[[#This Row],[Cobranza]]</f>
        <v>27.505542225600003</v>
      </c>
      <c r="N20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204">
        <v>21.84</v>
      </c>
      <c r="P204">
        <v>54.6</v>
      </c>
      <c r="Q204">
        <v>80.64</v>
      </c>
      <c r="R204">
        <v>44.377200000000002</v>
      </c>
      <c r="S204">
        <v>0.2</v>
      </c>
      <c r="T204">
        <v>0.02</v>
      </c>
      <c r="U204" s="8">
        <f>Table3[[#This Row],[PrimaNeta]]*Table3[[#This Row],[Comisión]]</f>
        <v>738.00285564000012</v>
      </c>
      <c r="V204" s="15">
        <f>Table3[[#This Row],[PrimaComercial Anual]]-Table3[[#This Row],[PrimaComercial Anual]]*SUM(Table3[[#This Row],[APS]:[IVA]])</f>
        <v>3690.0142782000003</v>
      </c>
      <c r="W204" s="2">
        <v>1.4800000000000001E-2</v>
      </c>
      <c r="X204" s="2">
        <v>8.4501000000000007E-2</v>
      </c>
      <c r="Y204">
        <v>0.03</v>
      </c>
      <c r="Z204">
        <v>0.13</v>
      </c>
      <c r="AA204" s="20">
        <f>Table3[[#This Row],[APS]]*Table3[[#This Row],[PrimaComercial Anual]]</f>
        <v>73.730640000000008</v>
      </c>
      <c r="AB204" s="8">
        <f>Table3[[#This Row],[PrimaComercial Anual]]*Table3[[#This Row],[Recargo adicional]]</f>
        <v>420.96708180000007</v>
      </c>
      <c r="AC204" s="8">
        <f>Table3[[#This Row],[PrimaComercial Anual]]*Table3[[#This Row],[IT]]</f>
        <v>149.45400000000001</v>
      </c>
      <c r="AD204" s="8">
        <f>Table3[[#This Row],[PrimaComercial Anual]]*Table3[[#This Row],[IVA]]</f>
        <v>647.63400000000001</v>
      </c>
      <c r="AE204" s="15">
        <f>Table3[[#This Row],[PrimaComercial Anual Asistencia]]</f>
        <v>4981.8</v>
      </c>
      <c r="AF204">
        <v>1675.8</v>
      </c>
      <c r="AG204">
        <v>4981.8</v>
      </c>
    </row>
    <row r="205" spans="1:36" x14ac:dyDescent="0.25">
      <c r="A205" t="s">
        <v>19</v>
      </c>
      <c r="B205">
        <v>70000</v>
      </c>
      <c r="C205">
        <v>22</v>
      </c>
      <c r="D205" s="2">
        <f>Table3[[#This Row],[PrimaTécnica]]-Table3[[#This Row],[PrimaTécnica]]*SUM(Table3[[#This Row],[Gastos Adm]:[Cobranza]])</f>
        <v>2145.4322935968003</v>
      </c>
      <c r="E205">
        <v>754.47197279999989</v>
      </c>
      <c r="F205">
        <v>0.15</v>
      </c>
      <c r="G205">
        <v>0.05</v>
      </c>
      <c r="H205">
        <v>0.01</v>
      </c>
      <c r="I205">
        <v>0.01</v>
      </c>
      <c r="J205" s="8">
        <f>Table3[[#This Row],[PrimaTécnica]]*Table3[[#This Row],[Gastos Adm]]</f>
        <v>412.58313338400001</v>
      </c>
      <c r="K205" s="8">
        <f>Table3[[#This Row],[PrimaTécnica]]*Table3[[#This Row],[Utilidad]]</f>
        <v>137.52771112800002</v>
      </c>
      <c r="L205" s="8">
        <f>Table3[[#This Row],[PrimaTécnica]]*Table3[[#This Row],[Marketing]]</f>
        <v>27.505542225600003</v>
      </c>
      <c r="M205" s="8">
        <f>Table3[[#This Row],[PrimaTécnica]]*Table3[[#This Row],[Cobranza]]</f>
        <v>27.505542225600003</v>
      </c>
      <c r="N20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205">
        <v>21.84</v>
      </c>
      <c r="P205">
        <v>54.6</v>
      </c>
      <c r="Q205">
        <v>80.64</v>
      </c>
      <c r="R205">
        <v>44.377200000000002</v>
      </c>
      <c r="S205">
        <v>0.2</v>
      </c>
      <c r="T205">
        <v>0.02</v>
      </c>
      <c r="U205" s="8">
        <f>Table3[[#This Row],[PrimaNeta]]*Table3[[#This Row],[Comisión]]</f>
        <v>738.00285564000012</v>
      </c>
      <c r="V205" s="15">
        <f>Table3[[#This Row],[PrimaComercial Anual]]-Table3[[#This Row],[PrimaComercial Anual]]*SUM(Table3[[#This Row],[APS]:[IVA]])</f>
        <v>3690.0142782000003</v>
      </c>
      <c r="W205" s="2">
        <v>1.4800000000000001E-2</v>
      </c>
      <c r="X205" s="2">
        <v>8.4501000000000007E-2</v>
      </c>
      <c r="Y205">
        <v>0.03</v>
      </c>
      <c r="Z205">
        <v>0.13</v>
      </c>
      <c r="AA205" s="20">
        <f>Table3[[#This Row],[APS]]*Table3[[#This Row],[PrimaComercial Anual]]</f>
        <v>73.730640000000008</v>
      </c>
      <c r="AB205" s="8">
        <f>Table3[[#This Row],[PrimaComercial Anual]]*Table3[[#This Row],[Recargo adicional]]</f>
        <v>420.96708180000007</v>
      </c>
      <c r="AC205" s="8">
        <f>Table3[[#This Row],[PrimaComercial Anual]]*Table3[[#This Row],[IT]]</f>
        <v>149.45400000000001</v>
      </c>
      <c r="AD205" s="8">
        <f>Table3[[#This Row],[PrimaComercial Anual]]*Table3[[#This Row],[IVA]]</f>
        <v>647.63400000000001</v>
      </c>
      <c r="AE205" s="15">
        <f>Table3[[#This Row],[PrimaComercial Anual Asistencia]]</f>
        <v>4981.8</v>
      </c>
      <c r="AF205">
        <v>1675.8</v>
      </c>
      <c r="AG205">
        <v>4981.8</v>
      </c>
    </row>
    <row r="206" spans="1:36" x14ac:dyDescent="0.25">
      <c r="A206" t="s">
        <v>19</v>
      </c>
      <c r="B206">
        <v>70000</v>
      </c>
      <c r="C206">
        <v>23</v>
      </c>
      <c r="D206" s="2">
        <f>Table3[[#This Row],[PrimaTécnica]]-Table3[[#This Row],[PrimaTécnica]]*SUM(Table3[[#This Row],[Gastos Adm]:[Cobranza]])</f>
        <v>2145.4322935968003</v>
      </c>
      <c r="E206">
        <v>754.47197279999989</v>
      </c>
      <c r="F206">
        <v>0.15</v>
      </c>
      <c r="G206">
        <v>0.05</v>
      </c>
      <c r="H206">
        <v>0.01</v>
      </c>
      <c r="I206">
        <v>0.01</v>
      </c>
      <c r="J206" s="8">
        <f>Table3[[#This Row],[PrimaTécnica]]*Table3[[#This Row],[Gastos Adm]]</f>
        <v>412.58313338400001</v>
      </c>
      <c r="K206" s="8">
        <f>Table3[[#This Row],[PrimaTécnica]]*Table3[[#This Row],[Utilidad]]</f>
        <v>137.52771112800002</v>
      </c>
      <c r="L206" s="8">
        <f>Table3[[#This Row],[PrimaTécnica]]*Table3[[#This Row],[Marketing]]</f>
        <v>27.505542225600003</v>
      </c>
      <c r="M206" s="8">
        <f>Table3[[#This Row],[PrimaTécnica]]*Table3[[#This Row],[Cobranza]]</f>
        <v>27.505542225600003</v>
      </c>
      <c r="N20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206">
        <v>21.84</v>
      </c>
      <c r="P206">
        <v>54.6</v>
      </c>
      <c r="Q206">
        <v>80.64</v>
      </c>
      <c r="R206">
        <v>44.377200000000002</v>
      </c>
      <c r="S206">
        <v>0.2</v>
      </c>
      <c r="T206">
        <v>0.02</v>
      </c>
      <c r="U206" s="8">
        <f>Table3[[#This Row],[PrimaNeta]]*Table3[[#This Row],[Comisión]]</f>
        <v>738.00285564000012</v>
      </c>
      <c r="V206" s="15">
        <f>Table3[[#This Row],[PrimaComercial Anual]]-Table3[[#This Row],[PrimaComercial Anual]]*SUM(Table3[[#This Row],[APS]:[IVA]])</f>
        <v>3690.0142782000003</v>
      </c>
      <c r="W206" s="2">
        <v>1.4800000000000001E-2</v>
      </c>
      <c r="X206" s="2">
        <v>8.4501000000000007E-2</v>
      </c>
      <c r="Y206">
        <v>0.03</v>
      </c>
      <c r="Z206">
        <v>0.13</v>
      </c>
      <c r="AA206" s="20">
        <f>Table3[[#This Row],[APS]]*Table3[[#This Row],[PrimaComercial Anual]]</f>
        <v>73.730640000000008</v>
      </c>
      <c r="AB206" s="8">
        <f>Table3[[#This Row],[PrimaComercial Anual]]*Table3[[#This Row],[Recargo adicional]]</f>
        <v>420.96708180000007</v>
      </c>
      <c r="AC206" s="8">
        <f>Table3[[#This Row],[PrimaComercial Anual]]*Table3[[#This Row],[IT]]</f>
        <v>149.45400000000001</v>
      </c>
      <c r="AD206" s="8">
        <f>Table3[[#This Row],[PrimaComercial Anual]]*Table3[[#This Row],[IVA]]</f>
        <v>647.63400000000001</v>
      </c>
      <c r="AE206" s="15">
        <f>Table3[[#This Row],[PrimaComercial Anual Asistencia]]</f>
        <v>4981.8</v>
      </c>
      <c r="AF206">
        <v>1675.8</v>
      </c>
      <c r="AG206">
        <v>4981.8</v>
      </c>
    </row>
    <row r="207" spans="1:36" x14ac:dyDescent="0.25">
      <c r="A207" t="s">
        <v>19</v>
      </c>
      <c r="B207">
        <v>70000</v>
      </c>
      <c r="C207">
        <v>24</v>
      </c>
      <c r="D207" s="2">
        <f>Table3[[#This Row],[PrimaTécnica]]-Table3[[#This Row],[PrimaTécnica]]*SUM(Table3[[#This Row],[Gastos Adm]:[Cobranza]])</f>
        <v>2145.4322935968003</v>
      </c>
      <c r="E207">
        <v>754.47197279999989</v>
      </c>
      <c r="F207">
        <v>0.15</v>
      </c>
      <c r="G207">
        <v>0.05</v>
      </c>
      <c r="H207">
        <v>0.01</v>
      </c>
      <c r="I207">
        <v>0.01</v>
      </c>
      <c r="J207" s="8">
        <f>Table3[[#This Row],[PrimaTécnica]]*Table3[[#This Row],[Gastos Adm]]</f>
        <v>412.58313338400001</v>
      </c>
      <c r="K207" s="8">
        <f>Table3[[#This Row],[PrimaTécnica]]*Table3[[#This Row],[Utilidad]]</f>
        <v>137.52771112800002</v>
      </c>
      <c r="L207" s="8">
        <f>Table3[[#This Row],[PrimaTécnica]]*Table3[[#This Row],[Marketing]]</f>
        <v>27.505542225600003</v>
      </c>
      <c r="M207" s="8">
        <f>Table3[[#This Row],[PrimaTécnica]]*Table3[[#This Row],[Cobranza]]</f>
        <v>27.505542225600003</v>
      </c>
      <c r="N20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207">
        <v>21.84</v>
      </c>
      <c r="P207">
        <v>54.6</v>
      </c>
      <c r="Q207">
        <v>80.64</v>
      </c>
      <c r="R207">
        <v>44.377200000000002</v>
      </c>
      <c r="S207">
        <v>0.2</v>
      </c>
      <c r="T207">
        <v>0.02</v>
      </c>
      <c r="U207" s="8">
        <f>Table3[[#This Row],[PrimaNeta]]*Table3[[#This Row],[Comisión]]</f>
        <v>738.00285564000012</v>
      </c>
      <c r="V207" s="15">
        <f>Table3[[#This Row],[PrimaComercial Anual]]-Table3[[#This Row],[PrimaComercial Anual]]*SUM(Table3[[#This Row],[APS]:[IVA]])</f>
        <v>3690.0142782000003</v>
      </c>
      <c r="W207" s="2">
        <v>1.4800000000000001E-2</v>
      </c>
      <c r="X207" s="2">
        <v>8.4501000000000007E-2</v>
      </c>
      <c r="Y207">
        <v>0.03</v>
      </c>
      <c r="Z207">
        <v>0.13</v>
      </c>
      <c r="AA207" s="20">
        <f>Table3[[#This Row],[APS]]*Table3[[#This Row],[PrimaComercial Anual]]</f>
        <v>73.730640000000008</v>
      </c>
      <c r="AB207" s="8">
        <f>Table3[[#This Row],[PrimaComercial Anual]]*Table3[[#This Row],[Recargo adicional]]</f>
        <v>420.96708180000007</v>
      </c>
      <c r="AC207" s="8">
        <f>Table3[[#This Row],[PrimaComercial Anual]]*Table3[[#This Row],[IT]]</f>
        <v>149.45400000000001</v>
      </c>
      <c r="AD207" s="8">
        <f>Table3[[#This Row],[PrimaComercial Anual]]*Table3[[#This Row],[IVA]]</f>
        <v>647.63400000000001</v>
      </c>
      <c r="AE207" s="15">
        <f>Table3[[#This Row],[PrimaComercial Anual Asistencia]]</f>
        <v>4981.8</v>
      </c>
      <c r="AF207">
        <v>1675.8</v>
      </c>
      <c r="AG207">
        <v>4981.8</v>
      </c>
    </row>
    <row r="208" spans="1:36" x14ac:dyDescent="0.25">
      <c r="A208" t="s">
        <v>19</v>
      </c>
      <c r="B208">
        <v>70000</v>
      </c>
      <c r="C208">
        <v>25</v>
      </c>
      <c r="D208" s="2">
        <f>Table3[[#This Row],[PrimaTécnica]]-Table3[[#This Row],[PrimaTécnica]]*SUM(Table3[[#This Row],[Gastos Adm]:[Cobranza]])</f>
        <v>2145.4322935968003</v>
      </c>
      <c r="E208">
        <v>754.47197279999989</v>
      </c>
      <c r="F208">
        <v>0.15</v>
      </c>
      <c r="G208">
        <v>0.05</v>
      </c>
      <c r="H208">
        <v>0.01</v>
      </c>
      <c r="I208">
        <v>0.01</v>
      </c>
      <c r="J208" s="8">
        <f>Table3[[#This Row],[PrimaTécnica]]*Table3[[#This Row],[Gastos Adm]]</f>
        <v>412.58313338400001</v>
      </c>
      <c r="K208" s="8">
        <f>Table3[[#This Row],[PrimaTécnica]]*Table3[[#This Row],[Utilidad]]</f>
        <v>137.52771112800002</v>
      </c>
      <c r="L208" s="8">
        <f>Table3[[#This Row],[PrimaTécnica]]*Table3[[#This Row],[Marketing]]</f>
        <v>27.505542225600003</v>
      </c>
      <c r="M208" s="8">
        <f>Table3[[#This Row],[PrimaTécnica]]*Table3[[#This Row],[Cobranza]]</f>
        <v>27.505542225600003</v>
      </c>
      <c r="N20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208">
        <v>21.84</v>
      </c>
      <c r="P208">
        <v>54.6</v>
      </c>
      <c r="Q208">
        <v>80.64</v>
      </c>
      <c r="R208">
        <v>44.377200000000002</v>
      </c>
      <c r="S208">
        <v>0.2</v>
      </c>
      <c r="T208">
        <v>0.02</v>
      </c>
      <c r="U208" s="8">
        <f>Table3[[#This Row],[PrimaNeta]]*Table3[[#This Row],[Comisión]]</f>
        <v>738.00285564000012</v>
      </c>
      <c r="V208" s="15">
        <f>Table3[[#This Row],[PrimaComercial Anual]]-Table3[[#This Row],[PrimaComercial Anual]]*SUM(Table3[[#This Row],[APS]:[IVA]])</f>
        <v>3690.0142782000003</v>
      </c>
      <c r="W208" s="2">
        <v>1.4800000000000001E-2</v>
      </c>
      <c r="X208" s="2">
        <v>8.4501000000000007E-2</v>
      </c>
      <c r="Y208">
        <v>0.03</v>
      </c>
      <c r="Z208">
        <v>0.13</v>
      </c>
      <c r="AA208" s="20">
        <f>Table3[[#This Row],[APS]]*Table3[[#This Row],[PrimaComercial Anual]]</f>
        <v>73.730640000000008</v>
      </c>
      <c r="AB208" s="8">
        <f>Table3[[#This Row],[PrimaComercial Anual]]*Table3[[#This Row],[Recargo adicional]]</f>
        <v>420.96708180000007</v>
      </c>
      <c r="AC208" s="8">
        <f>Table3[[#This Row],[PrimaComercial Anual]]*Table3[[#This Row],[IT]]</f>
        <v>149.45400000000001</v>
      </c>
      <c r="AD208" s="8">
        <f>Table3[[#This Row],[PrimaComercial Anual]]*Table3[[#This Row],[IVA]]</f>
        <v>647.63400000000001</v>
      </c>
      <c r="AE208" s="15">
        <f>Table3[[#This Row],[PrimaComercial Anual Asistencia]]</f>
        <v>4981.8</v>
      </c>
      <c r="AF208">
        <v>1675.8</v>
      </c>
      <c r="AG208">
        <v>4981.8</v>
      </c>
    </row>
    <row r="209" spans="1:33" x14ac:dyDescent="0.25">
      <c r="A209" t="s">
        <v>19</v>
      </c>
      <c r="B209">
        <v>70000</v>
      </c>
      <c r="C209">
        <v>26</v>
      </c>
      <c r="D209" s="2">
        <f>Table3[[#This Row],[PrimaTécnica]]-Table3[[#This Row],[PrimaTécnica]]*SUM(Table3[[#This Row],[Gastos Adm]:[Cobranza]])</f>
        <v>2145.4322935968003</v>
      </c>
      <c r="E209">
        <v>754.47197279999989</v>
      </c>
      <c r="F209">
        <v>0.15</v>
      </c>
      <c r="G209">
        <v>0.05</v>
      </c>
      <c r="H209">
        <v>0.01</v>
      </c>
      <c r="I209">
        <v>0.01</v>
      </c>
      <c r="J209" s="8">
        <f>Table3[[#This Row],[PrimaTécnica]]*Table3[[#This Row],[Gastos Adm]]</f>
        <v>412.58313338400001</v>
      </c>
      <c r="K209" s="8">
        <f>Table3[[#This Row],[PrimaTécnica]]*Table3[[#This Row],[Utilidad]]</f>
        <v>137.52771112800002</v>
      </c>
      <c r="L209" s="8">
        <f>Table3[[#This Row],[PrimaTécnica]]*Table3[[#This Row],[Marketing]]</f>
        <v>27.505542225600003</v>
      </c>
      <c r="M209" s="8">
        <f>Table3[[#This Row],[PrimaTécnica]]*Table3[[#This Row],[Cobranza]]</f>
        <v>27.505542225600003</v>
      </c>
      <c r="N20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209">
        <v>21.84</v>
      </c>
      <c r="P209">
        <v>54.6</v>
      </c>
      <c r="Q209">
        <v>80.64</v>
      </c>
      <c r="R209">
        <v>44.377200000000002</v>
      </c>
      <c r="S209">
        <v>0.2</v>
      </c>
      <c r="T209">
        <v>0.02</v>
      </c>
      <c r="U209" s="8">
        <f>Table3[[#This Row],[PrimaNeta]]*Table3[[#This Row],[Comisión]]</f>
        <v>738.00285564000012</v>
      </c>
      <c r="V209" s="15">
        <f>Table3[[#This Row],[PrimaComercial Anual]]-Table3[[#This Row],[PrimaComercial Anual]]*SUM(Table3[[#This Row],[APS]:[IVA]])</f>
        <v>3690.0142782000003</v>
      </c>
      <c r="W209" s="2">
        <v>1.4800000000000001E-2</v>
      </c>
      <c r="X209" s="2">
        <v>8.4501000000000007E-2</v>
      </c>
      <c r="Y209">
        <v>0.03</v>
      </c>
      <c r="Z209">
        <v>0.13</v>
      </c>
      <c r="AA209" s="20">
        <f>Table3[[#This Row],[APS]]*Table3[[#This Row],[PrimaComercial Anual]]</f>
        <v>73.730640000000008</v>
      </c>
      <c r="AB209" s="8">
        <f>Table3[[#This Row],[PrimaComercial Anual]]*Table3[[#This Row],[Recargo adicional]]</f>
        <v>420.96708180000007</v>
      </c>
      <c r="AC209" s="8">
        <f>Table3[[#This Row],[PrimaComercial Anual]]*Table3[[#This Row],[IT]]</f>
        <v>149.45400000000001</v>
      </c>
      <c r="AD209" s="8">
        <f>Table3[[#This Row],[PrimaComercial Anual]]*Table3[[#This Row],[IVA]]</f>
        <v>647.63400000000001</v>
      </c>
      <c r="AE209" s="15">
        <f>Table3[[#This Row],[PrimaComercial Anual Asistencia]]</f>
        <v>4981.8</v>
      </c>
      <c r="AF209">
        <v>1675.8</v>
      </c>
      <c r="AG209">
        <v>4981.8</v>
      </c>
    </row>
    <row r="210" spans="1:33" x14ac:dyDescent="0.25">
      <c r="A210" t="s">
        <v>19</v>
      </c>
      <c r="B210">
        <v>70000</v>
      </c>
      <c r="C210">
        <v>27</v>
      </c>
      <c r="D210" s="2">
        <f>Table3[[#This Row],[PrimaTécnica]]-Table3[[#This Row],[PrimaTécnica]]*SUM(Table3[[#This Row],[Gastos Adm]:[Cobranza]])</f>
        <v>2145.4322935968003</v>
      </c>
      <c r="E210">
        <v>754.47197279999989</v>
      </c>
      <c r="F210">
        <v>0.15</v>
      </c>
      <c r="G210">
        <v>0.05</v>
      </c>
      <c r="H210">
        <v>0.01</v>
      </c>
      <c r="I210">
        <v>0.01</v>
      </c>
      <c r="J210" s="8">
        <f>Table3[[#This Row],[PrimaTécnica]]*Table3[[#This Row],[Gastos Adm]]</f>
        <v>412.58313338400001</v>
      </c>
      <c r="K210" s="8">
        <f>Table3[[#This Row],[PrimaTécnica]]*Table3[[#This Row],[Utilidad]]</f>
        <v>137.52771112800002</v>
      </c>
      <c r="L210" s="8">
        <f>Table3[[#This Row],[PrimaTécnica]]*Table3[[#This Row],[Marketing]]</f>
        <v>27.505542225600003</v>
      </c>
      <c r="M210" s="8">
        <f>Table3[[#This Row],[PrimaTécnica]]*Table3[[#This Row],[Cobranza]]</f>
        <v>27.505542225600003</v>
      </c>
      <c r="N21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210">
        <v>21.84</v>
      </c>
      <c r="P210">
        <v>54.6</v>
      </c>
      <c r="Q210">
        <v>80.64</v>
      </c>
      <c r="R210">
        <v>44.377200000000002</v>
      </c>
      <c r="S210">
        <v>0.2</v>
      </c>
      <c r="T210">
        <v>0.02</v>
      </c>
      <c r="U210" s="8">
        <f>Table3[[#This Row],[PrimaNeta]]*Table3[[#This Row],[Comisión]]</f>
        <v>738.00285564000012</v>
      </c>
      <c r="V210" s="15">
        <f>Table3[[#This Row],[PrimaComercial Anual]]-Table3[[#This Row],[PrimaComercial Anual]]*SUM(Table3[[#This Row],[APS]:[IVA]])</f>
        <v>3690.0142782000003</v>
      </c>
      <c r="W210" s="2">
        <v>1.4800000000000001E-2</v>
      </c>
      <c r="X210" s="2">
        <v>8.4501000000000007E-2</v>
      </c>
      <c r="Y210">
        <v>0.03</v>
      </c>
      <c r="Z210">
        <v>0.13</v>
      </c>
      <c r="AA210" s="20">
        <f>Table3[[#This Row],[APS]]*Table3[[#This Row],[PrimaComercial Anual]]</f>
        <v>73.730640000000008</v>
      </c>
      <c r="AB210" s="8">
        <f>Table3[[#This Row],[PrimaComercial Anual]]*Table3[[#This Row],[Recargo adicional]]</f>
        <v>420.96708180000007</v>
      </c>
      <c r="AC210" s="8">
        <f>Table3[[#This Row],[PrimaComercial Anual]]*Table3[[#This Row],[IT]]</f>
        <v>149.45400000000001</v>
      </c>
      <c r="AD210" s="8">
        <f>Table3[[#This Row],[PrimaComercial Anual]]*Table3[[#This Row],[IVA]]</f>
        <v>647.63400000000001</v>
      </c>
      <c r="AE210" s="15">
        <f>Table3[[#This Row],[PrimaComercial Anual Asistencia]]</f>
        <v>4981.8</v>
      </c>
      <c r="AF210">
        <v>1675.8</v>
      </c>
      <c r="AG210">
        <v>4981.8</v>
      </c>
    </row>
    <row r="211" spans="1:33" x14ac:dyDescent="0.25">
      <c r="A211" t="s">
        <v>19</v>
      </c>
      <c r="B211">
        <v>70000</v>
      </c>
      <c r="C211">
        <v>28</v>
      </c>
      <c r="D211" s="2">
        <f>Table3[[#This Row],[PrimaTécnica]]-Table3[[#This Row],[PrimaTécnica]]*SUM(Table3[[#This Row],[Gastos Adm]:[Cobranza]])</f>
        <v>2145.4322935968003</v>
      </c>
      <c r="E211">
        <v>754.47197279999989</v>
      </c>
      <c r="F211">
        <v>0.15</v>
      </c>
      <c r="G211">
        <v>0.05</v>
      </c>
      <c r="H211">
        <v>0.01</v>
      </c>
      <c r="I211">
        <v>0.01</v>
      </c>
      <c r="J211" s="8">
        <f>Table3[[#This Row],[PrimaTécnica]]*Table3[[#This Row],[Gastos Adm]]</f>
        <v>412.58313338400001</v>
      </c>
      <c r="K211" s="8">
        <f>Table3[[#This Row],[PrimaTécnica]]*Table3[[#This Row],[Utilidad]]</f>
        <v>137.52771112800002</v>
      </c>
      <c r="L211" s="8">
        <f>Table3[[#This Row],[PrimaTécnica]]*Table3[[#This Row],[Marketing]]</f>
        <v>27.505542225600003</v>
      </c>
      <c r="M211" s="8">
        <f>Table3[[#This Row],[PrimaTécnica]]*Table3[[#This Row],[Cobranza]]</f>
        <v>27.505542225600003</v>
      </c>
      <c r="N21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211">
        <v>21.84</v>
      </c>
      <c r="P211">
        <v>54.6</v>
      </c>
      <c r="Q211">
        <v>80.64</v>
      </c>
      <c r="R211">
        <v>44.377200000000002</v>
      </c>
      <c r="S211">
        <v>0.2</v>
      </c>
      <c r="T211">
        <v>0.02</v>
      </c>
      <c r="U211" s="8">
        <f>Table3[[#This Row],[PrimaNeta]]*Table3[[#This Row],[Comisión]]</f>
        <v>738.00285564000012</v>
      </c>
      <c r="V211" s="15">
        <f>Table3[[#This Row],[PrimaComercial Anual]]-Table3[[#This Row],[PrimaComercial Anual]]*SUM(Table3[[#This Row],[APS]:[IVA]])</f>
        <v>3690.0142782000003</v>
      </c>
      <c r="W211" s="2">
        <v>1.4800000000000001E-2</v>
      </c>
      <c r="X211" s="2">
        <v>8.4501000000000007E-2</v>
      </c>
      <c r="Y211">
        <v>0.03</v>
      </c>
      <c r="Z211">
        <v>0.13</v>
      </c>
      <c r="AA211" s="20">
        <f>Table3[[#This Row],[APS]]*Table3[[#This Row],[PrimaComercial Anual]]</f>
        <v>73.730640000000008</v>
      </c>
      <c r="AB211" s="8">
        <f>Table3[[#This Row],[PrimaComercial Anual]]*Table3[[#This Row],[Recargo adicional]]</f>
        <v>420.96708180000007</v>
      </c>
      <c r="AC211" s="8">
        <f>Table3[[#This Row],[PrimaComercial Anual]]*Table3[[#This Row],[IT]]</f>
        <v>149.45400000000001</v>
      </c>
      <c r="AD211" s="8">
        <f>Table3[[#This Row],[PrimaComercial Anual]]*Table3[[#This Row],[IVA]]</f>
        <v>647.63400000000001</v>
      </c>
      <c r="AE211" s="15">
        <f>Table3[[#This Row],[PrimaComercial Anual Asistencia]]</f>
        <v>4981.8</v>
      </c>
      <c r="AF211">
        <v>1675.8</v>
      </c>
      <c r="AG211">
        <v>4981.8</v>
      </c>
    </row>
    <row r="212" spans="1:33" x14ac:dyDescent="0.25">
      <c r="A212" t="s">
        <v>19</v>
      </c>
      <c r="B212">
        <v>70000</v>
      </c>
      <c r="C212">
        <v>29</v>
      </c>
      <c r="D212" s="2">
        <f>Table3[[#This Row],[PrimaTécnica]]-Table3[[#This Row],[PrimaTécnica]]*SUM(Table3[[#This Row],[Gastos Adm]:[Cobranza]])</f>
        <v>2145.4322935968003</v>
      </c>
      <c r="E212">
        <v>754.47197279999989</v>
      </c>
      <c r="F212">
        <v>0.15</v>
      </c>
      <c r="G212">
        <v>0.05</v>
      </c>
      <c r="H212">
        <v>0.01</v>
      </c>
      <c r="I212">
        <v>0.01</v>
      </c>
      <c r="J212" s="8">
        <f>Table3[[#This Row],[PrimaTécnica]]*Table3[[#This Row],[Gastos Adm]]</f>
        <v>412.58313338400001</v>
      </c>
      <c r="K212" s="8">
        <f>Table3[[#This Row],[PrimaTécnica]]*Table3[[#This Row],[Utilidad]]</f>
        <v>137.52771112800002</v>
      </c>
      <c r="L212" s="8">
        <f>Table3[[#This Row],[PrimaTécnica]]*Table3[[#This Row],[Marketing]]</f>
        <v>27.505542225600003</v>
      </c>
      <c r="M212" s="8">
        <f>Table3[[#This Row],[PrimaTécnica]]*Table3[[#This Row],[Cobranza]]</f>
        <v>27.505542225600003</v>
      </c>
      <c r="N21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212">
        <v>21.84</v>
      </c>
      <c r="P212">
        <v>54.6</v>
      </c>
      <c r="Q212">
        <v>80.64</v>
      </c>
      <c r="R212">
        <v>44.377200000000002</v>
      </c>
      <c r="S212">
        <v>0.2</v>
      </c>
      <c r="T212">
        <v>0.02</v>
      </c>
      <c r="U212" s="8">
        <f>Table3[[#This Row],[PrimaNeta]]*Table3[[#This Row],[Comisión]]</f>
        <v>738.00285564000012</v>
      </c>
      <c r="V212" s="15">
        <f>Table3[[#This Row],[PrimaComercial Anual]]-Table3[[#This Row],[PrimaComercial Anual]]*SUM(Table3[[#This Row],[APS]:[IVA]])</f>
        <v>3690.0142782000003</v>
      </c>
      <c r="W212" s="2">
        <v>1.4800000000000001E-2</v>
      </c>
      <c r="X212" s="2">
        <v>8.4501000000000007E-2</v>
      </c>
      <c r="Y212">
        <v>0.03</v>
      </c>
      <c r="Z212">
        <v>0.13</v>
      </c>
      <c r="AA212" s="20">
        <f>Table3[[#This Row],[APS]]*Table3[[#This Row],[PrimaComercial Anual]]</f>
        <v>73.730640000000008</v>
      </c>
      <c r="AB212" s="8">
        <f>Table3[[#This Row],[PrimaComercial Anual]]*Table3[[#This Row],[Recargo adicional]]</f>
        <v>420.96708180000007</v>
      </c>
      <c r="AC212" s="8">
        <f>Table3[[#This Row],[PrimaComercial Anual]]*Table3[[#This Row],[IT]]</f>
        <v>149.45400000000001</v>
      </c>
      <c r="AD212" s="8">
        <f>Table3[[#This Row],[PrimaComercial Anual]]*Table3[[#This Row],[IVA]]</f>
        <v>647.63400000000001</v>
      </c>
      <c r="AE212" s="15">
        <f>Table3[[#This Row],[PrimaComercial Anual Asistencia]]</f>
        <v>4981.8</v>
      </c>
      <c r="AF212">
        <v>1675.8</v>
      </c>
      <c r="AG212">
        <v>4981.8</v>
      </c>
    </row>
    <row r="213" spans="1:33" x14ac:dyDescent="0.25">
      <c r="A213" t="s">
        <v>19</v>
      </c>
      <c r="B213">
        <v>70000</v>
      </c>
      <c r="C213">
        <v>30</v>
      </c>
      <c r="D213" s="2">
        <f>Table3[[#This Row],[PrimaTécnica]]-Table3[[#This Row],[PrimaTécnica]]*SUM(Table3[[#This Row],[Gastos Adm]:[Cobranza]])</f>
        <v>2219.1988032864001</v>
      </c>
      <c r="E213">
        <v>1077.817104</v>
      </c>
      <c r="F213">
        <v>0.15</v>
      </c>
      <c r="G213">
        <v>0.05</v>
      </c>
      <c r="H213">
        <v>0.01</v>
      </c>
      <c r="I213">
        <v>0.01</v>
      </c>
      <c r="J213" s="8">
        <f>Table3[[#This Row],[PrimaTécnica]]*Table3[[#This Row],[Gastos Adm]]</f>
        <v>426.76900063199997</v>
      </c>
      <c r="K213" s="8">
        <f>Table3[[#This Row],[PrimaTécnica]]*Table3[[#This Row],[Utilidad]]</f>
        <v>142.256333544</v>
      </c>
      <c r="L213" s="8">
        <f>Table3[[#This Row],[PrimaTécnica]]*Table3[[#This Row],[Marketing]]</f>
        <v>28.451266708799999</v>
      </c>
      <c r="M213" s="8">
        <f>Table3[[#This Row],[PrimaTécnica]]*Table3[[#This Row],[Cobranza]]</f>
        <v>28.451266708799999</v>
      </c>
      <c r="N21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2845.1266708799999</v>
      </c>
      <c r="O213">
        <v>21.84</v>
      </c>
      <c r="P213">
        <v>54.6</v>
      </c>
      <c r="Q213">
        <v>80.64</v>
      </c>
      <c r="R213">
        <v>44.377200000000002</v>
      </c>
      <c r="S213">
        <v>0.2</v>
      </c>
      <c r="T213">
        <v>0.02</v>
      </c>
      <c r="U213" s="8">
        <f>Table3[[#This Row],[PrimaNeta]]*Table3[[#This Row],[Comisión]]</f>
        <v>761.64596772000004</v>
      </c>
      <c r="V213" s="15">
        <f>Table3[[#This Row],[PrimaComercial Anual]]-Table3[[#This Row],[PrimaComercial Anual]]*SUM(Table3[[#This Row],[APS]:[IVA]])</f>
        <v>3808.2298385999998</v>
      </c>
      <c r="W213" s="2">
        <v>1.4800000000000001E-2</v>
      </c>
      <c r="X213" s="2">
        <v>8.4501000000000007E-2</v>
      </c>
      <c r="Y213">
        <v>0.03</v>
      </c>
      <c r="Z213">
        <v>0.13</v>
      </c>
      <c r="AA213" s="20">
        <f>Table3[[#This Row],[APS]]*Table3[[#This Row],[PrimaComercial Anual]]</f>
        <v>76.09272</v>
      </c>
      <c r="AB213" s="8">
        <f>Table3[[#This Row],[PrimaComercial Anual]]*Table3[[#This Row],[Recargo adicional]]</f>
        <v>434.45344140000003</v>
      </c>
      <c r="AC213" s="8">
        <f>Table3[[#This Row],[PrimaComercial Anual]]*Table3[[#This Row],[IT]]</f>
        <v>154.24199999999999</v>
      </c>
      <c r="AD213" s="8">
        <f>Table3[[#This Row],[PrimaComercial Anual]]*Table3[[#This Row],[IVA]]</f>
        <v>668.38199999999995</v>
      </c>
      <c r="AE213" s="15">
        <f>Table3[[#This Row],[PrimaComercial Anual Asistencia]]</f>
        <v>5141.3999999999996</v>
      </c>
      <c r="AF213">
        <v>2394</v>
      </c>
      <c r="AG213">
        <v>5141.3999999999996</v>
      </c>
    </row>
    <row r="214" spans="1:33" x14ac:dyDescent="0.25">
      <c r="A214" t="s">
        <v>19</v>
      </c>
      <c r="B214">
        <v>70000</v>
      </c>
      <c r="C214">
        <v>31</v>
      </c>
      <c r="D214" s="2">
        <f>Table3[[#This Row],[PrimaTécnica]]-Table3[[#This Row],[PrimaTécnica]]*SUM(Table3[[#This Row],[Gastos Adm]:[Cobranza]])</f>
        <v>2219.1988032864001</v>
      </c>
      <c r="E214">
        <v>1077.817104</v>
      </c>
      <c r="F214">
        <v>0.15</v>
      </c>
      <c r="G214">
        <v>0.05</v>
      </c>
      <c r="H214">
        <v>0.01</v>
      </c>
      <c r="I214">
        <v>0.01</v>
      </c>
      <c r="J214" s="8">
        <f>Table3[[#This Row],[PrimaTécnica]]*Table3[[#This Row],[Gastos Adm]]</f>
        <v>426.76900063199997</v>
      </c>
      <c r="K214" s="8">
        <f>Table3[[#This Row],[PrimaTécnica]]*Table3[[#This Row],[Utilidad]]</f>
        <v>142.256333544</v>
      </c>
      <c r="L214" s="8">
        <f>Table3[[#This Row],[PrimaTécnica]]*Table3[[#This Row],[Marketing]]</f>
        <v>28.451266708799999</v>
      </c>
      <c r="M214" s="8">
        <f>Table3[[#This Row],[PrimaTécnica]]*Table3[[#This Row],[Cobranza]]</f>
        <v>28.451266708799999</v>
      </c>
      <c r="N21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2845.1266708799999</v>
      </c>
      <c r="O214">
        <v>21.84</v>
      </c>
      <c r="P214">
        <v>54.6</v>
      </c>
      <c r="Q214">
        <v>80.64</v>
      </c>
      <c r="R214">
        <v>44.377200000000002</v>
      </c>
      <c r="S214">
        <v>0.2</v>
      </c>
      <c r="T214">
        <v>0.02</v>
      </c>
      <c r="U214" s="8">
        <f>Table3[[#This Row],[PrimaNeta]]*Table3[[#This Row],[Comisión]]</f>
        <v>761.64596772000004</v>
      </c>
      <c r="V214" s="15">
        <f>Table3[[#This Row],[PrimaComercial Anual]]-Table3[[#This Row],[PrimaComercial Anual]]*SUM(Table3[[#This Row],[APS]:[IVA]])</f>
        <v>3808.2298385999998</v>
      </c>
      <c r="W214" s="2">
        <v>1.4800000000000001E-2</v>
      </c>
      <c r="X214" s="2">
        <v>8.4501000000000007E-2</v>
      </c>
      <c r="Y214">
        <v>0.03</v>
      </c>
      <c r="Z214">
        <v>0.13</v>
      </c>
      <c r="AA214" s="20">
        <f>Table3[[#This Row],[APS]]*Table3[[#This Row],[PrimaComercial Anual]]</f>
        <v>76.09272</v>
      </c>
      <c r="AB214" s="8">
        <f>Table3[[#This Row],[PrimaComercial Anual]]*Table3[[#This Row],[Recargo adicional]]</f>
        <v>434.45344140000003</v>
      </c>
      <c r="AC214" s="8">
        <f>Table3[[#This Row],[PrimaComercial Anual]]*Table3[[#This Row],[IT]]</f>
        <v>154.24199999999999</v>
      </c>
      <c r="AD214" s="8">
        <f>Table3[[#This Row],[PrimaComercial Anual]]*Table3[[#This Row],[IVA]]</f>
        <v>668.38199999999995</v>
      </c>
      <c r="AE214" s="15">
        <f>Table3[[#This Row],[PrimaComercial Anual Asistencia]]</f>
        <v>5141.3999999999996</v>
      </c>
      <c r="AF214">
        <v>2394</v>
      </c>
      <c r="AG214">
        <v>5141.3999999999996</v>
      </c>
    </row>
    <row r="215" spans="1:33" x14ac:dyDescent="0.25">
      <c r="A215" t="s">
        <v>19</v>
      </c>
      <c r="B215">
        <v>70000</v>
      </c>
      <c r="C215">
        <v>32</v>
      </c>
      <c r="D215" s="2">
        <f>Table3[[#This Row],[PrimaTécnica]]-Table3[[#This Row],[PrimaTécnica]]*SUM(Table3[[#This Row],[Gastos Adm]:[Cobranza]])</f>
        <v>2219.1988032864001</v>
      </c>
      <c r="E215">
        <v>1077.817104</v>
      </c>
      <c r="F215">
        <v>0.15</v>
      </c>
      <c r="G215">
        <v>0.05</v>
      </c>
      <c r="H215">
        <v>0.01</v>
      </c>
      <c r="I215">
        <v>0.01</v>
      </c>
      <c r="J215" s="8">
        <f>Table3[[#This Row],[PrimaTécnica]]*Table3[[#This Row],[Gastos Adm]]</f>
        <v>426.76900063199997</v>
      </c>
      <c r="K215" s="8">
        <f>Table3[[#This Row],[PrimaTécnica]]*Table3[[#This Row],[Utilidad]]</f>
        <v>142.256333544</v>
      </c>
      <c r="L215" s="8">
        <f>Table3[[#This Row],[PrimaTécnica]]*Table3[[#This Row],[Marketing]]</f>
        <v>28.451266708799999</v>
      </c>
      <c r="M215" s="8">
        <f>Table3[[#This Row],[PrimaTécnica]]*Table3[[#This Row],[Cobranza]]</f>
        <v>28.451266708799999</v>
      </c>
      <c r="N21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2845.1266708799999</v>
      </c>
      <c r="O215">
        <v>21.84</v>
      </c>
      <c r="P215">
        <v>54.6</v>
      </c>
      <c r="Q215">
        <v>80.64</v>
      </c>
      <c r="R215">
        <v>44.377200000000002</v>
      </c>
      <c r="S215">
        <v>0.2</v>
      </c>
      <c r="T215">
        <v>0.02</v>
      </c>
      <c r="U215" s="8">
        <f>Table3[[#This Row],[PrimaNeta]]*Table3[[#This Row],[Comisión]]</f>
        <v>761.64596772000004</v>
      </c>
      <c r="V215" s="15">
        <f>Table3[[#This Row],[PrimaComercial Anual]]-Table3[[#This Row],[PrimaComercial Anual]]*SUM(Table3[[#This Row],[APS]:[IVA]])</f>
        <v>3808.2298385999998</v>
      </c>
      <c r="W215" s="2">
        <v>1.4800000000000001E-2</v>
      </c>
      <c r="X215" s="2">
        <v>8.4501000000000007E-2</v>
      </c>
      <c r="Y215">
        <v>0.03</v>
      </c>
      <c r="Z215">
        <v>0.13</v>
      </c>
      <c r="AA215" s="20">
        <f>Table3[[#This Row],[APS]]*Table3[[#This Row],[PrimaComercial Anual]]</f>
        <v>76.09272</v>
      </c>
      <c r="AB215" s="8">
        <f>Table3[[#This Row],[PrimaComercial Anual]]*Table3[[#This Row],[Recargo adicional]]</f>
        <v>434.45344140000003</v>
      </c>
      <c r="AC215" s="8">
        <f>Table3[[#This Row],[PrimaComercial Anual]]*Table3[[#This Row],[IT]]</f>
        <v>154.24199999999999</v>
      </c>
      <c r="AD215" s="8">
        <f>Table3[[#This Row],[PrimaComercial Anual]]*Table3[[#This Row],[IVA]]</f>
        <v>668.38199999999995</v>
      </c>
      <c r="AE215" s="15">
        <f>Table3[[#This Row],[PrimaComercial Anual Asistencia]]</f>
        <v>5141.3999999999996</v>
      </c>
      <c r="AF215">
        <v>2394</v>
      </c>
      <c r="AG215">
        <v>5141.3999999999996</v>
      </c>
    </row>
    <row r="216" spans="1:33" x14ac:dyDescent="0.25">
      <c r="A216" t="s">
        <v>19</v>
      </c>
      <c r="B216">
        <v>70000</v>
      </c>
      <c r="C216">
        <v>33</v>
      </c>
      <c r="D216" s="2">
        <f>Table3[[#This Row],[PrimaTécnica]]-Table3[[#This Row],[PrimaTécnica]]*SUM(Table3[[#This Row],[Gastos Adm]:[Cobranza]])</f>
        <v>2219.1988032864001</v>
      </c>
      <c r="E216">
        <v>1077.817104</v>
      </c>
      <c r="F216">
        <v>0.15</v>
      </c>
      <c r="G216">
        <v>0.05</v>
      </c>
      <c r="H216">
        <v>0.01</v>
      </c>
      <c r="I216">
        <v>0.01</v>
      </c>
      <c r="J216" s="8">
        <f>Table3[[#This Row],[PrimaTécnica]]*Table3[[#This Row],[Gastos Adm]]</f>
        <v>426.76900063199997</v>
      </c>
      <c r="K216" s="8">
        <f>Table3[[#This Row],[PrimaTécnica]]*Table3[[#This Row],[Utilidad]]</f>
        <v>142.256333544</v>
      </c>
      <c r="L216" s="8">
        <f>Table3[[#This Row],[PrimaTécnica]]*Table3[[#This Row],[Marketing]]</f>
        <v>28.451266708799999</v>
      </c>
      <c r="M216" s="8">
        <f>Table3[[#This Row],[PrimaTécnica]]*Table3[[#This Row],[Cobranza]]</f>
        <v>28.451266708799999</v>
      </c>
      <c r="N21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2845.1266708799999</v>
      </c>
      <c r="O216">
        <v>21.84</v>
      </c>
      <c r="P216">
        <v>54.6</v>
      </c>
      <c r="Q216">
        <v>80.64</v>
      </c>
      <c r="R216">
        <v>44.377200000000002</v>
      </c>
      <c r="S216">
        <v>0.2</v>
      </c>
      <c r="T216">
        <v>0.02</v>
      </c>
      <c r="U216" s="8">
        <f>Table3[[#This Row],[PrimaNeta]]*Table3[[#This Row],[Comisión]]</f>
        <v>761.64596772000004</v>
      </c>
      <c r="V216" s="15">
        <f>Table3[[#This Row],[PrimaComercial Anual]]-Table3[[#This Row],[PrimaComercial Anual]]*SUM(Table3[[#This Row],[APS]:[IVA]])</f>
        <v>3808.2298385999998</v>
      </c>
      <c r="W216" s="2">
        <v>1.4800000000000001E-2</v>
      </c>
      <c r="X216" s="2">
        <v>8.4501000000000007E-2</v>
      </c>
      <c r="Y216">
        <v>0.03</v>
      </c>
      <c r="Z216">
        <v>0.13</v>
      </c>
      <c r="AA216" s="20">
        <f>Table3[[#This Row],[APS]]*Table3[[#This Row],[PrimaComercial Anual]]</f>
        <v>76.09272</v>
      </c>
      <c r="AB216" s="8">
        <f>Table3[[#This Row],[PrimaComercial Anual]]*Table3[[#This Row],[Recargo adicional]]</f>
        <v>434.45344140000003</v>
      </c>
      <c r="AC216" s="8">
        <f>Table3[[#This Row],[PrimaComercial Anual]]*Table3[[#This Row],[IT]]</f>
        <v>154.24199999999999</v>
      </c>
      <c r="AD216" s="8">
        <f>Table3[[#This Row],[PrimaComercial Anual]]*Table3[[#This Row],[IVA]]</f>
        <v>668.38199999999995</v>
      </c>
      <c r="AE216" s="15">
        <f>Table3[[#This Row],[PrimaComercial Anual Asistencia]]</f>
        <v>5141.3999999999996</v>
      </c>
      <c r="AF216">
        <v>2394</v>
      </c>
      <c r="AG216">
        <v>5141.3999999999996</v>
      </c>
    </row>
    <row r="217" spans="1:33" x14ac:dyDescent="0.25">
      <c r="A217" t="s">
        <v>19</v>
      </c>
      <c r="B217">
        <v>70000</v>
      </c>
      <c r="C217">
        <v>34</v>
      </c>
      <c r="D217" s="2">
        <f>Table3[[#This Row],[PrimaTécnica]]-Table3[[#This Row],[PrimaTécnica]]*SUM(Table3[[#This Row],[Gastos Adm]:[Cobranza]])</f>
        <v>2219.1988032864001</v>
      </c>
      <c r="E217">
        <v>1077.817104</v>
      </c>
      <c r="F217">
        <v>0.15</v>
      </c>
      <c r="G217">
        <v>0.05</v>
      </c>
      <c r="H217">
        <v>0.01</v>
      </c>
      <c r="I217">
        <v>0.01</v>
      </c>
      <c r="J217" s="8">
        <f>Table3[[#This Row],[PrimaTécnica]]*Table3[[#This Row],[Gastos Adm]]</f>
        <v>426.76900063199997</v>
      </c>
      <c r="K217" s="8">
        <f>Table3[[#This Row],[PrimaTécnica]]*Table3[[#This Row],[Utilidad]]</f>
        <v>142.256333544</v>
      </c>
      <c r="L217" s="8">
        <f>Table3[[#This Row],[PrimaTécnica]]*Table3[[#This Row],[Marketing]]</f>
        <v>28.451266708799999</v>
      </c>
      <c r="M217" s="8">
        <f>Table3[[#This Row],[PrimaTécnica]]*Table3[[#This Row],[Cobranza]]</f>
        <v>28.451266708799999</v>
      </c>
      <c r="N21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2845.1266708799999</v>
      </c>
      <c r="O217">
        <v>21.84</v>
      </c>
      <c r="P217">
        <v>54.6</v>
      </c>
      <c r="Q217">
        <v>80.64</v>
      </c>
      <c r="R217">
        <v>44.377200000000002</v>
      </c>
      <c r="S217">
        <v>0.2</v>
      </c>
      <c r="T217">
        <v>0.02</v>
      </c>
      <c r="U217" s="8">
        <f>Table3[[#This Row],[PrimaNeta]]*Table3[[#This Row],[Comisión]]</f>
        <v>761.64596772000004</v>
      </c>
      <c r="V217" s="15">
        <f>Table3[[#This Row],[PrimaComercial Anual]]-Table3[[#This Row],[PrimaComercial Anual]]*SUM(Table3[[#This Row],[APS]:[IVA]])</f>
        <v>3808.2298385999998</v>
      </c>
      <c r="W217" s="2">
        <v>1.4800000000000001E-2</v>
      </c>
      <c r="X217" s="2">
        <v>8.4501000000000007E-2</v>
      </c>
      <c r="Y217">
        <v>0.03</v>
      </c>
      <c r="Z217">
        <v>0.13</v>
      </c>
      <c r="AA217" s="20">
        <f>Table3[[#This Row],[APS]]*Table3[[#This Row],[PrimaComercial Anual]]</f>
        <v>76.09272</v>
      </c>
      <c r="AB217" s="8">
        <f>Table3[[#This Row],[PrimaComercial Anual]]*Table3[[#This Row],[Recargo adicional]]</f>
        <v>434.45344140000003</v>
      </c>
      <c r="AC217" s="8">
        <f>Table3[[#This Row],[PrimaComercial Anual]]*Table3[[#This Row],[IT]]</f>
        <v>154.24199999999999</v>
      </c>
      <c r="AD217" s="8">
        <f>Table3[[#This Row],[PrimaComercial Anual]]*Table3[[#This Row],[IVA]]</f>
        <v>668.38199999999995</v>
      </c>
      <c r="AE217" s="15">
        <f>Table3[[#This Row],[PrimaComercial Anual Asistencia]]</f>
        <v>5141.3999999999996</v>
      </c>
      <c r="AF217">
        <v>2394</v>
      </c>
      <c r="AG217">
        <v>5141.3999999999996</v>
      </c>
    </row>
    <row r="218" spans="1:33" x14ac:dyDescent="0.25">
      <c r="A218" t="s">
        <v>19</v>
      </c>
      <c r="B218">
        <v>70000</v>
      </c>
      <c r="C218">
        <v>35</v>
      </c>
      <c r="D218" s="2">
        <f>Table3[[#This Row],[PrimaTécnica]]-Table3[[#This Row],[PrimaTécnica]]*SUM(Table3[[#This Row],[Gastos Adm]:[Cobranza]])</f>
        <v>2219.1988032864001</v>
      </c>
      <c r="E218">
        <v>1077.817104</v>
      </c>
      <c r="F218">
        <v>0.15</v>
      </c>
      <c r="G218">
        <v>0.05</v>
      </c>
      <c r="H218">
        <v>0.01</v>
      </c>
      <c r="I218">
        <v>0.01</v>
      </c>
      <c r="J218" s="8">
        <f>Table3[[#This Row],[PrimaTécnica]]*Table3[[#This Row],[Gastos Adm]]</f>
        <v>426.76900063199997</v>
      </c>
      <c r="K218" s="8">
        <f>Table3[[#This Row],[PrimaTécnica]]*Table3[[#This Row],[Utilidad]]</f>
        <v>142.256333544</v>
      </c>
      <c r="L218" s="8">
        <f>Table3[[#This Row],[PrimaTécnica]]*Table3[[#This Row],[Marketing]]</f>
        <v>28.451266708799999</v>
      </c>
      <c r="M218" s="8">
        <f>Table3[[#This Row],[PrimaTécnica]]*Table3[[#This Row],[Cobranza]]</f>
        <v>28.451266708799999</v>
      </c>
      <c r="N21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2845.1266708799999</v>
      </c>
      <c r="O218">
        <v>21.84</v>
      </c>
      <c r="P218">
        <v>54.6</v>
      </c>
      <c r="Q218">
        <v>80.64</v>
      </c>
      <c r="R218">
        <v>44.377200000000002</v>
      </c>
      <c r="S218">
        <v>0.2</v>
      </c>
      <c r="T218">
        <v>0.02</v>
      </c>
      <c r="U218" s="8">
        <f>Table3[[#This Row],[PrimaNeta]]*Table3[[#This Row],[Comisión]]</f>
        <v>761.64596772000004</v>
      </c>
      <c r="V218" s="15">
        <f>Table3[[#This Row],[PrimaComercial Anual]]-Table3[[#This Row],[PrimaComercial Anual]]*SUM(Table3[[#This Row],[APS]:[IVA]])</f>
        <v>3808.2298385999998</v>
      </c>
      <c r="W218" s="2">
        <v>1.4800000000000001E-2</v>
      </c>
      <c r="X218" s="2">
        <v>8.4501000000000007E-2</v>
      </c>
      <c r="Y218">
        <v>0.03</v>
      </c>
      <c r="Z218">
        <v>0.13</v>
      </c>
      <c r="AA218" s="20">
        <f>Table3[[#This Row],[APS]]*Table3[[#This Row],[PrimaComercial Anual]]</f>
        <v>76.09272</v>
      </c>
      <c r="AB218" s="8">
        <f>Table3[[#This Row],[PrimaComercial Anual]]*Table3[[#This Row],[Recargo adicional]]</f>
        <v>434.45344140000003</v>
      </c>
      <c r="AC218" s="8">
        <f>Table3[[#This Row],[PrimaComercial Anual]]*Table3[[#This Row],[IT]]</f>
        <v>154.24199999999999</v>
      </c>
      <c r="AD218" s="8">
        <f>Table3[[#This Row],[PrimaComercial Anual]]*Table3[[#This Row],[IVA]]</f>
        <v>668.38199999999995</v>
      </c>
      <c r="AE218" s="15">
        <f>Table3[[#This Row],[PrimaComercial Anual Asistencia]]</f>
        <v>5141.3999999999996</v>
      </c>
      <c r="AF218">
        <v>2394</v>
      </c>
      <c r="AG218">
        <v>5141.3999999999996</v>
      </c>
    </row>
    <row r="219" spans="1:33" x14ac:dyDescent="0.25">
      <c r="A219" t="s">
        <v>19</v>
      </c>
      <c r="B219">
        <v>70000</v>
      </c>
      <c r="C219">
        <v>36</v>
      </c>
      <c r="D219" s="2">
        <f>Table3[[#This Row],[PrimaTécnica]]-Table3[[#This Row],[PrimaTécnica]]*SUM(Table3[[#This Row],[Gastos Adm]:[Cobranza]])</f>
        <v>2219.1988032864001</v>
      </c>
      <c r="E219">
        <v>1077.817104</v>
      </c>
      <c r="F219">
        <v>0.15</v>
      </c>
      <c r="G219">
        <v>0.05</v>
      </c>
      <c r="H219">
        <v>0.01</v>
      </c>
      <c r="I219">
        <v>0.01</v>
      </c>
      <c r="J219" s="8">
        <f>Table3[[#This Row],[PrimaTécnica]]*Table3[[#This Row],[Gastos Adm]]</f>
        <v>426.76900063199997</v>
      </c>
      <c r="K219" s="8">
        <f>Table3[[#This Row],[PrimaTécnica]]*Table3[[#This Row],[Utilidad]]</f>
        <v>142.256333544</v>
      </c>
      <c r="L219" s="8">
        <f>Table3[[#This Row],[PrimaTécnica]]*Table3[[#This Row],[Marketing]]</f>
        <v>28.451266708799999</v>
      </c>
      <c r="M219" s="8">
        <f>Table3[[#This Row],[PrimaTécnica]]*Table3[[#This Row],[Cobranza]]</f>
        <v>28.451266708799999</v>
      </c>
      <c r="N21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2845.1266708799999</v>
      </c>
      <c r="O219">
        <v>21.84</v>
      </c>
      <c r="P219">
        <v>54.6</v>
      </c>
      <c r="Q219">
        <v>80.64</v>
      </c>
      <c r="R219">
        <v>44.377200000000002</v>
      </c>
      <c r="S219">
        <v>0.2</v>
      </c>
      <c r="T219">
        <v>0.02</v>
      </c>
      <c r="U219" s="8">
        <f>Table3[[#This Row],[PrimaNeta]]*Table3[[#This Row],[Comisión]]</f>
        <v>761.64596772000004</v>
      </c>
      <c r="V219" s="15">
        <f>Table3[[#This Row],[PrimaComercial Anual]]-Table3[[#This Row],[PrimaComercial Anual]]*SUM(Table3[[#This Row],[APS]:[IVA]])</f>
        <v>3808.2298385999998</v>
      </c>
      <c r="W219" s="2">
        <v>1.4800000000000001E-2</v>
      </c>
      <c r="X219" s="2">
        <v>8.4501000000000007E-2</v>
      </c>
      <c r="Y219">
        <v>0.03</v>
      </c>
      <c r="Z219">
        <v>0.13</v>
      </c>
      <c r="AA219" s="20">
        <f>Table3[[#This Row],[APS]]*Table3[[#This Row],[PrimaComercial Anual]]</f>
        <v>76.09272</v>
      </c>
      <c r="AB219" s="8">
        <f>Table3[[#This Row],[PrimaComercial Anual]]*Table3[[#This Row],[Recargo adicional]]</f>
        <v>434.45344140000003</v>
      </c>
      <c r="AC219" s="8">
        <f>Table3[[#This Row],[PrimaComercial Anual]]*Table3[[#This Row],[IT]]</f>
        <v>154.24199999999999</v>
      </c>
      <c r="AD219" s="8">
        <f>Table3[[#This Row],[PrimaComercial Anual]]*Table3[[#This Row],[IVA]]</f>
        <v>668.38199999999995</v>
      </c>
      <c r="AE219" s="15">
        <f>Table3[[#This Row],[PrimaComercial Anual Asistencia]]</f>
        <v>5141.3999999999996</v>
      </c>
      <c r="AF219">
        <v>2394</v>
      </c>
      <c r="AG219">
        <v>5141.3999999999996</v>
      </c>
    </row>
    <row r="220" spans="1:33" x14ac:dyDescent="0.25">
      <c r="A220" t="s">
        <v>19</v>
      </c>
      <c r="B220">
        <v>70000</v>
      </c>
      <c r="C220">
        <v>37</v>
      </c>
      <c r="D220" s="2">
        <f>Table3[[#This Row],[PrimaTécnica]]-Table3[[#This Row],[PrimaTécnica]]*SUM(Table3[[#This Row],[Gastos Adm]:[Cobranza]])</f>
        <v>2219.1988032864001</v>
      </c>
      <c r="E220">
        <v>1077.817104</v>
      </c>
      <c r="F220">
        <v>0.15</v>
      </c>
      <c r="G220">
        <v>0.05</v>
      </c>
      <c r="H220">
        <v>0.01</v>
      </c>
      <c r="I220">
        <v>0.01</v>
      </c>
      <c r="J220" s="8">
        <f>Table3[[#This Row],[PrimaTécnica]]*Table3[[#This Row],[Gastos Adm]]</f>
        <v>426.76900063199997</v>
      </c>
      <c r="K220" s="8">
        <f>Table3[[#This Row],[PrimaTécnica]]*Table3[[#This Row],[Utilidad]]</f>
        <v>142.256333544</v>
      </c>
      <c r="L220" s="8">
        <f>Table3[[#This Row],[PrimaTécnica]]*Table3[[#This Row],[Marketing]]</f>
        <v>28.451266708799999</v>
      </c>
      <c r="M220" s="8">
        <f>Table3[[#This Row],[PrimaTécnica]]*Table3[[#This Row],[Cobranza]]</f>
        <v>28.451266708799999</v>
      </c>
      <c r="N22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2845.1266708799999</v>
      </c>
      <c r="O220">
        <v>21.84</v>
      </c>
      <c r="P220">
        <v>54.6</v>
      </c>
      <c r="Q220">
        <v>80.64</v>
      </c>
      <c r="R220">
        <v>44.377200000000002</v>
      </c>
      <c r="S220">
        <v>0.2</v>
      </c>
      <c r="T220">
        <v>0.02</v>
      </c>
      <c r="U220" s="8">
        <f>Table3[[#This Row],[PrimaNeta]]*Table3[[#This Row],[Comisión]]</f>
        <v>761.64596772000004</v>
      </c>
      <c r="V220" s="15">
        <f>Table3[[#This Row],[PrimaComercial Anual]]-Table3[[#This Row],[PrimaComercial Anual]]*SUM(Table3[[#This Row],[APS]:[IVA]])</f>
        <v>3808.2298385999998</v>
      </c>
      <c r="W220" s="2">
        <v>1.4800000000000001E-2</v>
      </c>
      <c r="X220" s="2">
        <v>8.4501000000000007E-2</v>
      </c>
      <c r="Y220">
        <v>0.03</v>
      </c>
      <c r="Z220">
        <v>0.13</v>
      </c>
      <c r="AA220" s="20">
        <f>Table3[[#This Row],[APS]]*Table3[[#This Row],[PrimaComercial Anual]]</f>
        <v>76.09272</v>
      </c>
      <c r="AB220" s="8">
        <f>Table3[[#This Row],[PrimaComercial Anual]]*Table3[[#This Row],[Recargo adicional]]</f>
        <v>434.45344140000003</v>
      </c>
      <c r="AC220" s="8">
        <f>Table3[[#This Row],[PrimaComercial Anual]]*Table3[[#This Row],[IT]]</f>
        <v>154.24199999999999</v>
      </c>
      <c r="AD220" s="8">
        <f>Table3[[#This Row],[PrimaComercial Anual]]*Table3[[#This Row],[IVA]]</f>
        <v>668.38199999999995</v>
      </c>
      <c r="AE220" s="15">
        <f>Table3[[#This Row],[PrimaComercial Anual Asistencia]]</f>
        <v>5141.3999999999996</v>
      </c>
      <c r="AF220">
        <v>2394</v>
      </c>
      <c r="AG220">
        <v>5141.3999999999996</v>
      </c>
    </row>
    <row r="221" spans="1:33" x14ac:dyDescent="0.25">
      <c r="A221" t="s">
        <v>19</v>
      </c>
      <c r="B221">
        <v>70000</v>
      </c>
      <c r="C221">
        <v>38</v>
      </c>
      <c r="D221" s="2">
        <f>Table3[[#This Row],[PrimaTécnica]]-Table3[[#This Row],[PrimaTécnica]]*SUM(Table3[[#This Row],[Gastos Adm]:[Cobranza]])</f>
        <v>2219.1988032864001</v>
      </c>
      <c r="E221">
        <v>1077.817104</v>
      </c>
      <c r="F221">
        <v>0.15</v>
      </c>
      <c r="G221">
        <v>0.05</v>
      </c>
      <c r="H221">
        <v>0.01</v>
      </c>
      <c r="I221">
        <v>0.01</v>
      </c>
      <c r="J221" s="8">
        <f>Table3[[#This Row],[PrimaTécnica]]*Table3[[#This Row],[Gastos Adm]]</f>
        <v>426.76900063199997</v>
      </c>
      <c r="K221" s="8">
        <f>Table3[[#This Row],[PrimaTécnica]]*Table3[[#This Row],[Utilidad]]</f>
        <v>142.256333544</v>
      </c>
      <c r="L221" s="8">
        <f>Table3[[#This Row],[PrimaTécnica]]*Table3[[#This Row],[Marketing]]</f>
        <v>28.451266708799999</v>
      </c>
      <c r="M221" s="8">
        <f>Table3[[#This Row],[PrimaTécnica]]*Table3[[#This Row],[Cobranza]]</f>
        <v>28.451266708799999</v>
      </c>
      <c r="N22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2845.1266708799999</v>
      </c>
      <c r="O221">
        <v>21.84</v>
      </c>
      <c r="P221">
        <v>54.6</v>
      </c>
      <c r="Q221">
        <v>80.64</v>
      </c>
      <c r="R221">
        <v>44.377200000000002</v>
      </c>
      <c r="S221">
        <v>0.2</v>
      </c>
      <c r="T221">
        <v>0.02</v>
      </c>
      <c r="U221" s="8">
        <f>Table3[[#This Row],[PrimaNeta]]*Table3[[#This Row],[Comisión]]</f>
        <v>761.64596772000004</v>
      </c>
      <c r="V221" s="15">
        <f>Table3[[#This Row],[PrimaComercial Anual]]-Table3[[#This Row],[PrimaComercial Anual]]*SUM(Table3[[#This Row],[APS]:[IVA]])</f>
        <v>3808.2298385999998</v>
      </c>
      <c r="W221" s="2">
        <v>1.4800000000000001E-2</v>
      </c>
      <c r="X221" s="2">
        <v>8.4501000000000007E-2</v>
      </c>
      <c r="Y221">
        <v>0.03</v>
      </c>
      <c r="Z221">
        <v>0.13</v>
      </c>
      <c r="AA221" s="20">
        <f>Table3[[#This Row],[APS]]*Table3[[#This Row],[PrimaComercial Anual]]</f>
        <v>76.09272</v>
      </c>
      <c r="AB221" s="8">
        <f>Table3[[#This Row],[PrimaComercial Anual]]*Table3[[#This Row],[Recargo adicional]]</f>
        <v>434.45344140000003</v>
      </c>
      <c r="AC221" s="8">
        <f>Table3[[#This Row],[PrimaComercial Anual]]*Table3[[#This Row],[IT]]</f>
        <v>154.24199999999999</v>
      </c>
      <c r="AD221" s="8">
        <f>Table3[[#This Row],[PrimaComercial Anual]]*Table3[[#This Row],[IVA]]</f>
        <v>668.38199999999995</v>
      </c>
      <c r="AE221" s="15">
        <f>Table3[[#This Row],[PrimaComercial Anual Asistencia]]</f>
        <v>5141.3999999999996</v>
      </c>
      <c r="AF221">
        <v>2394</v>
      </c>
      <c r="AG221">
        <v>5141.3999999999996</v>
      </c>
    </row>
    <row r="222" spans="1:33" x14ac:dyDescent="0.25">
      <c r="A222" t="s">
        <v>19</v>
      </c>
      <c r="B222">
        <v>70000</v>
      </c>
      <c r="C222">
        <v>39</v>
      </c>
      <c r="D222" s="2">
        <f>Table3[[#This Row],[PrimaTécnica]]-Table3[[#This Row],[PrimaTécnica]]*SUM(Table3[[#This Row],[Gastos Adm]:[Cobranza]])</f>
        <v>2219.1988032864001</v>
      </c>
      <c r="E222">
        <v>1077.817104</v>
      </c>
      <c r="F222">
        <v>0.15</v>
      </c>
      <c r="G222">
        <v>0.05</v>
      </c>
      <c r="H222">
        <v>0.01</v>
      </c>
      <c r="I222">
        <v>0.01</v>
      </c>
      <c r="J222" s="8">
        <f>Table3[[#This Row],[PrimaTécnica]]*Table3[[#This Row],[Gastos Adm]]</f>
        <v>426.76900063199997</v>
      </c>
      <c r="K222" s="8">
        <f>Table3[[#This Row],[PrimaTécnica]]*Table3[[#This Row],[Utilidad]]</f>
        <v>142.256333544</v>
      </c>
      <c r="L222" s="8">
        <f>Table3[[#This Row],[PrimaTécnica]]*Table3[[#This Row],[Marketing]]</f>
        <v>28.451266708799999</v>
      </c>
      <c r="M222" s="8">
        <f>Table3[[#This Row],[PrimaTécnica]]*Table3[[#This Row],[Cobranza]]</f>
        <v>28.451266708799999</v>
      </c>
      <c r="N22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2845.1266708799999</v>
      </c>
      <c r="O222">
        <v>21.84</v>
      </c>
      <c r="P222">
        <v>54.6</v>
      </c>
      <c r="Q222">
        <v>80.64</v>
      </c>
      <c r="R222">
        <v>44.377200000000002</v>
      </c>
      <c r="S222">
        <v>0.2</v>
      </c>
      <c r="T222">
        <v>0.02</v>
      </c>
      <c r="U222" s="8">
        <f>Table3[[#This Row],[PrimaNeta]]*Table3[[#This Row],[Comisión]]</f>
        <v>761.64596772000004</v>
      </c>
      <c r="V222" s="15">
        <f>Table3[[#This Row],[PrimaComercial Anual]]-Table3[[#This Row],[PrimaComercial Anual]]*SUM(Table3[[#This Row],[APS]:[IVA]])</f>
        <v>3808.2298385999998</v>
      </c>
      <c r="W222" s="2">
        <v>1.4800000000000001E-2</v>
      </c>
      <c r="X222" s="2">
        <v>8.4501000000000007E-2</v>
      </c>
      <c r="Y222">
        <v>0.03</v>
      </c>
      <c r="Z222">
        <v>0.13</v>
      </c>
      <c r="AA222" s="20">
        <f>Table3[[#This Row],[APS]]*Table3[[#This Row],[PrimaComercial Anual]]</f>
        <v>76.09272</v>
      </c>
      <c r="AB222" s="8">
        <f>Table3[[#This Row],[PrimaComercial Anual]]*Table3[[#This Row],[Recargo adicional]]</f>
        <v>434.45344140000003</v>
      </c>
      <c r="AC222" s="8">
        <f>Table3[[#This Row],[PrimaComercial Anual]]*Table3[[#This Row],[IT]]</f>
        <v>154.24199999999999</v>
      </c>
      <c r="AD222" s="8">
        <f>Table3[[#This Row],[PrimaComercial Anual]]*Table3[[#This Row],[IVA]]</f>
        <v>668.38199999999995</v>
      </c>
      <c r="AE222" s="15">
        <f>Table3[[#This Row],[PrimaComercial Anual Asistencia]]</f>
        <v>5141.3999999999996</v>
      </c>
      <c r="AF222">
        <v>2394</v>
      </c>
      <c r="AG222">
        <v>5141.3999999999996</v>
      </c>
    </row>
    <row r="223" spans="1:33" x14ac:dyDescent="0.25">
      <c r="A223" t="s">
        <v>19</v>
      </c>
      <c r="B223">
        <v>70000</v>
      </c>
      <c r="C223">
        <v>40</v>
      </c>
      <c r="D223" s="2">
        <f>Table3[[#This Row],[PrimaTécnica]]-Table3[[#This Row],[PrimaTécnica]]*SUM(Table3[[#This Row],[Gastos Adm]:[Cobranza]])</f>
        <v>3251.9299389407988</v>
      </c>
      <c r="E223">
        <v>287.41789439999997</v>
      </c>
      <c r="F223">
        <v>0.15</v>
      </c>
      <c r="G223">
        <v>0.05</v>
      </c>
      <c r="H223">
        <v>0.01</v>
      </c>
      <c r="I223">
        <v>0.01</v>
      </c>
      <c r="J223" s="8">
        <f>Table3[[#This Row],[PrimaTécnica]]*Table3[[#This Row],[Gastos Adm]]</f>
        <v>625.37114210399977</v>
      </c>
      <c r="K223" s="8">
        <f>Table3[[#This Row],[PrimaTécnica]]*Table3[[#This Row],[Utilidad]]</f>
        <v>208.45704736799996</v>
      </c>
      <c r="L223" s="8">
        <f>Table3[[#This Row],[PrimaTécnica]]*Table3[[#This Row],[Marketing]]</f>
        <v>41.69140947359999</v>
      </c>
      <c r="M223" s="8">
        <f>Table3[[#This Row],[PrimaTécnica]]*Table3[[#This Row],[Cobranza]]</f>
        <v>41.69140947359999</v>
      </c>
      <c r="N22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4169.1409473599988</v>
      </c>
      <c r="O223">
        <v>21.84</v>
      </c>
      <c r="P223">
        <v>54.6</v>
      </c>
      <c r="Q223">
        <v>80.64</v>
      </c>
      <c r="R223">
        <v>44.377200000000002</v>
      </c>
      <c r="S223">
        <v>0.2</v>
      </c>
      <c r="T223">
        <v>0.02</v>
      </c>
      <c r="U223" s="8">
        <f>Table3[[#This Row],[PrimaNeta]]*Table3[[#This Row],[Comisión]]</f>
        <v>1092.6495368399999</v>
      </c>
      <c r="V223" s="15">
        <f>Table3[[#This Row],[PrimaComercial Anual]]-Table3[[#This Row],[PrimaComercial Anual]]*SUM(Table3[[#This Row],[APS]:[IVA]])</f>
        <v>5463.2476841999996</v>
      </c>
      <c r="W223" s="2">
        <v>1.4800000000000001E-2</v>
      </c>
      <c r="X223" s="2">
        <v>8.4501000000000007E-2</v>
      </c>
      <c r="Y223">
        <v>0.03</v>
      </c>
      <c r="Z223">
        <v>0.13</v>
      </c>
      <c r="AA223" s="20">
        <f>Table3[[#This Row],[APS]]*Table3[[#This Row],[PrimaComercial Anual]]</f>
        <v>109.16184000000001</v>
      </c>
      <c r="AB223" s="8">
        <f>Table3[[#This Row],[PrimaComercial Anual]]*Table3[[#This Row],[Recargo adicional]]</f>
        <v>623.26247580000006</v>
      </c>
      <c r="AC223" s="8">
        <f>Table3[[#This Row],[PrimaComercial Anual]]*Table3[[#This Row],[IT]]</f>
        <v>221.274</v>
      </c>
      <c r="AD223" s="8">
        <f>Table3[[#This Row],[PrimaComercial Anual]]*Table3[[#This Row],[IVA]]</f>
        <v>958.85400000000004</v>
      </c>
      <c r="AE223" s="15">
        <f>Table3[[#This Row],[PrimaComercial Anual Asistencia]]</f>
        <v>7375.8</v>
      </c>
      <c r="AF223">
        <v>638.4</v>
      </c>
      <c r="AG223">
        <v>7375.8</v>
      </c>
    </row>
    <row r="224" spans="1:33" x14ac:dyDescent="0.25">
      <c r="A224" t="s">
        <v>19</v>
      </c>
      <c r="B224">
        <v>70000</v>
      </c>
      <c r="C224">
        <v>41</v>
      </c>
      <c r="D224" s="2">
        <f>Table3[[#This Row],[PrimaTécnica]]-Table3[[#This Row],[PrimaTécnica]]*SUM(Table3[[#This Row],[Gastos Adm]:[Cobranza]])</f>
        <v>3251.9299389407988</v>
      </c>
      <c r="E224">
        <v>287.41789439999997</v>
      </c>
      <c r="F224">
        <v>0.15</v>
      </c>
      <c r="G224">
        <v>0.05</v>
      </c>
      <c r="H224">
        <v>0.01</v>
      </c>
      <c r="I224">
        <v>0.01</v>
      </c>
      <c r="J224" s="8">
        <f>Table3[[#This Row],[PrimaTécnica]]*Table3[[#This Row],[Gastos Adm]]</f>
        <v>625.37114210399977</v>
      </c>
      <c r="K224" s="8">
        <f>Table3[[#This Row],[PrimaTécnica]]*Table3[[#This Row],[Utilidad]]</f>
        <v>208.45704736799996</v>
      </c>
      <c r="L224" s="8">
        <f>Table3[[#This Row],[PrimaTécnica]]*Table3[[#This Row],[Marketing]]</f>
        <v>41.69140947359999</v>
      </c>
      <c r="M224" s="8">
        <f>Table3[[#This Row],[PrimaTécnica]]*Table3[[#This Row],[Cobranza]]</f>
        <v>41.69140947359999</v>
      </c>
      <c r="N22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4169.1409473599988</v>
      </c>
      <c r="O224">
        <v>21.84</v>
      </c>
      <c r="P224">
        <v>54.6</v>
      </c>
      <c r="Q224">
        <v>80.64</v>
      </c>
      <c r="R224">
        <v>44.377200000000002</v>
      </c>
      <c r="S224">
        <v>0.2</v>
      </c>
      <c r="T224">
        <v>0.02</v>
      </c>
      <c r="U224" s="8">
        <f>Table3[[#This Row],[PrimaNeta]]*Table3[[#This Row],[Comisión]]</f>
        <v>1092.6495368399999</v>
      </c>
      <c r="V224" s="15">
        <f>Table3[[#This Row],[PrimaComercial Anual]]-Table3[[#This Row],[PrimaComercial Anual]]*SUM(Table3[[#This Row],[APS]:[IVA]])</f>
        <v>5463.2476841999996</v>
      </c>
      <c r="W224" s="2">
        <v>1.4800000000000001E-2</v>
      </c>
      <c r="X224" s="2">
        <v>8.4501000000000007E-2</v>
      </c>
      <c r="Y224">
        <v>0.03</v>
      </c>
      <c r="Z224">
        <v>0.13</v>
      </c>
      <c r="AA224" s="20">
        <f>Table3[[#This Row],[APS]]*Table3[[#This Row],[PrimaComercial Anual]]</f>
        <v>109.16184000000001</v>
      </c>
      <c r="AB224" s="8">
        <f>Table3[[#This Row],[PrimaComercial Anual]]*Table3[[#This Row],[Recargo adicional]]</f>
        <v>623.26247580000006</v>
      </c>
      <c r="AC224" s="8">
        <f>Table3[[#This Row],[PrimaComercial Anual]]*Table3[[#This Row],[IT]]</f>
        <v>221.274</v>
      </c>
      <c r="AD224" s="8">
        <f>Table3[[#This Row],[PrimaComercial Anual]]*Table3[[#This Row],[IVA]]</f>
        <v>958.85400000000004</v>
      </c>
      <c r="AE224" s="15">
        <f>Table3[[#This Row],[PrimaComercial Anual Asistencia]]</f>
        <v>7375.8</v>
      </c>
      <c r="AF224">
        <v>638.4</v>
      </c>
      <c r="AG224">
        <v>7375.8</v>
      </c>
    </row>
    <row r="225" spans="1:33" x14ac:dyDescent="0.25">
      <c r="A225" t="s">
        <v>19</v>
      </c>
      <c r="B225">
        <v>70000</v>
      </c>
      <c r="C225">
        <v>42</v>
      </c>
      <c r="D225" s="2">
        <f>Table3[[#This Row],[PrimaTécnica]]-Table3[[#This Row],[PrimaTécnica]]*SUM(Table3[[#This Row],[Gastos Adm]:[Cobranza]])</f>
        <v>3251.9299389407988</v>
      </c>
      <c r="E225">
        <v>287.41789439999997</v>
      </c>
      <c r="F225">
        <v>0.15</v>
      </c>
      <c r="G225">
        <v>0.05</v>
      </c>
      <c r="H225">
        <v>0.01</v>
      </c>
      <c r="I225">
        <v>0.01</v>
      </c>
      <c r="J225" s="8">
        <f>Table3[[#This Row],[PrimaTécnica]]*Table3[[#This Row],[Gastos Adm]]</f>
        <v>625.37114210399977</v>
      </c>
      <c r="K225" s="8">
        <f>Table3[[#This Row],[PrimaTécnica]]*Table3[[#This Row],[Utilidad]]</f>
        <v>208.45704736799996</v>
      </c>
      <c r="L225" s="8">
        <f>Table3[[#This Row],[PrimaTécnica]]*Table3[[#This Row],[Marketing]]</f>
        <v>41.69140947359999</v>
      </c>
      <c r="M225" s="8">
        <f>Table3[[#This Row],[PrimaTécnica]]*Table3[[#This Row],[Cobranza]]</f>
        <v>41.69140947359999</v>
      </c>
      <c r="N22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4169.1409473599988</v>
      </c>
      <c r="O225">
        <v>21.84</v>
      </c>
      <c r="P225">
        <v>54.6</v>
      </c>
      <c r="Q225">
        <v>80.64</v>
      </c>
      <c r="R225">
        <v>44.377200000000002</v>
      </c>
      <c r="S225">
        <v>0.2</v>
      </c>
      <c r="T225">
        <v>0.02</v>
      </c>
      <c r="U225" s="8">
        <f>Table3[[#This Row],[PrimaNeta]]*Table3[[#This Row],[Comisión]]</f>
        <v>1092.6495368399999</v>
      </c>
      <c r="V225" s="15">
        <f>Table3[[#This Row],[PrimaComercial Anual]]-Table3[[#This Row],[PrimaComercial Anual]]*SUM(Table3[[#This Row],[APS]:[IVA]])</f>
        <v>5463.2476841999996</v>
      </c>
      <c r="W225" s="2">
        <v>1.4800000000000001E-2</v>
      </c>
      <c r="X225" s="2">
        <v>8.4501000000000007E-2</v>
      </c>
      <c r="Y225">
        <v>0.03</v>
      </c>
      <c r="Z225">
        <v>0.13</v>
      </c>
      <c r="AA225" s="20">
        <f>Table3[[#This Row],[APS]]*Table3[[#This Row],[PrimaComercial Anual]]</f>
        <v>109.16184000000001</v>
      </c>
      <c r="AB225" s="8">
        <f>Table3[[#This Row],[PrimaComercial Anual]]*Table3[[#This Row],[Recargo adicional]]</f>
        <v>623.26247580000006</v>
      </c>
      <c r="AC225" s="8">
        <f>Table3[[#This Row],[PrimaComercial Anual]]*Table3[[#This Row],[IT]]</f>
        <v>221.274</v>
      </c>
      <c r="AD225" s="8">
        <f>Table3[[#This Row],[PrimaComercial Anual]]*Table3[[#This Row],[IVA]]</f>
        <v>958.85400000000004</v>
      </c>
      <c r="AE225" s="15">
        <f>Table3[[#This Row],[PrimaComercial Anual Asistencia]]</f>
        <v>7375.8</v>
      </c>
      <c r="AF225">
        <v>638.4</v>
      </c>
      <c r="AG225">
        <v>7375.8</v>
      </c>
    </row>
    <row r="226" spans="1:33" x14ac:dyDescent="0.25">
      <c r="A226" t="s">
        <v>19</v>
      </c>
      <c r="B226">
        <v>70000</v>
      </c>
      <c r="C226">
        <v>43</v>
      </c>
      <c r="D226" s="2">
        <f>Table3[[#This Row],[PrimaTécnica]]-Table3[[#This Row],[PrimaTécnica]]*SUM(Table3[[#This Row],[Gastos Adm]:[Cobranza]])</f>
        <v>3251.9299389407988</v>
      </c>
      <c r="E226">
        <v>287.41789439999997</v>
      </c>
      <c r="F226">
        <v>0.15</v>
      </c>
      <c r="G226">
        <v>0.05</v>
      </c>
      <c r="H226">
        <v>0.01</v>
      </c>
      <c r="I226">
        <v>0.01</v>
      </c>
      <c r="J226" s="8">
        <f>Table3[[#This Row],[PrimaTécnica]]*Table3[[#This Row],[Gastos Adm]]</f>
        <v>625.37114210399977</v>
      </c>
      <c r="K226" s="8">
        <f>Table3[[#This Row],[PrimaTécnica]]*Table3[[#This Row],[Utilidad]]</f>
        <v>208.45704736799996</v>
      </c>
      <c r="L226" s="8">
        <f>Table3[[#This Row],[PrimaTécnica]]*Table3[[#This Row],[Marketing]]</f>
        <v>41.69140947359999</v>
      </c>
      <c r="M226" s="8">
        <f>Table3[[#This Row],[PrimaTécnica]]*Table3[[#This Row],[Cobranza]]</f>
        <v>41.69140947359999</v>
      </c>
      <c r="N22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4169.1409473599988</v>
      </c>
      <c r="O226">
        <v>21.84</v>
      </c>
      <c r="P226">
        <v>54.6</v>
      </c>
      <c r="Q226">
        <v>80.64</v>
      </c>
      <c r="R226">
        <v>44.377200000000002</v>
      </c>
      <c r="S226">
        <v>0.2</v>
      </c>
      <c r="T226">
        <v>0.02</v>
      </c>
      <c r="U226" s="8">
        <f>Table3[[#This Row],[PrimaNeta]]*Table3[[#This Row],[Comisión]]</f>
        <v>1092.6495368399999</v>
      </c>
      <c r="V226" s="15">
        <f>Table3[[#This Row],[PrimaComercial Anual]]-Table3[[#This Row],[PrimaComercial Anual]]*SUM(Table3[[#This Row],[APS]:[IVA]])</f>
        <v>5463.2476841999996</v>
      </c>
      <c r="W226" s="2">
        <v>1.4800000000000001E-2</v>
      </c>
      <c r="X226" s="2">
        <v>8.4501000000000007E-2</v>
      </c>
      <c r="Y226">
        <v>0.03</v>
      </c>
      <c r="Z226">
        <v>0.13</v>
      </c>
      <c r="AA226" s="20">
        <f>Table3[[#This Row],[APS]]*Table3[[#This Row],[PrimaComercial Anual]]</f>
        <v>109.16184000000001</v>
      </c>
      <c r="AB226" s="8">
        <f>Table3[[#This Row],[PrimaComercial Anual]]*Table3[[#This Row],[Recargo adicional]]</f>
        <v>623.26247580000006</v>
      </c>
      <c r="AC226" s="8">
        <f>Table3[[#This Row],[PrimaComercial Anual]]*Table3[[#This Row],[IT]]</f>
        <v>221.274</v>
      </c>
      <c r="AD226" s="8">
        <f>Table3[[#This Row],[PrimaComercial Anual]]*Table3[[#This Row],[IVA]]</f>
        <v>958.85400000000004</v>
      </c>
      <c r="AE226" s="15">
        <f>Table3[[#This Row],[PrimaComercial Anual Asistencia]]</f>
        <v>7375.8</v>
      </c>
      <c r="AF226">
        <v>638.4</v>
      </c>
      <c r="AG226">
        <v>7375.8</v>
      </c>
    </row>
    <row r="227" spans="1:33" s="17" customFormat="1" x14ac:dyDescent="0.25">
      <c r="A227" s="17" t="s">
        <v>19</v>
      </c>
      <c r="B227" s="17">
        <v>70000</v>
      </c>
      <c r="C227" s="17">
        <v>44</v>
      </c>
      <c r="D227" s="17">
        <f>Table3[[#This Row],[PrimaTécnica]]-Table3[[#This Row],[PrimaTécnica]]*SUM(Table3[[#This Row],[Gastos Adm]:[Cobranza]])</f>
        <v>3251.9299389407988</v>
      </c>
      <c r="E227" s="17">
        <v>287.41789439999997</v>
      </c>
      <c r="F227" s="17">
        <v>0.15</v>
      </c>
      <c r="G227" s="17">
        <v>0.05</v>
      </c>
      <c r="H227" s="17">
        <v>0.01</v>
      </c>
      <c r="I227" s="17">
        <v>0.01</v>
      </c>
      <c r="J227" s="18">
        <f>Table3[[#This Row],[PrimaTécnica]]*Table3[[#This Row],[Gastos Adm]]</f>
        <v>625.37114210399977</v>
      </c>
      <c r="K227" s="18">
        <f>Table3[[#This Row],[PrimaTécnica]]*Table3[[#This Row],[Utilidad]]</f>
        <v>208.45704736799996</v>
      </c>
      <c r="L227" s="18">
        <f>Table3[[#This Row],[PrimaTécnica]]*Table3[[#This Row],[Marketing]]</f>
        <v>41.69140947359999</v>
      </c>
      <c r="M227" s="18">
        <f>Table3[[#This Row],[PrimaTécnica]]*Table3[[#This Row],[Cobranza]]</f>
        <v>41.69140947359999</v>
      </c>
      <c r="N227" s="17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4169.1409473599988</v>
      </c>
      <c r="O227" s="17">
        <v>21.84</v>
      </c>
      <c r="P227" s="17">
        <v>54.6</v>
      </c>
      <c r="Q227" s="17">
        <v>80.64</v>
      </c>
      <c r="R227" s="17">
        <v>44.377200000000002</v>
      </c>
      <c r="S227" s="17">
        <v>0.2</v>
      </c>
      <c r="T227" s="17">
        <v>0.02</v>
      </c>
      <c r="U227" s="18">
        <f>Table3[[#This Row],[PrimaNeta]]*Table3[[#This Row],[Comisión]]</f>
        <v>1092.6495368399999</v>
      </c>
      <c r="V227" s="19">
        <f>Table3[[#This Row],[PrimaComercial Anual]]-Table3[[#This Row],[PrimaComercial Anual]]*SUM(Table3[[#This Row],[APS]:[IVA]])</f>
        <v>5463.2476841999996</v>
      </c>
      <c r="W227" s="2">
        <v>1.4800000000000001E-2</v>
      </c>
      <c r="X227" s="2">
        <v>8.4501000000000007E-2</v>
      </c>
      <c r="Y227" s="17">
        <v>0.03</v>
      </c>
      <c r="Z227" s="17">
        <v>0.13</v>
      </c>
      <c r="AA227" s="19">
        <f>Table3[[#This Row],[APS]]*Table3[[#This Row],[PrimaComercial Anual]]</f>
        <v>109.16184000000001</v>
      </c>
      <c r="AB227" s="18">
        <f>Table3[[#This Row],[PrimaComercial Anual]]*Table3[[#This Row],[Recargo adicional]]</f>
        <v>623.26247580000006</v>
      </c>
      <c r="AC227" s="18">
        <f>Table3[[#This Row],[PrimaComercial Anual]]*Table3[[#This Row],[IT]]</f>
        <v>221.274</v>
      </c>
      <c r="AD227" s="18">
        <f>Table3[[#This Row],[PrimaComercial Anual]]*Table3[[#This Row],[IVA]]</f>
        <v>958.85400000000004</v>
      </c>
      <c r="AE227" s="19">
        <f>Table3[[#This Row],[PrimaComercial Anual Asistencia]]</f>
        <v>7375.8</v>
      </c>
      <c r="AF227" s="17">
        <v>638.4</v>
      </c>
      <c r="AG227" s="17">
        <v>7375.8</v>
      </c>
    </row>
    <row r="228" spans="1:33" x14ac:dyDescent="0.25">
      <c r="A228" t="s">
        <v>19</v>
      </c>
      <c r="B228">
        <v>70000</v>
      </c>
      <c r="C228">
        <v>45</v>
      </c>
      <c r="D228" s="2">
        <f>Table3[[#This Row],[PrimaTécnica]]-Table3[[#This Row],[PrimaTécnica]]*SUM(Table3[[#This Row],[Gastos Adm]:[Cobranza]])</f>
        <v>3251.9299389407988</v>
      </c>
      <c r="E228">
        <v>287.41789439999997</v>
      </c>
      <c r="F228">
        <v>0.15</v>
      </c>
      <c r="G228">
        <v>0.05</v>
      </c>
      <c r="H228">
        <v>0.01</v>
      </c>
      <c r="I228">
        <v>0.01</v>
      </c>
      <c r="J228" s="8">
        <f>Table3[[#This Row],[PrimaTécnica]]*Table3[[#This Row],[Gastos Adm]]</f>
        <v>625.37114210399977</v>
      </c>
      <c r="K228" s="8">
        <f>Table3[[#This Row],[PrimaTécnica]]*Table3[[#This Row],[Utilidad]]</f>
        <v>208.45704736799996</v>
      </c>
      <c r="L228" s="8">
        <f>Table3[[#This Row],[PrimaTécnica]]*Table3[[#This Row],[Marketing]]</f>
        <v>41.69140947359999</v>
      </c>
      <c r="M228" s="8">
        <f>Table3[[#This Row],[PrimaTécnica]]*Table3[[#This Row],[Cobranza]]</f>
        <v>41.69140947359999</v>
      </c>
      <c r="N22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4169.1409473599988</v>
      </c>
      <c r="O228">
        <v>21.84</v>
      </c>
      <c r="P228">
        <v>54.6</v>
      </c>
      <c r="Q228">
        <v>80.64</v>
      </c>
      <c r="R228">
        <v>44.377200000000002</v>
      </c>
      <c r="S228">
        <v>0.2</v>
      </c>
      <c r="T228">
        <v>0.02</v>
      </c>
      <c r="U228" s="8">
        <f>Table3[[#This Row],[PrimaNeta]]*Table3[[#This Row],[Comisión]]</f>
        <v>1092.6495368399999</v>
      </c>
      <c r="V228" s="15">
        <f>Table3[[#This Row],[PrimaComercial Anual]]-Table3[[#This Row],[PrimaComercial Anual]]*SUM(Table3[[#This Row],[APS]:[IVA]])</f>
        <v>5463.2476841999996</v>
      </c>
      <c r="W228" s="2">
        <v>1.4800000000000001E-2</v>
      </c>
      <c r="X228" s="2">
        <v>8.4501000000000007E-2</v>
      </c>
      <c r="Y228">
        <v>0.03</v>
      </c>
      <c r="Z228">
        <v>0.13</v>
      </c>
      <c r="AA228" s="20">
        <f>Table3[[#This Row],[APS]]*Table3[[#This Row],[PrimaComercial Anual]]</f>
        <v>109.16184000000001</v>
      </c>
      <c r="AB228" s="8">
        <f>Table3[[#This Row],[PrimaComercial Anual]]*Table3[[#This Row],[Recargo adicional]]</f>
        <v>623.26247580000006</v>
      </c>
      <c r="AC228" s="8">
        <f>Table3[[#This Row],[PrimaComercial Anual]]*Table3[[#This Row],[IT]]</f>
        <v>221.274</v>
      </c>
      <c r="AD228" s="8">
        <f>Table3[[#This Row],[PrimaComercial Anual]]*Table3[[#This Row],[IVA]]</f>
        <v>958.85400000000004</v>
      </c>
      <c r="AE228" s="15">
        <f>Table3[[#This Row],[PrimaComercial Anual Asistencia]]</f>
        <v>7375.8</v>
      </c>
      <c r="AF228">
        <v>638.4</v>
      </c>
      <c r="AG228">
        <v>7375.8</v>
      </c>
    </row>
    <row r="229" spans="1:33" x14ac:dyDescent="0.25">
      <c r="A229" t="s">
        <v>19</v>
      </c>
      <c r="B229">
        <v>70000</v>
      </c>
      <c r="C229">
        <v>46</v>
      </c>
      <c r="D229" s="2">
        <f>Table3[[#This Row],[PrimaTécnica]]-Table3[[#This Row],[PrimaTécnica]]*SUM(Table3[[#This Row],[Gastos Adm]:[Cobranza]])</f>
        <v>3251.9299389407988</v>
      </c>
      <c r="E229">
        <v>287.41789439999997</v>
      </c>
      <c r="F229">
        <v>0.15</v>
      </c>
      <c r="G229">
        <v>0.05</v>
      </c>
      <c r="H229">
        <v>0.01</v>
      </c>
      <c r="I229">
        <v>0.01</v>
      </c>
      <c r="J229" s="8">
        <f>Table3[[#This Row],[PrimaTécnica]]*Table3[[#This Row],[Gastos Adm]]</f>
        <v>625.37114210399977</v>
      </c>
      <c r="K229" s="8">
        <f>Table3[[#This Row],[PrimaTécnica]]*Table3[[#This Row],[Utilidad]]</f>
        <v>208.45704736799996</v>
      </c>
      <c r="L229" s="8">
        <f>Table3[[#This Row],[PrimaTécnica]]*Table3[[#This Row],[Marketing]]</f>
        <v>41.69140947359999</v>
      </c>
      <c r="M229" s="8">
        <f>Table3[[#This Row],[PrimaTécnica]]*Table3[[#This Row],[Cobranza]]</f>
        <v>41.69140947359999</v>
      </c>
      <c r="N22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4169.1409473599988</v>
      </c>
      <c r="O229">
        <v>21.84</v>
      </c>
      <c r="P229">
        <v>54.6</v>
      </c>
      <c r="Q229">
        <v>80.64</v>
      </c>
      <c r="R229">
        <v>44.377200000000002</v>
      </c>
      <c r="S229">
        <v>0.2</v>
      </c>
      <c r="T229">
        <v>0.02</v>
      </c>
      <c r="U229" s="8">
        <f>Table3[[#This Row],[PrimaNeta]]*Table3[[#This Row],[Comisión]]</f>
        <v>1092.6495368399999</v>
      </c>
      <c r="V229" s="15">
        <f>Table3[[#This Row],[PrimaComercial Anual]]-Table3[[#This Row],[PrimaComercial Anual]]*SUM(Table3[[#This Row],[APS]:[IVA]])</f>
        <v>5463.2476841999996</v>
      </c>
      <c r="W229" s="2">
        <v>1.4800000000000001E-2</v>
      </c>
      <c r="X229" s="2">
        <v>8.4501000000000007E-2</v>
      </c>
      <c r="Y229">
        <v>0.03</v>
      </c>
      <c r="Z229">
        <v>0.13</v>
      </c>
      <c r="AA229" s="20">
        <f>Table3[[#This Row],[APS]]*Table3[[#This Row],[PrimaComercial Anual]]</f>
        <v>109.16184000000001</v>
      </c>
      <c r="AB229" s="8">
        <f>Table3[[#This Row],[PrimaComercial Anual]]*Table3[[#This Row],[Recargo adicional]]</f>
        <v>623.26247580000006</v>
      </c>
      <c r="AC229" s="8">
        <f>Table3[[#This Row],[PrimaComercial Anual]]*Table3[[#This Row],[IT]]</f>
        <v>221.274</v>
      </c>
      <c r="AD229" s="8">
        <f>Table3[[#This Row],[PrimaComercial Anual]]*Table3[[#This Row],[IVA]]</f>
        <v>958.85400000000004</v>
      </c>
      <c r="AE229" s="15">
        <f>Table3[[#This Row],[PrimaComercial Anual Asistencia]]</f>
        <v>7375.8</v>
      </c>
      <c r="AF229">
        <v>638.4</v>
      </c>
      <c r="AG229">
        <v>7375.8</v>
      </c>
    </row>
    <row r="230" spans="1:33" x14ac:dyDescent="0.25">
      <c r="A230" t="s">
        <v>19</v>
      </c>
      <c r="B230">
        <v>70000</v>
      </c>
      <c r="C230">
        <v>47</v>
      </c>
      <c r="D230" s="2">
        <f>Table3[[#This Row],[PrimaTécnica]]-Table3[[#This Row],[PrimaTécnica]]*SUM(Table3[[#This Row],[Gastos Adm]:[Cobranza]])</f>
        <v>3251.9299389407988</v>
      </c>
      <c r="E230">
        <v>287.41789439999997</v>
      </c>
      <c r="F230">
        <v>0.15</v>
      </c>
      <c r="G230">
        <v>0.05</v>
      </c>
      <c r="H230">
        <v>0.01</v>
      </c>
      <c r="I230">
        <v>0.01</v>
      </c>
      <c r="J230" s="8">
        <f>Table3[[#This Row],[PrimaTécnica]]*Table3[[#This Row],[Gastos Adm]]</f>
        <v>625.37114210399977</v>
      </c>
      <c r="K230" s="8">
        <f>Table3[[#This Row],[PrimaTécnica]]*Table3[[#This Row],[Utilidad]]</f>
        <v>208.45704736799996</v>
      </c>
      <c r="L230" s="8">
        <f>Table3[[#This Row],[PrimaTécnica]]*Table3[[#This Row],[Marketing]]</f>
        <v>41.69140947359999</v>
      </c>
      <c r="M230" s="8">
        <f>Table3[[#This Row],[PrimaTécnica]]*Table3[[#This Row],[Cobranza]]</f>
        <v>41.69140947359999</v>
      </c>
      <c r="N23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4169.1409473599988</v>
      </c>
      <c r="O230">
        <v>21.84</v>
      </c>
      <c r="P230">
        <v>54.6</v>
      </c>
      <c r="Q230">
        <v>80.64</v>
      </c>
      <c r="R230">
        <v>44.377200000000002</v>
      </c>
      <c r="S230">
        <v>0.2</v>
      </c>
      <c r="T230">
        <v>0.02</v>
      </c>
      <c r="U230" s="8">
        <f>Table3[[#This Row],[PrimaNeta]]*Table3[[#This Row],[Comisión]]</f>
        <v>1092.6495368399999</v>
      </c>
      <c r="V230" s="15">
        <f>Table3[[#This Row],[PrimaComercial Anual]]-Table3[[#This Row],[PrimaComercial Anual]]*SUM(Table3[[#This Row],[APS]:[IVA]])</f>
        <v>5463.2476841999996</v>
      </c>
      <c r="W230" s="2">
        <v>1.4800000000000001E-2</v>
      </c>
      <c r="X230" s="2">
        <v>8.4501000000000007E-2</v>
      </c>
      <c r="Y230">
        <v>0.03</v>
      </c>
      <c r="Z230">
        <v>0.13</v>
      </c>
      <c r="AA230" s="20">
        <f>Table3[[#This Row],[APS]]*Table3[[#This Row],[PrimaComercial Anual]]</f>
        <v>109.16184000000001</v>
      </c>
      <c r="AB230" s="8">
        <f>Table3[[#This Row],[PrimaComercial Anual]]*Table3[[#This Row],[Recargo adicional]]</f>
        <v>623.26247580000006</v>
      </c>
      <c r="AC230" s="8">
        <f>Table3[[#This Row],[PrimaComercial Anual]]*Table3[[#This Row],[IT]]</f>
        <v>221.274</v>
      </c>
      <c r="AD230" s="8">
        <f>Table3[[#This Row],[PrimaComercial Anual]]*Table3[[#This Row],[IVA]]</f>
        <v>958.85400000000004</v>
      </c>
      <c r="AE230" s="15">
        <f>Table3[[#This Row],[PrimaComercial Anual Asistencia]]</f>
        <v>7375.8</v>
      </c>
      <c r="AF230">
        <v>638.4</v>
      </c>
      <c r="AG230">
        <v>7375.8</v>
      </c>
    </row>
    <row r="231" spans="1:33" x14ac:dyDescent="0.25">
      <c r="A231" t="s">
        <v>19</v>
      </c>
      <c r="B231">
        <v>70000</v>
      </c>
      <c r="C231">
        <v>48</v>
      </c>
      <c r="D231" s="2">
        <f>Table3[[#This Row],[PrimaTécnica]]-Table3[[#This Row],[PrimaTécnica]]*SUM(Table3[[#This Row],[Gastos Adm]:[Cobranza]])</f>
        <v>3251.9299389407988</v>
      </c>
      <c r="E231">
        <v>287.41789439999997</v>
      </c>
      <c r="F231">
        <v>0.15</v>
      </c>
      <c r="G231">
        <v>0.05</v>
      </c>
      <c r="H231">
        <v>0.01</v>
      </c>
      <c r="I231">
        <v>0.01</v>
      </c>
      <c r="J231" s="8">
        <f>Table3[[#This Row],[PrimaTécnica]]*Table3[[#This Row],[Gastos Adm]]</f>
        <v>625.37114210399977</v>
      </c>
      <c r="K231" s="8">
        <f>Table3[[#This Row],[PrimaTécnica]]*Table3[[#This Row],[Utilidad]]</f>
        <v>208.45704736799996</v>
      </c>
      <c r="L231" s="8">
        <f>Table3[[#This Row],[PrimaTécnica]]*Table3[[#This Row],[Marketing]]</f>
        <v>41.69140947359999</v>
      </c>
      <c r="M231" s="8">
        <f>Table3[[#This Row],[PrimaTécnica]]*Table3[[#This Row],[Cobranza]]</f>
        <v>41.69140947359999</v>
      </c>
      <c r="N23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4169.1409473599988</v>
      </c>
      <c r="O231">
        <v>21.84</v>
      </c>
      <c r="P231">
        <v>54.6</v>
      </c>
      <c r="Q231">
        <v>80.64</v>
      </c>
      <c r="R231">
        <v>44.377200000000002</v>
      </c>
      <c r="S231">
        <v>0.2</v>
      </c>
      <c r="T231">
        <v>0.02</v>
      </c>
      <c r="U231" s="8">
        <f>Table3[[#This Row],[PrimaNeta]]*Table3[[#This Row],[Comisión]]</f>
        <v>1092.6495368399999</v>
      </c>
      <c r="V231" s="15">
        <f>Table3[[#This Row],[PrimaComercial Anual]]-Table3[[#This Row],[PrimaComercial Anual]]*SUM(Table3[[#This Row],[APS]:[IVA]])</f>
        <v>5463.2476841999996</v>
      </c>
      <c r="W231" s="2">
        <v>1.4800000000000001E-2</v>
      </c>
      <c r="X231" s="2">
        <v>8.4501000000000007E-2</v>
      </c>
      <c r="Y231">
        <v>0.03</v>
      </c>
      <c r="Z231">
        <v>0.13</v>
      </c>
      <c r="AA231" s="20">
        <f>Table3[[#This Row],[APS]]*Table3[[#This Row],[PrimaComercial Anual]]</f>
        <v>109.16184000000001</v>
      </c>
      <c r="AB231" s="8">
        <f>Table3[[#This Row],[PrimaComercial Anual]]*Table3[[#This Row],[Recargo adicional]]</f>
        <v>623.26247580000006</v>
      </c>
      <c r="AC231" s="8">
        <f>Table3[[#This Row],[PrimaComercial Anual]]*Table3[[#This Row],[IT]]</f>
        <v>221.274</v>
      </c>
      <c r="AD231" s="8">
        <f>Table3[[#This Row],[PrimaComercial Anual]]*Table3[[#This Row],[IVA]]</f>
        <v>958.85400000000004</v>
      </c>
      <c r="AE231" s="15">
        <f>Table3[[#This Row],[PrimaComercial Anual Asistencia]]</f>
        <v>7375.8</v>
      </c>
      <c r="AF231">
        <v>638.4</v>
      </c>
      <c r="AG231">
        <v>7375.8</v>
      </c>
    </row>
    <row r="232" spans="1:33" x14ac:dyDescent="0.25">
      <c r="A232" t="s">
        <v>19</v>
      </c>
      <c r="B232">
        <v>70000</v>
      </c>
      <c r="C232">
        <v>49</v>
      </c>
      <c r="D232" s="2">
        <f>Table3[[#This Row],[PrimaTécnica]]-Table3[[#This Row],[PrimaTécnica]]*SUM(Table3[[#This Row],[Gastos Adm]:[Cobranza]])</f>
        <v>3251.9299389407988</v>
      </c>
      <c r="E232">
        <v>287.41789439999997</v>
      </c>
      <c r="F232">
        <v>0.15</v>
      </c>
      <c r="G232">
        <v>0.05</v>
      </c>
      <c r="H232">
        <v>0.01</v>
      </c>
      <c r="I232">
        <v>0.01</v>
      </c>
      <c r="J232" s="8">
        <f>Table3[[#This Row],[PrimaTécnica]]*Table3[[#This Row],[Gastos Adm]]</f>
        <v>625.37114210399977</v>
      </c>
      <c r="K232" s="8">
        <f>Table3[[#This Row],[PrimaTécnica]]*Table3[[#This Row],[Utilidad]]</f>
        <v>208.45704736799996</v>
      </c>
      <c r="L232" s="8">
        <f>Table3[[#This Row],[PrimaTécnica]]*Table3[[#This Row],[Marketing]]</f>
        <v>41.69140947359999</v>
      </c>
      <c r="M232" s="8">
        <f>Table3[[#This Row],[PrimaTécnica]]*Table3[[#This Row],[Cobranza]]</f>
        <v>41.69140947359999</v>
      </c>
      <c r="N23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4169.1409473599988</v>
      </c>
      <c r="O232">
        <v>21.84</v>
      </c>
      <c r="P232">
        <v>54.6</v>
      </c>
      <c r="Q232">
        <v>80.64</v>
      </c>
      <c r="R232">
        <v>44.377200000000002</v>
      </c>
      <c r="S232">
        <v>0.2</v>
      </c>
      <c r="T232">
        <v>0.02</v>
      </c>
      <c r="U232" s="8">
        <f>Table3[[#This Row],[PrimaNeta]]*Table3[[#This Row],[Comisión]]</f>
        <v>1092.6495368399999</v>
      </c>
      <c r="V232" s="15">
        <f>Table3[[#This Row],[PrimaComercial Anual]]-Table3[[#This Row],[PrimaComercial Anual]]*SUM(Table3[[#This Row],[APS]:[IVA]])</f>
        <v>5463.2476841999996</v>
      </c>
      <c r="W232" s="2">
        <v>1.4800000000000001E-2</v>
      </c>
      <c r="X232" s="2">
        <v>8.4501000000000007E-2</v>
      </c>
      <c r="Y232">
        <v>0.03</v>
      </c>
      <c r="Z232">
        <v>0.13</v>
      </c>
      <c r="AA232" s="20">
        <f>Table3[[#This Row],[APS]]*Table3[[#This Row],[PrimaComercial Anual]]</f>
        <v>109.16184000000001</v>
      </c>
      <c r="AB232" s="8">
        <f>Table3[[#This Row],[PrimaComercial Anual]]*Table3[[#This Row],[Recargo adicional]]</f>
        <v>623.26247580000006</v>
      </c>
      <c r="AC232" s="8">
        <f>Table3[[#This Row],[PrimaComercial Anual]]*Table3[[#This Row],[IT]]</f>
        <v>221.274</v>
      </c>
      <c r="AD232" s="8">
        <f>Table3[[#This Row],[PrimaComercial Anual]]*Table3[[#This Row],[IVA]]</f>
        <v>958.85400000000004</v>
      </c>
      <c r="AE232" s="15">
        <f>Table3[[#This Row],[PrimaComercial Anual Asistencia]]</f>
        <v>7375.8</v>
      </c>
      <c r="AF232">
        <v>638.4</v>
      </c>
      <c r="AG232">
        <v>7375.8</v>
      </c>
    </row>
    <row r="233" spans="1:33" x14ac:dyDescent="0.25">
      <c r="A233" t="s">
        <v>17</v>
      </c>
      <c r="B233">
        <v>140000</v>
      </c>
      <c r="C233">
        <v>0</v>
      </c>
      <c r="D233" s="2">
        <f>Table3[[#This Row],[PrimaTécnica]]-Table3[[#This Row],[PrimaTécnica]]*SUM(Table3[[#This Row],[Gastos Adm]:[Cobranza]])</f>
        <v>3030.6304098720002</v>
      </c>
      <c r="E233">
        <v>0</v>
      </c>
      <c r="F233">
        <v>0.15</v>
      </c>
      <c r="G233">
        <v>0.05</v>
      </c>
      <c r="H233">
        <v>0.01</v>
      </c>
      <c r="I233">
        <v>0.01</v>
      </c>
      <c r="J233" s="8">
        <f>Table3[[#This Row],[PrimaTécnica]]*Table3[[#This Row],[Gastos Adm]]</f>
        <v>582.81354036000005</v>
      </c>
      <c r="K233" s="8">
        <f>Table3[[#This Row],[PrimaTécnica]]*Table3[[#This Row],[Utilidad]]</f>
        <v>194.27118012000003</v>
      </c>
      <c r="L233" s="8">
        <f>Table3[[#This Row],[PrimaTécnica]]*Table3[[#This Row],[Marketing]]</f>
        <v>38.854236024000002</v>
      </c>
      <c r="M233" s="8">
        <f>Table3[[#This Row],[PrimaTécnica]]*Table3[[#This Row],[Cobranza]]</f>
        <v>38.854236024000002</v>
      </c>
      <c r="N23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3885.4236024000002</v>
      </c>
      <c r="O233">
        <v>21.84</v>
      </c>
      <c r="P233">
        <v>54.6</v>
      </c>
      <c r="Q233">
        <v>80.64</v>
      </c>
      <c r="R233">
        <v>44.377200000000002</v>
      </c>
      <c r="S233">
        <v>0.2</v>
      </c>
      <c r="T233">
        <v>0.02</v>
      </c>
      <c r="U233" s="8">
        <f>Table3[[#This Row],[PrimaNeta]]*Table3[[#This Row],[Comisión]]</f>
        <v>1021.7202006</v>
      </c>
      <c r="V233" s="15">
        <f>Table3[[#This Row],[PrimaComercial Anual]]-Table3[[#This Row],[PrimaComercial Anual]]*SUM(Table3[[#This Row],[APS]:[IVA]])</f>
        <v>5108.6010029999998</v>
      </c>
      <c r="W233" s="2">
        <v>1.4800000000000001E-2</v>
      </c>
      <c r="X233" s="2">
        <v>8.4501000000000007E-2</v>
      </c>
      <c r="Y233">
        <v>0.03</v>
      </c>
      <c r="Z233">
        <v>0.13</v>
      </c>
      <c r="AA233" s="20">
        <f>Table3[[#This Row],[APS]]*Table3[[#This Row],[PrimaComercial Anual]]</f>
        <v>102.07560000000001</v>
      </c>
      <c r="AB233" s="8">
        <f>Table3[[#This Row],[PrimaComercial Anual]]*Table3[[#This Row],[Recargo adicional]]</f>
        <v>582.80339700000002</v>
      </c>
      <c r="AC233" s="8">
        <f>Table3[[#This Row],[PrimaComercial Anual]]*Table3[[#This Row],[IT]]</f>
        <v>206.91</v>
      </c>
      <c r="AD233" s="8">
        <f>Table3[[#This Row],[PrimaComercial Anual]]*Table3[[#This Row],[IVA]]</f>
        <v>896.61</v>
      </c>
      <c r="AE233" s="15">
        <f>Table3[[#This Row],[PrimaComercial Anual Asistencia]]</f>
        <v>6897</v>
      </c>
      <c r="AG233">
        <v>6897</v>
      </c>
    </row>
    <row r="234" spans="1:33" x14ac:dyDescent="0.25">
      <c r="A234" t="s">
        <v>17</v>
      </c>
      <c r="B234">
        <v>140000</v>
      </c>
      <c r="C234">
        <v>1</v>
      </c>
      <c r="D234" s="2">
        <f>Table3[[#This Row],[PrimaTécnica]]-Table3[[#This Row],[PrimaTécnica]]*SUM(Table3[[#This Row],[Gastos Adm]:[Cobranza]])</f>
        <v>3030.6304098720002</v>
      </c>
      <c r="E234">
        <v>0</v>
      </c>
      <c r="F234">
        <v>0.15</v>
      </c>
      <c r="G234">
        <v>0.05</v>
      </c>
      <c r="H234">
        <v>0.01</v>
      </c>
      <c r="I234">
        <v>0.01</v>
      </c>
      <c r="J234" s="8">
        <f>Table3[[#This Row],[PrimaTécnica]]*Table3[[#This Row],[Gastos Adm]]</f>
        <v>582.81354036000005</v>
      </c>
      <c r="K234" s="8">
        <f>Table3[[#This Row],[PrimaTécnica]]*Table3[[#This Row],[Utilidad]]</f>
        <v>194.27118012000003</v>
      </c>
      <c r="L234" s="8">
        <f>Table3[[#This Row],[PrimaTécnica]]*Table3[[#This Row],[Marketing]]</f>
        <v>38.854236024000002</v>
      </c>
      <c r="M234" s="8">
        <f>Table3[[#This Row],[PrimaTécnica]]*Table3[[#This Row],[Cobranza]]</f>
        <v>38.854236024000002</v>
      </c>
      <c r="N23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3885.4236024000002</v>
      </c>
      <c r="O234">
        <v>21.84</v>
      </c>
      <c r="P234">
        <v>54.6</v>
      </c>
      <c r="Q234">
        <v>80.64</v>
      </c>
      <c r="R234">
        <v>44.377200000000002</v>
      </c>
      <c r="S234">
        <v>0.2</v>
      </c>
      <c r="T234">
        <v>0.02</v>
      </c>
      <c r="U234" s="8">
        <f>Table3[[#This Row],[PrimaNeta]]*Table3[[#This Row],[Comisión]]</f>
        <v>1021.7202006</v>
      </c>
      <c r="V234" s="15">
        <f>Table3[[#This Row],[PrimaComercial Anual]]-Table3[[#This Row],[PrimaComercial Anual]]*SUM(Table3[[#This Row],[APS]:[IVA]])</f>
        <v>5108.6010029999998</v>
      </c>
      <c r="W234" s="2">
        <v>1.4800000000000001E-2</v>
      </c>
      <c r="X234" s="2">
        <v>8.4501000000000007E-2</v>
      </c>
      <c r="Y234">
        <v>0.03</v>
      </c>
      <c r="Z234">
        <v>0.13</v>
      </c>
      <c r="AA234" s="20">
        <f>Table3[[#This Row],[APS]]*Table3[[#This Row],[PrimaComercial Anual]]</f>
        <v>102.07560000000001</v>
      </c>
      <c r="AB234" s="8">
        <f>Table3[[#This Row],[PrimaComercial Anual]]*Table3[[#This Row],[Recargo adicional]]</f>
        <v>582.80339700000002</v>
      </c>
      <c r="AC234" s="8">
        <f>Table3[[#This Row],[PrimaComercial Anual]]*Table3[[#This Row],[IT]]</f>
        <v>206.91</v>
      </c>
      <c r="AD234" s="8">
        <f>Table3[[#This Row],[PrimaComercial Anual]]*Table3[[#This Row],[IVA]]</f>
        <v>896.61</v>
      </c>
      <c r="AE234" s="15">
        <f>Table3[[#This Row],[PrimaComercial Anual Asistencia]]</f>
        <v>6897</v>
      </c>
      <c r="AG234">
        <v>6897</v>
      </c>
    </row>
    <row r="235" spans="1:33" x14ac:dyDescent="0.25">
      <c r="A235" t="s">
        <v>17</v>
      </c>
      <c r="B235">
        <v>140000</v>
      </c>
      <c r="C235">
        <v>2</v>
      </c>
      <c r="D235" s="2">
        <f>Table3[[#This Row],[PrimaTécnica]]-Table3[[#This Row],[PrimaTécnica]]*SUM(Table3[[#This Row],[Gastos Adm]:[Cobranza]])</f>
        <v>3030.6304098720002</v>
      </c>
      <c r="E235">
        <v>0</v>
      </c>
      <c r="F235">
        <v>0.15</v>
      </c>
      <c r="G235">
        <v>0.05</v>
      </c>
      <c r="H235">
        <v>0.01</v>
      </c>
      <c r="I235">
        <v>0.01</v>
      </c>
      <c r="J235" s="8">
        <f>Table3[[#This Row],[PrimaTécnica]]*Table3[[#This Row],[Gastos Adm]]</f>
        <v>582.81354036000005</v>
      </c>
      <c r="K235" s="8">
        <f>Table3[[#This Row],[PrimaTécnica]]*Table3[[#This Row],[Utilidad]]</f>
        <v>194.27118012000003</v>
      </c>
      <c r="L235" s="8">
        <f>Table3[[#This Row],[PrimaTécnica]]*Table3[[#This Row],[Marketing]]</f>
        <v>38.854236024000002</v>
      </c>
      <c r="M235" s="8">
        <f>Table3[[#This Row],[PrimaTécnica]]*Table3[[#This Row],[Cobranza]]</f>
        <v>38.854236024000002</v>
      </c>
      <c r="N23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3885.4236024000002</v>
      </c>
      <c r="O235">
        <v>21.84</v>
      </c>
      <c r="P235">
        <v>54.6</v>
      </c>
      <c r="Q235">
        <v>80.64</v>
      </c>
      <c r="R235">
        <v>44.377200000000002</v>
      </c>
      <c r="S235">
        <v>0.2</v>
      </c>
      <c r="T235">
        <v>0.02</v>
      </c>
      <c r="U235" s="8">
        <f>Table3[[#This Row],[PrimaNeta]]*Table3[[#This Row],[Comisión]]</f>
        <v>1021.7202006</v>
      </c>
      <c r="V235" s="15">
        <f>Table3[[#This Row],[PrimaComercial Anual]]-Table3[[#This Row],[PrimaComercial Anual]]*SUM(Table3[[#This Row],[APS]:[IVA]])</f>
        <v>5108.6010029999998</v>
      </c>
      <c r="W235" s="2">
        <v>1.4800000000000001E-2</v>
      </c>
      <c r="X235" s="2">
        <v>8.4501000000000007E-2</v>
      </c>
      <c r="Y235">
        <v>0.03</v>
      </c>
      <c r="Z235">
        <v>0.13</v>
      </c>
      <c r="AA235" s="20">
        <f>Table3[[#This Row],[APS]]*Table3[[#This Row],[PrimaComercial Anual]]</f>
        <v>102.07560000000001</v>
      </c>
      <c r="AB235" s="8">
        <f>Table3[[#This Row],[PrimaComercial Anual]]*Table3[[#This Row],[Recargo adicional]]</f>
        <v>582.80339700000002</v>
      </c>
      <c r="AC235" s="8">
        <f>Table3[[#This Row],[PrimaComercial Anual]]*Table3[[#This Row],[IT]]</f>
        <v>206.91</v>
      </c>
      <c r="AD235" s="8">
        <f>Table3[[#This Row],[PrimaComercial Anual]]*Table3[[#This Row],[IVA]]</f>
        <v>896.61</v>
      </c>
      <c r="AE235" s="15">
        <f>Table3[[#This Row],[PrimaComercial Anual Asistencia]]</f>
        <v>6897</v>
      </c>
      <c r="AG235">
        <v>6897</v>
      </c>
    </row>
    <row r="236" spans="1:33" x14ac:dyDescent="0.25">
      <c r="A236" t="s">
        <v>17</v>
      </c>
      <c r="B236">
        <v>140000</v>
      </c>
      <c r="C236">
        <v>3</v>
      </c>
      <c r="D236" s="2">
        <f>Table3[[#This Row],[PrimaTécnica]]-Table3[[#This Row],[PrimaTécnica]]*SUM(Table3[[#This Row],[Gastos Adm]:[Cobranza]])</f>
        <v>2108.5490387520003</v>
      </c>
      <c r="E236">
        <v>0</v>
      </c>
      <c r="F236">
        <v>0.15</v>
      </c>
      <c r="G236">
        <v>0.05</v>
      </c>
      <c r="H236">
        <v>0.01</v>
      </c>
      <c r="I236">
        <v>0.01</v>
      </c>
      <c r="J236" s="8">
        <f>Table3[[#This Row],[PrimaTécnica]]*Table3[[#This Row],[Gastos Adm]]</f>
        <v>405.49019976000005</v>
      </c>
      <c r="K236" s="8">
        <f>Table3[[#This Row],[PrimaTécnica]]*Table3[[#This Row],[Utilidad]]</f>
        <v>135.16339992000005</v>
      </c>
      <c r="L236" s="8">
        <f>Table3[[#This Row],[PrimaTécnica]]*Table3[[#This Row],[Marketing]]</f>
        <v>27.032679984000005</v>
      </c>
      <c r="M236" s="8">
        <f>Table3[[#This Row],[PrimaTécnica]]*Table3[[#This Row],[Cobranza]]</f>
        <v>27.032679984000005</v>
      </c>
      <c r="N23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236">
        <v>21.84</v>
      </c>
      <c r="P236">
        <v>54.6</v>
      </c>
      <c r="Q236">
        <v>80.64</v>
      </c>
      <c r="R236">
        <v>44.377200000000002</v>
      </c>
      <c r="S236">
        <v>0.2</v>
      </c>
      <c r="T236">
        <v>0.02</v>
      </c>
      <c r="U236" s="8">
        <f>Table3[[#This Row],[PrimaNeta]]*Table3[[#This Row],[Comisión]]</f>
        <v>726.1812996000001</v>
      </c>
      <c r="V236" s="15">
        <f>Table3[[#This Row],[PrimaComercial Anual]]-Table3[[#This Row],[PrimaComercial Anual]]*SUM(Table3[[#This Row],[APS]:[IVA]])</f>
        <v>3630.9064980000003</v>
      </c>
      <c r="W236" s="2">
        <v>1.4800000000000001E-2</v>
      </c>
      <c r="X236" s="2">
        <v>8.4501000000000007E-2</v>
      </c>
      <c r="Y236">
        <v>0.03</v>
      </c>
      <c r="Z236">
        <v>0.13</v>
      </c>
      <c r="AA236" s="20">
        <f>Table3[[#This Row],[APS]]*Table3[[#This Row],[PrimaComercial Anual]]</f>
        <v>72.549599999999998</v>
      </c>
      <c r="AB236" s="8">
        <f>Table3[[#This Row],[PrimaComercial Anual]]*Table3[[#This Row],[Recargo adicional]]</f>
        <v>414.22390200000001</v>
      </c>
      <c r="AC236" s="8">
        <f>Table3[[#This Row],[PrimaComercial Anual]]*Table3[[#This Row],[IT]]</f>
        <v>147.06</v>
      </c>
      <c r="AD236" s="8">
        <f>Table3[[#This Row],[PrimaComercial Anual]]*Table3[[#This Row],[IVA]]</f>
        <v>637.26</v>
      </c>
      <c r="AE236" s="15">
        <f>Table3[[#This Row],[PrimaComercial Anual Asistencia]]</f>
        <v>4902</v>
      </c>
      <c r="AG236">
        <v>4902</v>
      </c>
    </row>
    <row r="237" spans="1:33" x14ac:dyDescent="0.25">
      <c r="A237" t="s">
        <v>17</v>
      </c>
      <c r="B237">
        <v>140000</v>
      </c>
      <c r="C237">
        <v>4</v>
      </c>
      <c r="D237" s="2">
        <f>Table3[[#This Row],[PrimaTécnica]]-Table3[[#This Row],[PrimaTécnica]]*SUM(Table3[[#This Row],[Gastos Adm]:[Cobranza]])</f>
        <v>2108.5490387520003</v>
      </c>
      <c r="E237">
        <v>0</v>
      </c>
      <c r="F237">
        <v>0.15</v>
      </c>
      <c r="G237">
        <v>0.05</v>
      </c>
      <c r="H237">
        <v>0.01</v>
      </c>
      <c r="I237">
        <v>0.01</v>
      </c>
      <c r="J237" s="8">
        <f>Table3[[#This Row],[PrimaTécnica]]*Table3[[#This Row],[Gastos Adm]]</f>
        <v>405.49019976000005</v>
      </c>
      <c r="K237" s="8">
        <f>Table3[[#This Row],[PrimaTécnica]]*Table3[[#This Row],[Utilidad]]</f>
        <v>135.16339992000005</v>
      </c>
      <c r="L237" s="8">
        <f>Table3[[#This Row],[PrimaTécnica]]*Table3[[#This Row],[Marketing]]</f>
        <v>27.032679984000005</v>
      </c>
      <c r="M237" s="8">
        <f>Table3[[#This Row],[PrimaTécnica]]*Table3[[#This Row],[Cobranza]]</f>
        <v>27.032679984000005</v>
      </c>
      <c r="N23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237">
        <v>21.84</v>
      </c>
      <c r="P237">
        <v>54.6</v>
      </c>
      <c r="Q237">
        <v>80.64</v>
      </c>
      <c r="R237">
        <v>44.377200000000002</v>
      </c>
      <c r="S237">
        <v>0.2</v>
      </c>
      <c r="T237">
        <v>0.02</v>
      </c>
      <c r="U237" s="8">
        <f>Table3[[#This Row],[PrimaNeta]]*Table3[[#This Row],[Comisión]]</f>
        <v>726.1812996000001</v>
      </c>
      <c r="V237" s="15">
        <f>Table3[[#This Row],[PrimaComercial Anual]]-Table3[[#This Row],[PrimaComercial Anual]]*SUM(Table3[[#This Row],[APS]:[IVA]])</f>
        <v>3630.9064980000003</v>
      </c>
      <c r="W237" s="2">
        <v>1.4800000000000001E-2</v>
      </c>
      <c r="X237" s="2">
        <v>8.4501000000000007E-2</v>
      </c>
      <c r="Y237">
        <v>0.03</v>
      </c>
      <c r="Z237">
        <v>0.13</v>
      </c>
      <c r="AA237" s="20">
        <f>Table3[[#This Row],[APS]]*Table3[[#This Row],[PrimaComercial Anual]]</f>
        <v>72.549599999999998</v>
      </c>
      <c r="AB237" s="8">
        <f>Table3[[#This Row],[PrimaComercial Anual]]*Table3[[#This Row],[Recargo adicional]]</f>
        <v>414.22390200000001</v>
      </c>
      <c r="AC237" s="8">
        <f>Table3[[#This Row],[PrimaComercial Anual]]*Table3[[#This Row],[IT]]</f>
        <v>147.06</v>
      </c>
      <c r="AD237" s="8">
        <f>Table3[[#This Row],[PrimaComercial Anual]]*Table3[[#This Row],[IVA]]</f>
        <v>637.26</v>
      </c>
      <c r="AE237" s="15">
        <f>Table3[[#This Row],[PrimaComercial Anual Asistencia]]</f>
        <v>4902</v>
      </c>
      <c r="AG237">
        <v>4902</v>
      </c>
    </row>
    <row r="238" spans="1:33" x14ac:dyDescent="0.25">
      <c r="A238" t="s">
        <v>17</v>
      </c>
      <c r="B238">
        <v>140000</v>
      </c>
      <c r="C238">
        <v>5</v>
      </c>
      <c r="D238" s="2">
        <f>Table3[[#This Row],[PrimaTécnica]]-Table3[[#This Row],[PrimaTécnica]]*SUM(Table3[[#This Row],[Gastos Adm]:[Cobranza]])</f>
        <v>2108.5490387520003</v>
      </c>
      <c r="E238">
        <v>0</v>
      </c>
      <c r="F238">
        <v>0.15</v>
      </c>
      <c r="G238">
        <v>0.05</v>
      </c>
      <c r="H238">
        <v>0.01</v>
      </c>
      <c r="I238">
        <v>0.01</v>
      </c>
      <c r="J238" s="8">
        <f>Table3[[#This Row],[PrimaTécnica]]*Table3[[#This Row],[Gastos Adm]]</f>
        <v>405.49019976000005</v>
      </c>
      <c r="K238" s="8">
        <f>Table3[[#This Row],[PrimaTécnica]]*Table3[[#This Row],[Utilidad]]</f>
        <v>135.16339992000005</v>
      </c>
      <c r="L238" s="8">
        <f>Table3[[#This Row],[PrimaTécnica]]*Table3[[#This Row],[Marketing]]</f>
        <v>27.032679984000005</v>
      </c>
      <c r="M238" s="8">
        <f>Table3[[#This Row],[PrimaTécnica]]*Table3[[#This Row],[Cobranza]]</f>
        <v>27.032679984000005</v>
      </c>
      <c r="N23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238">
        <v>21.84</v>
      </c>
      <c r="P238">
        <v>54.6</v>
      </c>
      <c r="Q238">
        <v>80.64</v>
      </c>
      <c r="R238">
        <v>44.377200000000002</v>
      </c>
      <c r="S238">
        <v>0.2</v>
      </c>
      <c r="T238">
        <v>0.02</v>
      </c>
      <c r="U238" s="8">
        <f>Table3[[#This Row],[PrimaNeta]]*Table3[[#This Row],[Comisión]]</f>
        <v>726.1812996000001</v>
      </c>
      <c r="V238" s="15">
        <f>Table3[[#This Row],[PrimaComercial Anual]]-Table3[[#This Row],[PrimaComercial Anual]]*SUM(Table3[[#This Row],[APS]:[IVA]])</f>
        <v>3630.9064980000003</v>
      </c>
      <c r="W238" s="2">
        <v>1.4800000000000001E-2</v>
      </c>
      <c r="X238" s="2">
        <v>8.4501000000000007E-2</v>
      </c>
      <c r="Y238">
        <v>0.03</v>
      </c>
      <c r="Z238">
        <v>0.13</v>
      </c>
      <c r="AA238" s="20">
        <f>Table3[[#This Row],[APS]]*Table3[[#This Row],[PrimaComercial Anual]]</f>
        <v>72.549599999999998</v>
      </c>
      <c r="AB238" s="8">
        <f>Table3[[#This Row],[PrimaComercial Anual]]*Table3[[#This Row],[Recargo adicional]]</f>
        <v>414.22390200000001</v>
      </c>
      <c r="AC238" s="8">
        <f>Table3[[#This Row],[PrimaComercial Anual]]*Table3[[#This Row],[IT]]</f>
        <v>147.06</v>
      </c>
      <c r="AD238" s="8">
        <f>Table3[[#This Row],[PrimaComercial Anual]]*Table3[[#This Row],[IVA]]</f>
        <v>637.26</v>
      </c>
      <c r="AE238" s="15">
        <f>Table3[[#This Row],[PrimaComercial Anual Asistencia]]</f>
        <v>4902</v>
      </c>
      <c r="AG238">
        <v>4902</v>
      </c>
    </row>
    <row r="239" spans="1:33" x14ac:dyDescent="0.25">
      <c r="A239" t="s">
        <v>17</v>
      </c>
      <c r="B239">
        <v>140000</v>
      </c>
      <c r="C239">
        <v>6</v>
      </c>
      <c r="D239" s="2">
        <f>Table3[[#This Row],[PrimaTécnica]]-Table3[[#This Row],[PrimaTécnica]]*SUM(Table3[[#This Row],[Gastos Adm]:[Cobranza]])</f>
        <v>1961.0160193728002</v>
      </c>
      <c r="E239">
        <v>0</v>
      </c>
      <c r="F239">
        <v>0.15</v>
      </c>
      <c r="G239">
        <v>0.05</v>
      </c>
      <c r="H239">
        <v>0.01</v>
      </c>
      <c r="I239">
        <v>0.01</v>
      </c>
      <c r="J239" s="8">
        <f>Table3[[#This Row],[PrimaTécnica]]*Table3[[#This Row],[Gastos Adm]]</f>
        <v>377.11846526400001</v>
      </c>
      <c r="K239" s="8">
        <f>Table3[[#This Row],[PrimaTécnica]]*Table3[[#This Row],[Utilidad]]</f>
        <v>125.70615508800002</v>
      </c>
      <c r="L239" s="8">
        <f>Table3[[#This Row],[PrimaTécnica]]*Table3[[#This Row],[Marketing]]</f>
        <v>25.141231017600003</v>
      </c>
      <c r="M239" s="8">
        <f>Table3[[#This Row],[PrimaTécnica]]*Table3[[#This Row],[Cobranza]]</f>
        <v>25.141231017600003</v>
      </c>
      <c r="N23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2514.1231017600003</v>
      </c>
      <c r="O239">
        <v>21.84</v>
      </c>
      <c r="P239">
        <v>54.6</v>
      </c>
      <c r="Q239">
        <v>80.64</v>
      </c>
      <c r="R239">
        <v>44.377200000000002</v>
      </c>
      <c r="S239">
        <v>0.2</v>
      </c>
      <c r="T239">
        <v>0.02</v>
      </c>
      <c r="U239" s="8">
        <f>Table3[[#This Row],[PrimaNeta]]*Table3[[#This Row],[Comisión]]</f>
        <v>678.89507544000014</v>
      </c>
      <c r="V239" s="15">
        <f>Table3[[#This Row],[PrimaComercial Anual]]-Table3[[#This Row],[PrimaComercial Anual]]*SUM(Table3[[#This Row],[APS]:[IVA]])</f>
        <v>3394.4753772000004</v>
      </c>
      <c r="W239" s="2">
        <v>1.4800000000000001E-2</v>
      </c>
      <c r="X239" s="2">
        <v>8.4501000000000007E-2</v>
      </c>
      <c r="Y239">
        <v>0.03</v>
      </c>
      <c r="Z239">
        <v>0.13</v>
      </c>
      <c r="AA239" s="20">
        <f>Table3[[#This Row],[APS]]*Table3[[#This Row],[PrimaComercial Anual]]</f>
        <v>67.82544</v>
      </c>
      <c r="AB239" s="8">
        <f>Table3[[#This Row],[PrimaComercial Anual]]*Table3[[#This Row],[Recargo adicional]]</f>
        <v>387.25118280000004</v>
      </c>
      <c r="AC239" s="8">
        <f>Table3[[#This Row],[PrimaComercial Anual]]*Table3[[#This Row],[IT]]</f>
        <v>137.48400000000001</v>
      </c>
      <c r="AD239" s="8">
        <f>Table3[[#This Row],[PrimaComercial Anual]]*Table3[[#This Row],[IVA]]</f>
        <v>595.76400000000001</v>
      </c>
      <c r="AE239" s="15">
        <f>Table3[[#This Row],[PrimaComercial Anual Asistencia]]</f>
        <v>4582.8</v>
      </c>
      <c r="AG239">
        <v>4582.8</v>
      </c>
    </row>
    <row r="240" spans="1:33" x14ac:dyDescent="0.25">
      <c r="A240" t="s">
        <v>17</v>
      </c>
      <c r="B240">
        <v>140000</v>
      </c>
      <c r="C240">
        <v>7</v>
      </c>
      <c r="D240" s="2">
        <f>Table3[[#This Row],[PrimaTécnica]]-Table3[[#This Row],[PrimaTécnica]]*SUM(Table3[[#This Row],[Gastos Adm]:[Cobranza]])</f>
        <v>1961.0160193728002</v>
      </c>
      <c r="E240">
        <v>0</v>
      </c>
      <c r="F240">
        <v>0.15</v>
      </c>
      <c r="G240">
        <v>0.05</v>
      </c>
      <c r="H240">
        <v>0.01</v>
      </c>
      <c r="I240">
        <v>0.01</v>
      </c>
      <c r="J240" s="8">
        <f>Table3[[#This Row],[PrimaTécnica]]*Table3[[#This Row],[Gastos Adm]]</f>
        <v>377.11846526400001</v>
      </c>
      <c r="K240" s="8">
        <f>Table3[[#This Row],[PrimaTécnica]]*Table3[[#This Row],[Utilidad]]</f>
        <v>125.70615508800002</v>
      </c>
      <c r="L240" s="8">
        <f>Table3[[#This Row],[PrimaTécnica]]*Table3[[#This Row],[Marketing]]</f>
        <v>25.141231017600003</v>
      </c>
      <c r="M240" s="8">
        <f>Table3[[#This Row],[PrimaTécnica]]*Table3[[#This Row],[Cobranza]]</f>
        <v>25.141231017600003</v>
      </c>
      <c r="N24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2514.1231017600003</v>
      </c>
      <c r="O240">
        <v>21.84</v>
      </c>
      <c r="P240">
        <v>54.6</v>
      </c>
      <c r="Q240">
        <v>80.64</v>
      </c>
      <c r="R240">
        <v>44.377200000000002</v>
      </c>
      <c r="S240">
        <v>0.2</v>
      </c>
      <c r="T240">
        <v>0.02</v>
      </c>
      <c r="U240" s="8">
        <f>Table3[[#This Row],[PrimaNeta]]*Table3[[#This Row],[Comisión]]</f>
        <v>678.89507544000014</v>
      </c>
      <c r="V240" s="15">
        <f>Table3[[#This Row],[PrimaComercial Anual]]-Table3[[#This Row],[PrimaComercial Anual]]*SUM(Table3[[#This Row],[APS]:[IVA]])</f>
        <v>3394.4753772000004</v>
      </c>
      <c r="W240" s="2">
        <v>1.4800000000000001E-2</v>
      </c>
      <c r="X240" s="2">
        <v>8.4501000000000007E-2</v>
      </c>
      <c r="Y240">
        <v>0.03</v>
      </c>
      <c r="Z240">
        <v>0.13</v>
      </c>
      <c r="AA240" s="20">
        <f>Table3[[#This Row],[APS]]*Table3[[#This Row],[PrimaComercial Anual]]</f>
        <v>67.82544</v>
      </c>
      <c r="AB240" s="8">
        <f>Table3[[#This Row],[PrimaComercial Anual]]*Table3[[#This Row],[Recargo adicional]]</f>
        <v>387.25118280000004</v>
      </c>
      <c r="AC240" s="8">
        <f>Table3[[#This Row],[PrimaComercial Anual]]*Table3[[#This Row],[IT]]</f>
        <v>137.48400000000001</v>
      </c>
      <c r="AD240" s="8">
        <f>Table3[[#This Row],[PrimaComercial Anual]]*Table3[[#This Row],[IVA]]</f>
        <v>595.76400000000001</v>
      </c>
      <c r="AE240" s="15">
        <f>Table3[[#This Row],[PrimaComercial Anual Asistencia]]</f>
        <v>4582.8</v>
      </c>
      <c r="AG240">
        <v>4582.8</v>
      </c>
    </row>
    <row r="241" spans="1:33" x14ac:dyDescent="0.25">
      <c r="A241" t="s">
        <v>17</v>
      </c>
      <c r="B241">
        <v>140000</v>
      </c>
      <c r="C241">
        <v>8</v>
      </c>
      <c r="D241" s="2">
        <f>Table3[[#This Row],[PrimaTécnica]]-Table3[[#This Row],[PrimaTécnica]]*SUM(Table3[[#This Row],[Gastos Adm]:[Cobranza]])</f>
        <v>1961.0160193728002</v>
      </c>
      <c r="E241">
        <v>0</v>
      </c>
      <c r="F241">
        <v>0.15</v>
      </c>
      <c r="G241">
        <v>0.05</v>
      </c>
      <c r="H241">
        <v>0.01</v>
      </c>
      <c r="I241">
        <v>0.01</v>
      </c>
      <c r="J241" s="8">
        <f>Table3[[#This Row],[PrimaTécnica]]*Table3[[#This Row],[Gastos Adm]]</f>
        <v>377.11846526400001</v>
      </c>
      <c r="K241" s="8">
        <f>Table3[[#This Row],[PrimaTécnica]]*Table3[[#This Row],[Utilidad]]</f>
        <v>125.70615508800002</v>
      </c>
      <c r="L241" s="8">
        <f>Table3[[#This Row],[PrimaTécnica]]*Table3[[#This Row],[Marketing]]</f>
        <v>25.141231017600003</v>
      </c>
      <c r="M241" s="8">
        <f>Table3[[#This Row],[PrimaTécnica]]*Table3[[#This Row],[Cobranza]]</f>
        <v>25.141231017600003</v>
      </c>
      <c r="N24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2514.1231017600003</v>
      </c>
      <c r="O241">
        <v>21.84</v>
      </c>
      <c r="P241">
        <v>54.6</v>
      </c>
      <c r="Q241">
        <v>80.64</v>
      </c>
      <c r="R241">
        <v>44.377200000000002</v>
      </c>
      <c r="S241">
        <v>0.2</v>
      </c>
      <c r="T241">
        <v>0.02</v>
      </c>
      <c r="U241" s="8">
        <f>Table3[[#This Row],[PrimaNeta]]*Table3[[#This Row],[Comisión]]</f>
        <v>678.89507544000014</v>
      </c>
      <c r="V241" s="15">
        <f>Table3[[#This Row],[PrimaComercial Anual]]-Table3[[#This Row],[PrimaComercial Anual]]*SUM(Table3[[#This Row],[APS]:[IVA]])</f>
        <v>3394.4753772000004</v>
      </c>
      <c r="W241" s="2">
        <v>1.4800000000000001E-2</v>
      </c>
      <c r="X241" s="2">
        <v>8.4501000000000007E-2</v>
      </c>
      <c r="Y241">
        <v>0.03</v>
      </c>
      <c r="Z241">
        <v>0.13</v>
      </c>
      <c r="AA241" s="20">
        <f>Table3[[#This Row],[APS]]*Table3[[#This Row],[PrimaComercial Anual]]</f>
        <v>67.82544</v>
      </c>
      <c r="AB241" s="8">
        <f>Table3[[#This Row],[PrimaComercial Anual]]*Table3[[#This Row],[Recargo adicional]]</f>
        <v>387.25118280000004</v>
      </c>
      <c r="AC241" s="8">
        <f>Table3[[#This Row],[PrimaComercial Anual]]*Table3[[#This Row],[IT]]</f>
        <v>137.48400000000001</v>
      </c>
      <c r="AD241" s="8">
        <f>Table3[[#This Row],[PrimaComercial Anual]]*Table3[[#This Row],[IVA]]</f>
        <v>595.76400000000001</v>
      </c>
      <c r="AE241" s="15">
        <f>Table3[[#This Row],[PrimaComercial Anual Asistencia]]</f>
        <v>4582.8</v>
      </c>
      <c r="AG241">
        <v>4582.8</v>
      </c>
    </row>
    <row r="242" spans="1:33" x14ac:dyDescent="0.25">
      <c r="A242" t="s">
        <v>17</v>
      </c>
      <c r="B242">
        <v>140000</v>
      </c>
      <c r="C242">
        <v>9</v>
      </c>
      <c r="D242" s="2">
        <f>Table3[[#This Row],[PrimaTécnica]]-Table3[[#This Row],[PrimaTécnica]]*SUM(Table3[[#This Row],[Gastos Adm]:[Cobranza]])</f>
        <v>1961.0160193728002</v>
      </c>
      <c r="E242">
        <v>0</v>
      </c>
      <c r="F242">
        <v>0.15</v>
      </c>
      <c r="G242">
        <v>0.05</v>
      </c>
      <c r="H242">
        <v>0.01</v>
      </c>
      <c r="I242">
        <v>0.01</v>
      </c>
      <c r="J242" s="8">
        <f>Table3[[#This Row],[PrimaTécnica]]*Table3[[#This Row],[Gastos Adm]]</f>
        <v>377.11846526400001</v>
      </c>
      <c r="K242" s="8">
        <f>Table3[[#This Row],[PrimaTécnica]]*Table3[[#This Row],[Utilidad]]</f>
        <v>125.70615508800002</v>
      </c>
      <c r="L242" s="8">
        <f>Table3[[#This Row],[PrimaTécnica]]*Table3[[#This Row],[Marketing]]</f>
        <v>25.141231017600003</v>
      </c>
      <c r="M242" s="8">
        <f>Table3[[#This Row],[PrimaTécnica]]*Table3[[#This Row],[Cobranza]]</f>
        <v>25.141231017600003</v>
      </c>
      <c r="N24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2514.1231017600003</v>
      </c>
      <c r="O242">
        <v>21.84</v>
      </c>
      <c r="P242">
        <v>54.6</v>
      </c>
      <c r="Q242">
        <v>80.64</v>
      </c>
      <c r="R242">
        <v>44.377200000000002</v>
      </c>
      <c r="S242">
        <v>0.2</v>
      </c>
      <c r="T242">
        <v>0.02</v>
      </c>
      <c r="U242" s="8">
        <f>Table3[[#This Row],[PrimaNeta]]*Table3[[#This Row],[Comisión]]</f>
        <v>678.89507544000014</v>
      </c>
      <c r="V242" s="15">
        <f>Table3[[#This Row],[PrimaComercial Anual]]-Table3[[#This Row],[PrimaComercial Anual]]*SUM(Table3[[#This Row],[APS]:[IVA]])</f>
        <v>3394.4753772000004</v>
      </c>
      <c r="W242" s="2">
        <v>1.4800000000000001E-2</v>
      </c>
      <c r="X242" s="2">
        <v>8.4501000000000007E-2</v>
      </c>
      <c r="Y242">
        <v>0.03</v>
      </c>
      <c r="Z242">
        <v>0.13</v>
      </c>
      <c r="AA242" s="20">
        <f>Table3[[#This Row],[APS]]*Table3[[#This Row],[PrimaComercial Anual]]</f>
        <v>67.82544</v>
      </c>
      <c r="AB242" s="8">
        <f>Table3[[#This Row],[PrimaComercial Anual]]*Table3[[#This Row],[Recargo adicional]]</f>
        <v>387.25118280000004</v>
      </c>
      <c r="AC242" s="8">
        <f>Table3[[#This Row],[PrimaComercial Anual]]*Table3[[#This Row],[IT]]</f>
        <v>137.48400000000001</v>
      </c>
      <c r="AD242" s="8">
        <f>Table3[[#This Row],[PrimaComercial Anual]]*Table3[[#This Row],[IVA]]</f>
        <v>595.76400000000001</v>
      </c>
      <c r="AE242" s="15">
        <f>Table3[[#This Row],[PrimaComercial Anual Asistencia]]</f>
        <v>4582.8</v>
      </c>
      <c r="AG242">
        <v>4582.8</v>
      </c>
    </row>
    <row r="243" spans="1:33" x14ac:dyDescent="0.25">
      <c r="A243" t="s">
        <v>17</v>
      </c>
      <c r="B243">
        <v>140000</v>
      </c>
      <c r="C243">
        <v>10</v>
      </c>
      <c r="D243" s="2">
        <f>Table3[[#This Row],[PrimaTécnica]]-Table3[[#This Row],[PrimaTécnica]]*SUM(Table3[[#This Row],[Gastos Adm]:[Cobranza]])</f>
        <v>1961.0160193728002</v>
      </c>
      <c r="E243">
        <v>0</v>
      </c>
      <c r="F243">
        <v>0.15</v>
      </c>
      <c r="G243">
        <v>0.05</v>
      </c>
      <c r="H243">
        <v>0.01</v>
      </c>
      <c r="I243">
        <v>0.01</v>
      </c>
      <c r="J243" s="8">
        <f>Table3[[#This Row],[PrimaTécnica]]*Table3[[#This Row],[Gastos Adm]]</f>
        <v>377.11846526400001</v>
      </c>
      <c r="K243" s="8">
        <f>Table3[[#This Row],[PrimaTécnica]]*Table3[[#This Row],[Utilidad]]</f>
        <v>125.70615508800002</v>
      </c>
      <c r="L243" s="8">
        <f>Table3[[#This Row],[PrimaTécnica]]*Table3[[#This Row],[Marketing]]</f>
        <v>25.141231017600003</v>
      </c>
      <c r="M243" s="8">
        <f>Table3[[#This Row],[PrimaTécnica]]*Table3[[#This Row],[Cobranza]]</f>
        <v>25.141231017600003</v>
      </c>
      <c r="N24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2514.1231017600003</v>
      </c>
      <c r="O243">
        <v>21.84</v>
      </c>
      <c r="P243">
        <v>54.6</v>
      </c>
      <c r="Q243">
        <v>80.64</v>
      </c>
      <c r="R243">
        <v>44.377200000000002</v>
      </c>
      <c r="S243">
        <v>0.2</v>
      </c>
      <c r="T243">
        <v>0.02</v>
      </c>
      <c r="U243" s="8">
        <f>Table3[[#This Row],[PrimaNeta]]*Table3[[#This Row],[Comisión]]</f>
        <v>678.89507544000014</v>
      </c>
      <c r="V243" s="15">
        <f>Table3[[#This Row],[PrimaComercial Anual]]-Table3[[#This Row],[PrimaComercial Anual]]*SUM(Table3[[#This Row],[APS]:[IVA]])</f>
        <v>3394.4753772000004</v>
      </c>
      <c r="W243" s="2">
        <v>1.4800000000000001E-2</v>
      </c>
      <c r="X243" s="2">
        <v>8.4501000000000007E-2</v>
      </c>
      <c r="Y243">
        <v>0.03</v>
      </c>
      <c r="Z243">
        <v>0.13</v>
      </c>
      <c r="AA243" s="20">
        <f>Table3[[#This Row],[APS]]*Table3[[#This Row],[PrimaComercial Anual]]</f>
        <v>67.82544</v>
      </c>
      <c r="AB243" s="8">
        <f>Table3[[#This Row],[PrimaComercial Anual]]*Table3[[#This Row],[Recargo adicional]]</f>
        <v>387.25118280000004</v>
      </c>
      <c r="AC243" s="8">
        <f>Table3[[#This Row],[PrimaComercial Anual]]*Table3[[#This Row],[IT]]</f>
        <v>137.48400000000001</v>
      </c>
      <c r="AD243" s="8">
        <f>Table3[[#This Row],[PrimaComercial Anual]]*Table3[[#This Row],[IVA]]</f>
        <v>595.76400000000001</v>
      </c>
      <c r="AE243" s="15">
        <f>Table3[[#This Row],[PrimaComercial Anual Asistencia]]</f>
        <v>4582.8</v>
      </c>
      <c r="AG243">
        <v>4582.8</v>
      </c>
    </row>
    <row r="244" spans="1:33" x14ac:dyDescent="0.25">
      <c r="A244" t="s">
        <v>17</v>
      </c>
      <c r="B244">
        <v>140000</v>
      </c>
      <c r="C244">
        <v>11</v>
      </c>
      <c r="D244" s="2">
        <f>Table3[[#This Row],[PrimaTécnica]]-Table3[[#This Row],[PrimaTécnica]]*SUM(Table3[[#This Row],[Gastos Adm]:[Cobranza]])</f>
        <v>1961.0160193728002</v>
      </c>
      <c r="E244">
        <v>0</v>
      </c>
      <c r="F244">
        <v>0.15</v>
      </c>
      <c r="G244">
        <v>0.05</v>
      </c>
      <c r="H244">
        <v>0.01</v>
      </c>
      <c r="I244">
        <v>0.01</v>
      </c>
      <c r="J244" s="8">
        <f>Table3[[#This Row],[PrimaTécnica]]*Table3[[#This Row],[Gastos Adm]]</f>
        <v>377.11846526400001</v>
      </c>
      <c r="K244" s="8">
        <f>Table3[[#This Row],[PrimaTécnica]]*Table3[[#This Row],[Utilidad]]</f>
        <v>125.70615508800002</v>
      </c>
      <c r="L244" s="8">
        <f>Table3[[#This Row],[PrimaTécnica]]*Table3[[#This Row],[Marketing]]</f>
        <v>25.141231017600003</v>
      </c>
      <c r="M244" s="8">
        <f>Table3[[#This Row],[PrimaTécnica]]*Table3[[#This Row],[Cobranza]]</f>
        <v>25.141231017600003</v>
      </c>
      <c r="N24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2514.1231017600003</v>
      </c>
      <c r="O244">
        <v>21.84</v>
      </c>
      <c r="P244">
        <v>54.6</v>
      </c>
      <c r="Q244">
        <v>80.64</v>
      </c>
      <c r="R244">
        <v>44.377200000000002</v>
      </c>
      <c r="S244">
        <v>0.2</v>
      </c>
      <c r="T244">
        <v>0.02</v>
      </c>
      <c r="U244" s="8">
        <f>Table3[[#This Row],[PrimaNeta]]*Table3[[#This Row],[Comisión]]</f>
        <v>678.89507544000014</v>
      </c>
      <c r="V244" s="15">
        <f>Table3[[#This Row],[PrimaComercial Anual]]-Table3[[#This Row],[PrimaComercial Anual]]*SUM(Table3[[#This Row],[APS]:[IVA]])</f>
        <v>3394.4753772000004</v>
      </c>
      <c r="W244" s="2">
        <v>1.4800000000000001E-2</v>
      </c>
      <c r="X244" s="2">
        <v>8.4501000000000007E-2</v>
      </c>
      <c r="Y244">
        <v>0.03</v>
      </c>
      <c r="Z244">
        <v>0.13</v>
      </c>
      <c r="AA244" s="20">
        <f>Table3[[#This Row],[APS]]*Table3[[#This Row],[PrimaComercial Anual]]</f>
        <v>67.82544</v>
      </c>
      <c r="AB244" s="8">
        <f>Table3[[#This Row],[PrimaComercial Anual]]*Table3[[#This Row],[Recargo adicional]]</f>
        <v>387.25118280000004</v>
      </c>
      <c r="AC244" s="8">
        <f>Table3[[#This Row],[PrimaComercial Anual]]*Table3[[#This Row],[IT]]</f>
        <v>137.48400000000001</v>
      </c>
      <c r="AD244" s="8">
        <f>Table3[[#This Row],[PrimaComercial Anual]]*Table3[[#This Row],[IVA]]</f>
        <v>595.76400000000001</v>
      </c>
      <c r="AE244" s="15">
        <f>Table3[[#This Row],[PrimaComercial Anual Asistencia]]</f>
        <v>4582.8</v>
      </c>
      <c r="AG244">
        <v>4582.8</v>
      </c>
    </row>
    <row r="245" spans="1:33" x14ac:dyDescent="0.25">
      <c r="A245" t="s">
        <v>17</v>
      </c>
      <c r="B245">
        <v>140000</v>
      </c>
      <c r="C245">
        <v>12</v>
      </c>
      <c r="D245" s="2">
        <f>Table3[[#This Row],[PrimaTécnica]]-Table3[[#This Row],[PrimaTécnica]]*SUM(Table3[[#This Row],[Gastos Adm]:[Cobranza]])</f>
        <v>1961.0160193728002</v>
      </c>
      <c r="E245">
        <v>0</v>
      </c>
      <c r="F245">
        <v>0.15</v>
      </c>
      <c r="G245">
        <v>0.05</v>
      </c>
      <c r="H245">
        <v>0.01</v>
      </c>
      <c r="I245">
        <v>0.01</v>
      </c>
      <c r="J245" s="8">
        <f>Table3[[#This Row],[PrimaTécnica]]*Table3[[#This Row],[Gastos Adm]]</f>
        <v>377.11846526400001</v>
      </c>
      <c r="K245" s="8">
        <f>Table3[[#This Row],[PrimaTécnica]]*Table3[[#This Row],[Utilidad]]</f>
        <v>125.70615508800002</v>
      </c>
      <c r="L245" s="8">
        <f>Table3[[#This Row],[PrimaTécnica]]*Table3[[#This Row],[Marketing]]</f>
        <v>25.141231017600003</v>
      </c>
      <c r="M245" s="8">
        <f>Table3[[#This Row],[PrimaTécnica]]*Table3[[#This Row],[Cobranza]]</f>
        <v>25.141231017600003</v>
      </c>
      <c r="N24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2514.1231017600003</v>
      </c>
      <c r="O245">
        <v>21.84</v>
      </c>
      <c r="P245">
        <v>54.6</v>
      </c>
      <c r="Q245">
        <v>80.64</v>
      </c>
      <c r="R245">
        <v>44.377200000000002</v>
      </c>
      <c r="S245">
        <v>0.2</v>
      </c>
      <c r="T245">
        <v>0.02</v>
      </c>
      <c r="U245" s="8">
        <f>Table3[[#This Row],[PrimaNeta]]*Table3[[#This Row],[Comisión]]</f>
        <v>678.89507544000014</v>
      </c>
      <c r="V245" s="15">
        <f>Table3[[#This Row],[PrimaComercial Anual]]-Table3[[#This Row],[PrimaComercial Anual]]*SUM(Table3[[#This Row],[APS]:[IVA]])</f>
        <v>3394.4753772000004</v>
      </c>
      <c r="W245" s="2">
        <v>1.4800000000000001E-2</v>
      </c>
      <c r="X245" s="2">
        <v>8.4501000000000007E-2</v>
      </c>
      <c r="Y245">
        <v>0.03</v>
      </c>
      <c r="Z245">
        <v>0.13</v>
      </c>
      <c r="AA245" s="20">
        <f>Table3[[#This Row],[APS]]*Table3[[#This Row],[PrimaComercial Anual]]</f>
        <v>67.82544</v>
      </c>
      <c r="AB245" s="8">
        <f>Table3[[#This Row],[PrimaComercial Anual]]*Table3[[#This Row],[Recargo adicional]]</f>
        <v>387.25118280000004</v>
      </c>
      <c r="AC245" s="8">
        <f>Table3[[#This Row],[PrimaComercial Anual]]*Table3[[#This Row],[IT]]</f>
        <v>137.48400000000001</v>
      </c>
      <c r="AD245" s="8">
        <f>Table3[[#This Row],[PrimaComercial Anual]]*Table3[[#This Row],[IVA]]</f>
        <v>595.76400000000001</v>
      </c>
      <c r="AE245" s="15">
        <f>Table3[[#This Row],[PrimaComercial Anual Asistencia]]</f>
        <v>4582.8</v>
      </c>
      <c r="AG245">
        <v>4582.8</v>
      </c>
    </row>
    <row r="246" spans="1:33" x14ac:dyDescent="0.25">
      <c r="A246" t="s">
        <v>17</v>
      </c>
      <c r="B246">
        <v>140000</v>
      </c>
      <c r="C246">
        <v>13</v>
      </c>
      <c r="D246" s="2">
        <f>Table3[[#This Row],[PrimaTécnica]]-Table3[[#This Row],[PrimaTécnica]]*SUM(Table3[[#This Row],[Gastos Adm]:[Cobranza]])</f>
        <v>1961.0160193728002</v>
      </c>
      <c r="E246">
        <v>0</v>
      </c>
      <c r="F246">
        <v>0.15</v>
      </c>
      <c r="G246">
        <v>0.05</v>
      </c>
      <c r="H246">
        <v>0.01</v>
      </c>
      <c r="I246">
        <v>0.01</v>
      </c>
      <c r="J246" s="8">
        <f>Table3[[#This Row],[PrimaTécnica]]*Table3[[#This Row],[Gastos Adm]]</f>
        <v>377.11846526400001</v>
      </c>
      <c r="K246" s="8">
        <f>Table3[[#This Row],[PrimaTécnica]]*Table3[[#This Row],[Utilidad]]</f>
        <v>125.70615508800002</v>
      </c>
      <c r="L246" s="8">
        <f>Table3[[#This Row],[PrimaTécnica]]*Table3[[#This Row],[Marketing]]</f>
        <v>25.141231017600003</v>
      </c>
      <c r="M246" s="8">
        <f>Table3[[#This Row],[PrimaTécnica]]*Table3[[#This Row],[Cobranza]]</f>
        <v>25.141231017600003</v>
      </c>
      <c r="N24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2514.1231017600003</v>
      </c>
      <c r="O246">
        <v>21.84</v>
      </c>
      <c r="P246">
        <v>54.6</v>
      </c>
      <c r="Q246">
        <v>80.64</v>
      </c>
      <c r="R246">
        <v>44.377200000000002</v>
      </c>
      <c r="S246">
        <v>0.2</v>
      </c>
      <c r="T246">
        <v>0.02</v>
      </c>
      <c r="U246" s="8">
        <f>Table3[[#This Row],[PrimaNeta]]*Table3[[#This Row],[Comisión]]</f>
        <v>678.89507544000014</v>
      </c>
      <c r="V246" s="15">
        <f>Table3[[#This Row],[PrimaComercial Anual]]-Table3[[#This Row],[PrimaComercial Anual]]*SUM(Table3[[#This Row],[APS]:[IVA]])</f>
        <v>3394.4753772000004</v>
      </c>
      <c r="W246" s="2">
        <v>1.4800000000000001E-2</v>
      </c>
      <c r="X246" s="2">
        <v>8.4501000000000007E-2</v>
      </c>
      <c r="Y246">
        <v>0.03</v>
      </c>
      <c r="Z246">
        <v>0.13</v>
      </c>
      <c r="AA246" s="20">
        <f>Table3[[#This Row],[APS]]*Table3[[#This Row],[PrimaComercial Anual]]</f>
        <v>67.82544</v>
      </c>
      <c r="AB246" s="8">
        <f>Table3[[#This Row],[PrimaComercial Anual]]*Table3[[#This Row],[Recargo adicional]]</f>
        <v>387.25118280000004</v>
      </c>
      <c r="AC246" s="8">
        <f>Table3[[#This Row],[PrimaComercial Anual]]*Table3[[#This Row],[IT]]</f>
        <v>137.48400000000001</v>
      </c>
      <c r="AD246" s="8">
        <f>Table3[[#This Row],[PrimaComercial Anual]]*Table3[[#This Row],[IVA]]</f>
        <v>595.76400000000001</v>
      </c>
      <c r="AE246" s="15">
        <f>Table3[[#This Row],[PrimaComercial Anual Asistencia]]</f>
        <v>4582.8</v>
      </c>
      <c r="AG246">
        <v>4582.8</v>
      </c>
    </row>
    <row r="247" spans="1:33" x14ac:dyDescent="0.25">
      <c r="A247" t="s">
        <v>17</v>
      </c>
      <c r="B247">
        <v>140000</v>
      </c>
      <c r="C247">
        <v>14</v>
      </c>
      <c r="D247" s="2">
        <f>Table3[[#This Row],[PrimaTécnica]]-Table3[[#This Row],[PrimaTécnica]]*SUM(Table3[[#This Row],[Gastos Adm]:[Cobranza]])</f>
        <v>1961.0160193728002</v>
      </c>
      <c r="E247">
        <v>0</v>
      </c>
      <c r="F247">
        <v>0.15</v>
      </c>
      <c r="G247">
        <v>0.05</v>
      </c>
      <c r="H247">
        <v>0.01</v>
      </c>
      <c r="I247">
        <v>0.01</v>
      </c>
      <c r="J247" s="8">
        <f>Table3[[#This Row],[PrimaTécnica]]*Table3[[#This Row],[Gastos Adm]]</f>
        <v>377.11846526400001</v>
      </c>
      <c r="K247" s="8">
        <f>Table3[[#This Row],[PrimaTécnica]]*Table3[[#This Row],[Utilidad]]</f>
        <v>125.70615508800002</v>
      </c>
      <c r="L247" s="8">
        <f>Table3[[#This Row],[PrimaTécnica]]*Table3[[#This Row],[Marketing]]</f>
        <v>25.141231017600003</v>
      </c>
      <c r="M247" s="8">
        <f>Table3[[#This Row],[PrimaTécnica]]*Table3[[#This Row],[Cobranza]]</f>
        <v>25.141231017600003</v>
      </c>
      <c r="N24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2514.1231017600003</v>
      </c>
      <c r="O247">
        <v>21.84</v>
      </c>
      <c r="P247">
        <v>54.6</v>
      </c>
      <c r="Q247">
        <v>80.64</v>
      </c>
      <c r="R247">
        <v>44.377200000000002</v>
      </c>
      <c r="S247">
        <v>0.2</v>
      </c>
      <c r="T247">
        <v>0.02</v>
      </c>
      <c r="U247" s="8">
        <f>Table3[[#This Row],[PrimaNeta]]*Table3[[#This Row],[Comisión]]</f>
        <v>678.89507544000014</v>
      </c>
      <c r="V247" s="15">
        <f>Table3[[#This Row],[PrimaComercial Anual]]-Table3[[#This Row],[PrimaComercial Anual]]*SUM(Table3[[#This Row],[APS]:[IVA]])</f>
        <v>3394.4753772000004</v>
      </c>
      <c r="W247" s="2">
        <v>1.4800000000000001E-2</v>
      </c>
      <c r="X247" s="2">
        <v>8.4501000000000007E-2</v>
      </c>
      <c r="Y247">
        <v>0.03</v>
      </c>
      <c r="Z247">
        <v>0.13</v>
      </c>
      <c r="AA247" s="20">
        <f>Table3[[#This Row],[APS]]*Table3[[#This Row],[PrimaComercial Anual]]</f>
        <v>67.82544</v>
      </c>
      <c r="AB247" s="8">
        <f>Table3[[#This Row],[PrimaComercial Anual]]*Table3[[#This Row],[Recargo adicional]]</f>
        <v>387.25118280000004</v>
      </c>
      <c r="AC247" s="8">
        <f>Table3[[#This Row],[PrimaComercial Anual]]*Table3[[#This Row],[IT]]</f>
        <v>137.48400000000001</v>
      </c>
      <c r="AD247" s="8">
        <f>Table3[[#This Row],[PrimaComercial Anual]]*Table3[[#This Row],[IVA]]</f>
        <v>595.76400000000001</v>
      </c>
      <c r="AE247" s="15">
        <f>Table3[[#This Row],[PrimaComercial Anual Asistencia]]</f>
        <v>4582.8</v>
      </c>
      <c r="AG247">
        <v>4582.8</v>
      </c>
    </row>
    <row r="248" spans="1:33" x14ac:dyDescent="0.25">
      <c r="A248" t="s">
        <v>17</v>
      </c>
      <c r="B248">
        <v>140000</v>
      </c>
      <c r="C248">
        <v>15</v>
      </c>
      <c r="D248" s="2">
        <f>Table3[[#This Row],[PrimaTécnica]]-Table3[[#This Row],[PrimaTécnica]]*SUM(Table3[[#This Row],[Gastos Adm]:[Cobranza]])</f>
        <v>1961.0160193728002</v>
      </c>
      <c r="E248">
        <v>0</v>
      </c>
      <c r="F248">
        <v>0.15</v>
      </c>
      <c r="G248">
        <v>0.05</v>
      </c>
      <c r="H248">
        <v>0.01</v>
      </c>
      <c r="I248">
        <v>0.01</v>
      </c>
      <c r="J248" s="8">
        <f>Table3[[#This Row],[PrimaTécnica]]*Table3[[#This Row],[Gastos Adm]]</f>
        <v>377.11846526400001</v>
      </c>
      <c r="K248" s="8">
        <f>Table3[[#This Row],[PrimaTécnica]]*Table3[[#This Row],[Utilidad]]</f>
        <v>125.70615508800002</v>
      </c>
      <c r="L248" s="8">
        <f>Table3[[#This Row],[PrimaTécnica]]*Table3[[#This Row],[Marketing]]</f>
        <v>25.141231017600003</v>
      </c>
      <c r="M248" s="8">
        <f>Table3[[#This Row],[PrimaTécnica]]*Table3[[#This Row],[Cobranza]]</f>
        <v>25.141231017600003</v>
      </c>
      <c r="N24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2514.1231017600003</v>
      </c>
      <c r="O248">
        <v>21.84</v>
      </c>
      <c r="P248">
        <v>54.6</v>
      </c>
      <c r="Q248">
        <v>80.64</v>
      </c>
      <c r="R248">
        <v>44.377200000000002</v>
      </c>
      <c r="S248">
        <v>0.2</v>
      </c>
      <c r="T248">
        <v>0.02</v>
      </c>
      <c r="U248" s="8">
        <f>Table3[[#This Row],[PrimaNeta]]*Table3[[#This Row],[Comisión]]</f>
        <v>678.89507544000014</v>
      </c>
      <c r="V248" s="15">
        <f>Table3[[#This Row],[PrimaComercial Anual]]-Table3[[#This Row],[PrimaComercial Anual]]*SUM(Table3[[#This Row],[APS]:[IVA]])</f>
        <v>3394.4753772000004</v>
      </c>
      <c r="W248" s="2">
        <v>1.4800000000000001E-2</v>
      </c>
      <c r="X248" s="2">
        <v>8.4501000000000007E-2</v>
      </c>
      <c r="Y248">
        <v>0.03</v>
      </c>
      <c r="Z248">
        <v>0.13</v>
      </c>
      <c r="AA248" s="20">
        <f>Table3[[#This Row],[APS]]*Table3[[#This Row],[PrimaComercial Anual]]</f>
        <v>67.82544</v>
      </c>
      <c r="AB248" s="8">
        <f>Table3[[#This Row],[PrimaComercial Anual]]*Table3[[#This Row],[Recargo adicional]]</f>
        <v>387.25118280000004</v>
      </c>
      <c r="AC248" s="8">
        <f>Table3[[#This Row],[PrimaComercial Anual]]*Table3[[#This Row],[IT]]</f>
        <v>137.48400000000001</v>
      </c>
      <c r="AD248" s="8">
        <f>Table3[[#This Row],[PrimaComercial Anual]]*Table3[[#This Row],[IVA]]</f>
        <v>595.76400000000001</v>
      </c>
      <c r="AE248" s="15">
        <f>Table3[[#This Row],[PrimaComercial Anual Asistencia]]</f>
        <v>4582.8</v>
      </c>
      <c r="AG248">
        <v>4582.8</v>
      </c>
    </row>
    <row r="249" spans="1:33" x14ac:dyDescent="0.25">
      <c r="A249" t="s">
        <v>17</v>
      </c>
      <c r="B249">
        <v>140000</v>
      </c>
      <c r="C249">
        <v>16</v>
      </c>
      <c r="D249" s="2">
        <f>Table3[[#This Row],[PrimaTécnica]]-Table3[[#This Row],[PrimaTécnica]]*SUM(Table3[[#This Row],[Gastos Adm]:[Cobranza]])</f>
        <v>1961.0160193728002</v>
      </c>
      <c r="E249">
        <v>0</v>
      </c>
      <c r="F249">
        <v>0.15</v>
      </c>
      <c r="G249">
        <v>0.05</v>
      </c>
      <c r="H249">
        <v>0.01</v>
      </c>
      <c r="I249">
        <v>0.01</v>
      </c>
      <c r="J249" s="8">
        <f>Table3[[#This Row],[PrimaTécnica]]*Table3[[#This Row],[Gastos Adm]]</f>
        <v>377.11846526400001</v>
      </c>
      <c r="K249" s="8">
        <f>Table3[[#This Row],[PrimaTécnica]]*Table3[[#This Row],[Utilidad]]</f>
        <v>125.70615508800002</v>
      </c>
      <c r="L249" s="8">
        <f>Table3[[#This Row],[PrimaTécnica]]*Table3[[#This Row],[Marketing]]</f>
        <v>25.141231017600003</v>
      </c>
      <c r="M249" s="8">
        <f>Table3[[#This Row],[PrimaTécnica]]*Table3[[#This Row],[Cobranza]]</f>
        <v>25.141231017600003</v>
      </c>
      <c r="N24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2514.1231017600003</v>
      </c>
      <c r="O249">
        <v>21.84</v>
      </c>
      <c r="P249">
        <v>54.6</v>
      </c>
      <c r="Q249">
        <v>80.64</v>
      </c>
      <c r="R249">
        <v>44.377200000000002</v>
      </c>
      <c r="S249">
        <v>0.2</v>
      </c>
      <c r="T249">
        <v>0.02</v>
      </c>
      <c r="U249" s="8">
        <f>Table3[[#This Row],[PrimaNeta]]*Table3[[#This Row],[Comisión]]</f>
        <v>678.89507544000014</v>
      </c>
      <c r="V249" s="15">
        <f>Table3[[#This Row],[PrimaComercial Anual]]-Table3[[#This Row],[PrimaComercial Anual]]*SUM(Table3[[#This Row],[APS]:[IVA]])</f>
        <v>3394.4753772000004</v>
      </c>
      <c r="W249" s="2">
        <v>1.4800000000000001E-2</v>
      </c>
      <c r="X249" s="2">
        <v>8.4501000000000007E-2</v>
      </c>
      <c r="Y249">
        <v>0.03</v>
      </c>
      <c r="Z249">
        <v>0.13</v>
      </c>
      <c r="AA249" s="20">
        <f>Table3[[#This Row],[APS]]*Table3[[#This Row],[PrimaComercial Anual]]</f>
        <v>67.82544</v>
      </c>
      <c r="AB249" s="8">
        <f>Table3[[#This Row],[PrimaComercial Anual]]*Table3[[#This Row],[Recargo adicional]]</f>
        <v>387.25118280000004</v>
      </c>
      <c r="AC249" s="8">
        <f>Table3[[#This Row],[PrimaComercial Anual]]*Table3[[#This Row],[IT]]</f>
        <v>137.48400000000001</v>
      </c>
      <c r="AD249" s="8">
        <f>Table3[[#This Row],[PrimaComercial Anual]]*Table3[[#This Row],[IVA]]</f>
        <v>595.76400000000001</v>
      </c>
      <c r="AE249" s="15">
        <f>Table3[[#This Row],[PrimaComercial Anual Asistencia]]</f>
        <v>4582.8</v>
      </c>
      <c r="AG249">
        <v>4582.8</v>
      </c>
    </row>
    <row r="250" spans="1:33" x14ac:dyDescent="0.25">
      <c r="A250" t="s">
        <v>17</v>
      </c>
      <c r="B250">
        <v>140000</v>
      </c>
      <c r="C250">
        <v>17</v>
      </c>
      <c r="D250" s="2">
        <f>Table3[[#This Row],[PrimaTécnica]]-Table3[[#This Row],[PrimaTécnica]]*SUM(Table3[[#This Row],[Gastos Adm]:[Cobranza]])</f>
        <v>1961.0160193728002</v>
      </c>
      <c r="E250">
        <v>0</v>
      </c>
      <c r="F250">
        <v>0.15</v>
      </c>
      <c r="G250">
        <v>0.05</v>
      </c>
      <c r="H250">
        <v>0.01</v>
      </c>
      <c r="I250">
        <v>0.01</v>
      </c>
      <c r="J250" s="8">
        <f>Table3[[#This Row],[PrimaTécnica]]*Table3[[#This Row],[Gastos Adm]]</f>
        <v>377.11846526400001</v>
      </c>
      <c r="K250" s="8">
        <f>Table3[[#This Row],[PrimaTécnica]]*Table3[[#This Row],[Utilidad]]</f>
        <v>125.70615508800002</v>
      </c>
      <c r="L250" s="8">
        <f>Table3[[#This Row],[PrimaTécnica]]*Table3[[#This Row],[Marketing]]</f>
        <v>25.141231017600003</v>
      </c>
      <c r="M250" s="8">
        <f>Table3[[#This Row],[PrimaTécnica]]*Table3[[#This Row],[Cobranza]]</f>
        <v>25.141231017600003</v>
      </c>
      <c r="N25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2514.1231017600003</v>
      </c>
      <c r="O250">
        <v>21.84</v>
      </c>
      <c r="P250">
        <v>54.6</v>
      </c>
      <c r="Q250">
        <v>80.64</v>
      </c>
      <c r="R250">
        <v>44.377200000000002</v>
      </c>
      <c r="S250">
        <v>0.2</v>
      </c>
      <c r="T250">
        <v>0.02</v>
      </c>
      <c r="U250" s="8">
        <f>Table3[[#This Row],[PrimaNeta]]*Table3[[#This Row],[Comisión]]</f>
        <v>678.89507544000014</v>
      </c>
      <c r="V250" s="15">
        <f>Table3[[#This Row],[PrimaComercial Anual]]-Table3[[#This Row],[PrimaComercial Anual]]*SUM(Table3[[#This Row],[APS]:[IVA]])</f>
        <v>3394.4753772000004</v>
      </c>
      <c r="W250" s="2">
        <v>1.4800000000000001E-2</v>
      </c>
      <c r="X250" s="2">
        <v>8.4501000000000007E-2</v>
      </c>
      <c r="Y250">
        <v>0.03</v>
      </c>
      <c r="Z250">
        <v>0.13</v>
      </c>
      <c r="AA250" s="20">
        <f>Table3[[#This Row],[APS]]*Table3[[#This Row],[PrimaComercial Anual]]</f>
        <v>67.82544</v>
      </c>
      <c r="AB250" s="8">
        <f>Table3[[#This Row],[PrimaComercial Anual]]*Table3[[#This Row],[Recargo adicional]]</f>
        <v>387.25118280000004</v>
      </c>
      <c r="AC250" s="8">
        <f>Table3[[#This Row],[PrimaComercial Anual]]*Table3[[#This Row],[IT]]</f>
        <v>137.48400000000001</v>
      </c>
      <c r="AD250" s="8">
        <f>Table3[[#This Row],[PrimaComercial Anual]]*Table3[[#This Row],[IVA]]</f>
        <v>595.76400000000001</v>
      </c>
      <c r="AE250" s="15">
        <f>Table3[[#This Row],[PrimaComercial Anual Asistencia]]</f>
        <v>4582.8</v>
      </c>
      <c r="AG250">
        <v>4582.8</v>
      </c>
    </row>
    <row r="251" spans="1:33" x14ac:dyDescent="0.25">
      <c r="A251" t="s">
        <v>17</v>
      </c>
      <c r="B251">
        <v>140000</v>
      </c>
      <c r="C251">
        <v>18</v>
      </c>
      <c r="D251" s="2">
        <f>Table3[[#This Row],[PrimaTécnica]]-Table3[[#This Row],[PrimaTécnica]]*SUM(Table3[[#This Row],[Gastos Adm]:[Cobranza]])</f>
        <v>1961.0160193728002</v>
      </c>
      <c r="E251">
        <v>0</v>
      </c>
      <c r="F251">
        <v>0.15</v>
      </c>
      <c r="G251">
        <v>0.05</v>
      </c>
      <c r="H251">
        <v>0.01</v>
      </c>
      <c r="I251">
        <v>0.01</v>
      </c>
      <c r="J251" s="8">
        <f>Table3[[#This Row],[PrimaTécnica]]*Table3[[#This Row],[Gastos Adm]]</f>
        <v>377.11846526400001</v>
      </c>
      <c r="K251" s="8">
        <f>Table3[[#This Row],[PrimaTécnica]]*Table3[[#This Row],[Utilidad]]</f>
        <v>125.70615508800002</v>
      </c>
      <c r="L251" s="8">
        <f>Table3[[#This Row],[PrimaTécnica]]*Table3[[#This Row],[Marketing]]</f>
        <v>25.141231017600003</v>
      </c>
      <c r="M251" s="8">
        <f>Table3[[#This Row],[PrimaTécnica]]*Table3[[#This Row],[Cobranza]]</f>
        <v>25.141231017600003</v>
      </c>
      <c r="N25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2514.1231017600003</v>
      </c>
      <c r="O251">
        <v>21.84</v>
      </c>
      <c r="P251">
        <v>54.6</v>
      </c>
      <c r="Q251">
        <v>80.64</v>
      </c>
      <c r="R251">
        <v>44.377200000000002</v>
      </c>
      <c r="S251">
        <v>0.2</v>
      </c>
      <c r="T251">
        <v>0.02</v>
      </c>
      <c r="U251" s="8">
        <f>Table3[[#This Row],[PrimaNeta]]*Table3[[#This Row],[Comisión]]</f>
        <v>678.89507544000014</v>
      </c>
      <c r="V251" s="15">
        <f>Table3[[#This Row],[PrimaComercial Anual]]-Table3[[#This Row],[PrimaComercial Anual]]*SUM(Table3[[#This Row],[APS]:[IVA]])</f>
        <v>3394.4753772000004</v>
      </c>
      <c r="W251" s="2">
        <v>1.4800000000000001E-2</v>
      </c>
      <c r="X251" s="2">
        <v>8.4501000000000007E-2</v>
      </c>
      <c r="Y251">
        <v>0.03</v>
      </c>
      <c r="Z251">
        <v>0.13</v>
      </c>
      <c r="AA251" s="20">
        <f>Table3[[#This Row],[APS]]*Table3[[#This Row],[PrimaComercial Anual]]</f>
        <v>67.82544</v>
      </c>
      <c r="AB251" s="8">
        <f>Table3[[#This Row],[PrimaComercial Anual]]*Table3[[#This Row],[Recargo adicional]]</f>
        <v>387.25118280000004</v>
      </c>
      <c r="AC251" s="8">
        <f>Table3[[#This Row],[PrimaComercial Anual]]*Table3[[#This Row],[IT]]</f>
        <v>137.48400000000001</v>
      </c>
      <c r="AD251" s="8">
        <f>Table3[[#This Row],[PrimaComercial Anual]]*Table3[[#This Row],[IVA]]</f>
        <v>595.76400000000001</v>
      </c>
      <c r="AE251" s="15">
        <f>Table3[[#This Row],[PrimaComercial Anual Asistencia]]</f>
        <v>4582.8</v>
      </c>
      <c r="AG251">
        <v>4582.8</v>
      </c>
    </row>
    <row r="252" spans="1:33" x14ac:dyDescent="0.25">
      <c r="A252" t="s">
        <v>17</v>
      </c>
      <c r="B252">
        <v>140000</v>
      </c>
      <c r="C252">
        <v>19</v>
      </c>
      <c r="D252" s="2">
        <f>Table3[[#This Row],[PrimaTécnica]]-Table3[[#This Row],[PrimaTécnica]]*SUM(Table3[[#This Row],[Gastos Adm]:[Cobranza]])</f>
        <v>1850.3662548383995</v>
      </c>
      <c r="E252">
        <v>0</v>
      </c>
      <c r="F252">
        <v>0.15</v>
      </c>
      <c r="G252">
        <v>0.05</v>
      </c>
      <c r="H252">
        <v>0.01</v>
      </c>
      <c r="I252">
        <v>0.01</v>
      </c>
      <c r="J252" s="8">
        <f>Table3[[#This Row],[PrimaTécnica]]*Table3[[#This Row],[Gastos Adm]]</f>
        <v>355.83966439199992</v>
      </c>
      <c r="K252" s="8">
        <f>Table3[[#This Row],[PrimaTécnica]]*Table3[[#This Row],[Utilidad]]</f>
        <v>118.61322146399999</v>
      </c>
      <c r="L252" s="8">
        <f>Table3[[#This Row],[PrimaTécnica]]*Table3[[#This Row],[Marketing]]</f>
        <v>23.722644292799995</v>
      </c>
      <c r="M252" s="8">
        <f>Table3[[#This Row],[PrimaTécnica]]*Table3[[#This Row],[Cobranza]]</f>
        <v>23.722644292799995</v>
      </c>
      <c r="N25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2372.2644292799996</v>
      </c>
      <c r="O252">
        <v>21.84</v>
      </c>
      <c r="P252">
        <v>54.6</v>
      </c>
      <c r="Q252">
        <v>80.64</v>
      </c>
      <c r="R252">
        <v>44.377200000000002</v>
      </c>
      <c r="S252">
        <v>0.2</v>
      </c>
      <c r="T252">
        <v>0.02</v>
      </c>
      <c r="U252" s="8">
        <f>Table3[[#This Row],[PrimaNeta]]*Table3[[#This Row],[Comisión]]</f>
        <v>643.43040731999997</v>
      </c>
      <c r="V252" s="15">
        <f>Table3[[#This Row],[PrimaComercial Anual]]-Table3[[#This Row],[PrimaComercial Anual]]*SUM(Table3[[#This Row],[APS]:[IVA]])</f>
        <v>3217.1520365999995</v>
      </c>
      <c r="W252" s="2">
        <v>1.4800000000000001E-2</v>
      </c>
      <c r="X252" s="2">
        <v>8.4501000000000007E-2</v>
      </c>
      <c r="Y252">
        <v>0.03</v>
      </c>
      <c r="Z252">
        <v>0.13</v>
      </c>
      <c r="AA252" s="20">
        <f>Table3[[#This Row],[APS]]*Table3[[#This Row],[PrimaComercial Anual]]</f>
        <v>64.282319999999999</v>
      </c>
      <c r="AB252" s="8">
        <f>Table3[[#This Row],[PrimaComercial Anual]]*Table3[[#This Row],[Recargo adicional]]</f>
        <v>367.02164340000002</v>
      </c>
      <c r="AC252" s="8">
        <f>Table3[[#This Row],[PrimaComercial Anual]]*Table3[[#This Row],[IT]]</f>
        <v>130.30199999999999</v>
      </c>
      <c r="AD252" s="8">
        <f>Table3[[#This Row],[PrimaComercial Anual]]*Table3[[#This Row],[IVA]]</f>
        <v>564.64199999999994</v>
      </c>
      <c r="AE252" s="15">
        <f>Table3[[#This Row],[PrimaComercial Anual Asistencia]]</f>
        <v>4343.3999999999996</v>
      </c>
      <c r="AG252">
        <v>4343.3999999999996</v>
      </c>
    </row>
    <row r="253" spans="1:33" x14ac:dyDescent="0.25">
      <c r="A253" t="s">
        <v>17</v>
      </c>
      <c r="B253">
        <v>140000</v>
      </c>
      <c r="C253">
        <v>20</v>
      </c>
      <c r="D253" s="2">
        <f>Table3[[#This Row],[PrimaTécnica]]-Table3[[#This Row],[PrimaTécnica]]*SUM(Table3[[#This Row],[Gastos Adm]:[Cobranza]])</f>
        <v>1850.3662548383995</v>
      </c>
      <c r="E253">
        <v>0</v>
      </c>
      <c r="F253">
        <v>0.15</v>
      </c>
      <c r="G253">
        <v>0.05</v>
      </c>
      <c r="H253">
        <v>0.01</v>
      </c>
      <c r="I253">
        <v>0.01</v>
      </c>
      <c r="J253" s="8">
        <f>Table3[[#This Row],[PrimaTécnica]]*Table3[[#This Row],[Gastos Adm]]</f>
        <v>355.83966439199992</v>
      </c>
      <c r="K253" s="8">
        <f>Table3[[#This Row],[PrimaTécnica]]*Table3[[#This Row],[Utilidad]]</f>
        <v>118.61322146399999</v>
      </c>
      <c r="L253" s="8">
        <f>Table3[[#This Row],[PrimaTécnica]]*Table3[[#This Row],[Marketing]]</f>
        <v>23.722644292799995</v>
      </c>
      <c r="M253" s="8">
        <f>Table3[[#This Row],[PrimaTécnica]]*Table3[[#This Row],[Cobranza]]</f>
        <v>23.722644292799995</v>
      </c>
      <c r="N25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2372.2644292799996</v>
      </c>
      <c r="O253">
        <v>21.84</v>
      </c>
      <c r="P253">
        <v>54.6</v>
      </c>
      <c r="Q253">
        <v>80.64</v>
      </c>
      <c r="R253">
        <v>44.377200000000002</v>
      </c>
      <c r="S253">
        <v>0.2</v>
      </c>
      <c r="T253">
        <v>0.02</v>
      </c>
      <c r="U253" s="8">
        <f>Table3[[#This Row],[PrimaNeta]]*Table3[[#This Row],[Comisión]]</f>
        <v>643.43040731999997</v>
      </c>
      <c r="V253" s="15">
        <f>Table3[[#This Row],[PrimaComercial Anual]]-Table3[[#This Row],[PrimaComercial Anual]]*SUM(Table3[[#This Row],[APS]:[IVA]])</f>
        <v>3217.1520365999995</v>
      </c>
      <c r="W253" s="2">
        <v>1.4800000000000001E-2</v>
      </c>
      <c r="X253" s="2">
        <v>8.4501000000000007E-2</v>
      </c>
      <c r="Y253">
        <v>0.03</v>
      </c>
      <c r="Z253">
        <v>0.13</v>
      </c>
      <c r="AA253" s="20">
        <f>Table3[[#This Row],[APS]]*Table3[[#This Row],[PrimaComercial Anual]]</f>
        <v>64.282319999999999</v>
      </c>
      <c r="AB253" s="8">
        <f>Table3[[#This Row],[PrimaComercial Anual]]*Table3[[#This Row],[Recargo adicional]]</f>
        <v>367.02164340000002</v>
      </c>
      <c r="AC253" s="8">
        <f>Table3[[#This Row],[PrimaComercial Anual]]*Table3[[#This Row],[IT]]</f>
        <v>130.30199999999999</v>
      </c>
      <c r="AD253" s="8">
        <f>Table3[[#This Row],[PrimaComercial Anual]]*Table3[[#This Row],[IVA]]</f>
        <v>564.64199999999994</v>
      </c>
      <c r="AE253" s="15">
        <f>Table3[[#This Row],[PrimaComercial Anual Asistencia]]</f>
        <v>4343.3999999999996</v>
      </c>
      <c r="AG253">
        <v>4343.3999999999996</v>
      </c>
    </row>
    <row r="254" spans="1:33" x14ac:dyDescent="0.25">
      <c r="A254" t="s">
        <v>17</v>
      </c>
      <c r="B254">
        <v>140000</v>
      </c>
      <c r="C254">
        <v>21</v>
      </c>
      <c r="D254" s="2">
        <f>Table3[[#This Row],[PrimaTécnica]]-Table3[[#This Row],[PrimaTécnica]]*SUM(Table3[[#This Row],[Gastos Adm]:[Cobranza]])</f>
        <v>1850.3662548383995</v>
      </c>
      <c r="E254">
        <v>0</v>
      </c>
      <c r="F254">
        <v>0.15</v>
      </c>
      <c r="G254">
        <v>0.05</v>
      </c>
      <c r="H254">
        <v>0.01</v>
      </c>
      <c r="I254">
        <v>0.01</v>
      </c>
      <c r="J254" s="8">
        <f>Table3[[#This Row],[PrimaTécnica]]*Table3[[#This Row],[Gastos Adm]]</f>
        <v>355.83966439199992</v>
      </c>
      <c r="K254" s="8">
        <f>Table3[[#This Row],[PrimaTécnica]]*Table3[[#This Row],[Utilidad]]</f>
        <v>118.61322146399999</v>
      </c>
      <c r="L254" s="8">
        <f>Table3[[#This Row],[PrimaTécnica]]*Table3[[#This Row],[Marketing]]</f>
        <v>23.722644292799995</v>
      </c>
      <c r="M254" s="8">
        <f>Table3[[#This Row],[PrimaTécnica]]*Table3[[#This Row],[Cobranza]]</f>
        <v>23.722644292799995</v>
      </c>
      <c r="N25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2372.2644292799996</v>
      </c>
      <c r="O254">
        <v>21.84</v>
      </c>
      <c r="P254">
        <v>54.6</v>
      </c>
      <c r="Q254">
        <v>80.64</v>
      </c>
      <c r="R254">
        <v>44.377200000000002</v>
      </c>
      <c r="S254">
        <v>0.2</v>
      </c>
      <c r="T254">
        <v>0.02</v>
      </c>
      <c r="U254" s="8">
        <f>Table3[[#This Row],[PrimaNeta]]*Table3[[#This Row],[Comisión]]</f>
        <v>643.43040731999997</v>
      </c>
      <c r="V254" s="15">
        <f>Table3[[#This Row],[PrimaComercial Anual]]-Table3[[#This Row],[PrimaComercial Anual]]*SUM(Table3[[#This Row],[APS]:[IVA]])</f>
        <v>3217.1520365999995</v>
      </c>
      <c r="W254" s="2">
        <v>1.4800000000000001E-2</v>
      </c>
      <c r="X254" s="2">
        <v>8.4501000000000007E-2</v>
      </c>
      <c r="Y254">
        <v>0.03</v>
      </c>
      <c r="Z254">
        <v>0.13</v>
      </c>
      <c r="AA254" s="20">
        <f>Table3[[#This Row],[APS]]*Table3[[#This Row],[PrimaComercial Anual]]</f>
        <v>64.282319999999999</v>
      </c>
      <c r="AB254" s="8">
        <f>Table3[[#This Row],[PrimaComercial Anual]]*Table3[[#This Row],[Recargo adicional]]</f>
        <v>367.02164340000002</v>
      </c>
      <c r="AC254" s="8">
        <f>Table3[[#This Row],[PrimaComercial Anual]]*Table3[[#This Row],[IT]]</f>
        <v>130.30199999999999</v>
      </c>
      <c r="AD254" s="8">
        <f>Table3[[#This Row],[PrimaComercial Anual]]*Table3[[#This Row],[IVA]]</f>
        <v>564.64199999999994</v>
      </c>
      <c r="AE254" s="15">
        <f>Table3[[#This Row],[PrimaComercial Anual Asistencia]]</f>
        <v>4343.3999999999996</v>
      </c>
      <c r="AG254">
        <v>4343.3999999999996</v>
      </c>
    </row>
    <row r="255" spans="1:33" x14ac:dyDescent="0.25">
      <c r="A255" t="s">
        <v>17</v>
      </c>
      <c r="B255">
        <v>140000</v>
      </c>
      <c r="C255">
        <v>22</v>
      </c>
      <c r="D255" s="2">
        <f>Table3[[#This Row],[PrimaTécnica]]-Table3[[#This Row],[PrimaTécnica]]*SUM(Table3[[#This Row],[Gastos Adm]:[Cobranza]])</f>
        <v>1850.3662548383995</v>
      </c>
      <c r="E255">
        <v>0</v>
      </c>
      <c r="F255">
        <v>0.15</v>
      </c>
      <c r="G255">
        <v>0.05</v>
      </c>
      <c r="H255">
        <v>0.01</v>
      </c>
      <c r="I255">
        <v>0.01</v>
      </c>
      <c r="J255" s="8">
        <f>Table3[[#This Row],[PrimaTécnica]]*Table3[[#This Row],[Gastos Adm]]</f>
        <v>355.83966439199992</v>
      </c>
      <c r="K255" s="8">
        <f>Table3[[#This Row],[PrimaTécnica]]*Table3[[#This Row],[Utilidad]]</f>
        <v>118.61322146399999</v>
      </c>
      <c r="L255" s="8">
        <f>Table3[[#This Row],[PrimaTécnica]]*Table3[[#This Row],[Marketing]]</f>
        <v>23.722644292799995</v>
      </c>
      <c r="M255" s="8">
        <f>Table3[[#This Row],[PrimaTécnica]]*Table3[[#This Row],[Cobranza]]</f>
        <v>23.722644292799995</v>
      </c>
      <c r="N25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2372.2644292799996</v>
      </c>
      <c r="O255">
        <v>21.84</v>
      </c>
      <c r="P255">
        <v>54.6</v>
      </c>
      <c r="Q255">
        <v>80.64</v>
      </c>
      <c r="R255">
        <v>44.377200000000002</v>
      </c>
      <c r="S255">
        <v>0.2</v>
      </c>
      <c r="T255">
        <v>0.02</v>
      </c>
      <c r="U255" s="8">
        <f>Table3[[#This Row],[PrimaNeta]]*Table3[[#This Row],[Comisión]]</f>
        <v>643.43040731999997</v>
      </c>
      <c r="V255" s="15">
        <f>Table3[[#This Row],[PrimaComercial Anual]]-Table3[[#This Row],[PrimaComercial Anual]]*SUM(Table3[[#This Row],[APS]:[IVA]])</f>
        <v>3217.1520365999995</v>
      </c>
      <c r="W255" s="2">
        <v>1.4800000000000001E-2</v>
      </c>
      <c r="X255" s="2">
        <v>8.4501000000000007E-2</v>
      </c>
      <c r="Y255">
        <v>0.03</v>
      </c>
      <c r="Z255">
        <v>0.13</v>
      </c>
      <c r="AA255" s="20">
        <f>Table3[[#This Row],[APS]]*Table3[[#This Row],[PrimaComercial Anual]]</f>
        <v>64.282319999999999</v>
      </c>
      <c r="AB255" s="8">
        <f>Table3[[#This Row],[PrimaComercial Anual]]*Table3[[#This Row],[Recargo adicional]]</f>
        <v>367.02164340000002</v>
      </c>
      <c r="AC255" s="8">
        <f>Table3[[#This Row],[PrimaComercial Anual]]*Table3[[#This Row],[IT]]</f>
        <v>130.30199999999999</v>
      </c>
      <c r="AD255" s="8">
        <f>Table3[[#This Row],[PrimaComercial Anual]]*Table3[[#This Row],[IVA]]</f>
        <v>564.64199999999994</v>
      </c>
      <c r="AE255" s="15">
        <f>Table3[[#This Row],[PrimaComercial Anual Asistencia]]</f>
        <v>4343.3999999999996</v>
      </c>
      <c r="AG255">
        <v>4343.3999999999996</v>
      </c>
    </row>
    <row r="256" spans="1:33" x14ac:dyDescent="0.25">
      <c r="A256" t="s">
        <v>17</v>
      </c>
      <c r="B256">
        <v>140000</v>
      </c>
      <c r="C256">
        <v>23</v>
      </c>
      <c r="D256" s="2">
        <f>Table3[[#This Row],[PrimaTécnica]]-Table3[[#This Row],[PrimaTécnica]]*SUM(Table3[[#This Row],[Gastos Adm]:[Cobranza]])</f>
        <v>1850.3662548383995</v>
      </c>
      <c r="E256">
        <v>0</v>
      </c>
      <c r="F256">
        <v>0.15</v>
      </c>
      <c r="G256">
        <v>0.05</v>
      </c>
      <c r="H256">
        <v>0.01</v>
      </c>
      <c r="I256">
        <v>0.01</v>
      </c>
      <c r="J256" s="8">
        <f>Table3[[#This Row],[PrimaTécnica]]*Table3[[#This Row],[Gastos Adm]]</f>
        <v>355.83966439199992</v>
      </c>
      <c r="K256" s="8">
        <f>Table3[[#This Row],[PrimaTécnica]]*Table3[[#This Row],[Utilidad]]</f>
        <v>118.61322146399999</v>
      </c>
      <c r="L256" s="8">
        <f>Table3[[#This Row],[PrimaTécnica]]*Table3[[#This Row],[Marketing]]</f>
        <v>23.722644292799995</v>
      </c>
      <c r="M256" s="8">
        <f>Table3[[#This Row],[PrimaTécnica]]*Table3[[#This Row],[Cobranza]]</f>
        <v>23.722644292799995</v>
      </c>
      <c r="N25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2372.2644292799996</v>
      </c>
      <c r="O256">
        <v>21.84</v>
      </c>
      <c r="P256">
        <v>54.6</v>
      </c>
      <c r="Q256">
        <v>80.64</v>
      </c>
      <c r="R256">
        <v>44.377200000000002</v>
      </c>
      <c r="S256">
        <v>0.2</v>
      </c>
      <c r="T256">
        <v>0.02</v>
      </c>
      <c r="U256" s="8">
        <f>Table3[[#This Row],[PrimaNeta]]*Table3[[#This Row],[Comisión]]</f>
        <v>643.43040731999997</v>
      </c>
      <c r="V256" s="15">
        <f>Table3[[#This Row],[PrimaComercial Anual]]-Table3[[#This Row],[PrimaComercial Anual]]*SUM(Table3[[#This Row],[APS]:[IVA]])</f>
        <v>3217.1520365999995</v>
      </c>
      <c r="W256" s="2">
        <v>1.4800000000000001E-2</v>
      </c>
      <c r="X256" s="2">
        <v>8.4501000000000007E-2</v>
      </c>
      <c r="Y256">
        <v>0.03</v>
      </c>
      <c r="Z256">
        <v>0.13</v>
      </c>
      <c r="AA256" s="20">
        <f>Table3[[#This Row],[APS]]*Table3[[#This Row],[PrimaComercial Anual]]</f>
        <v>64.282319999999999</v>
      </c>
      <c r="AB256" s="8">
        <f>Table3[[#This Row],[PrimaComercial Anual]]*Table3[[#This Row],[Recargo adicional]]</f>
        <v>367.02164340000002</v>
      </c>
      <c r="AC256" s="8">
        <f>Table3[[#This Row],[PrimaComercial Anual]]*Table3[[#This Row],[IT]]</f>
        <v>130.30199999999999</v>
      </c>
      <c r="AD256" s="8">
        <f>Table3[[#This Row],[PrimaComercial Anual]]*Table3[[#This Row],[IVA]]</f>
        <v>564.64199999999994</v>
      </c>
      <c r="AE256" s="15">
        <f>Table3[[#This Row],[PrimaComercial Anual Asistencia]]</f>
        <v>4343.3999999999996</v>
      </c>
      <c r="AG256">
        <v>4343.3999999999996</v>
      </c>
    </row>
    <row r="257" spans="1:33" x14ac:dyDescent="0.25">
      <c r="A257" t="s">
        <v>17</v>
      </c>
      <c r="B257">
        <v>140000</v>
      </c>
      <c r="C257">
        <v>24</v>
      </c>
      <c r="D257" s="2">
        <f>Table3[[#This Row],[PrimaTécnica]]-Table3[[#This Row],[PrimaTécnica]]*SUM(Table3[[#This Row],[Gastos Adm]:[Cobranza]])</f>
        <v>1850.3662548383995</v>
      </c>
      <c r="E257">
        <v>0</v>
      </c>
      <c r="F257">
        <v>0.15</v>
      </c>
      <c r="G257">
        <v>0.05</v>
      </c>
      <c r="H257">
        <v>0.01</v>
      </c>
      <c r="I257">
        <v>0.01</v>
      </c>
      <c r="J257" s="8">
        <f>Table3[[#This Row],[PrimaTécnica]]*Table3[[#This Row],[Gastos Adm]]</f>
        <v>355.83966439199992</v>
      </c>
      <c r="K257" s="8">
        <f>Table3[[#This Row],[PrimaTécnica]]*Table3[[#This Row],[Utilidad]]</f>
        <v>118.61322146399999</v>
      </c>
      <c r="L257" s="8">
        <f>Table3[[#This Row],[PrimaTécnica]]*Table3[[#This Row],[Marketing]]</f>
        <v>23.722644292799995</v>
      </c>
      <c r="M257" s="8">
        <f>Table3[[#This Row],[PrimaTécnica]]*Table3[[#This Row],[Cobranza]]</f>
        <v>23.722644292799995</v>
      </c>
      <c r="N25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2372.2644292799996</v>
      </c>
      <c r="O257">
        <v>21.84</v>
      </c>
      <c r="P257">
        <v>54.6</v>
      </c>
      <c r="Q257">
        <v>80.64</v>
      </c>
      <c r="R257">
        <v>44.377200000000002</v>
      </c>
      <c r="S257">
        <v>0.2</v>
      </c>
      <c r="T257">
        <v>0.02</v>
      </c>
      <c r="U257" s="8">
        <f>Table3[[#This Row],[PrimaNeta]]*Table3[[#This Row],[Comisión]]</f>
        <v>643.43040731999997</v>
      </c>
      <c r="V257" s="15">
        <f>Table3[[#This Row],[PrimaComercial Anual]]-Table3[[#This Row],[PrimaComercial Anual]]*SUM(Table3[[#This Row],[APS]:[IVA]])</f>
        <v>3217.1520365999995</v>
      </c>
      <c r="W257" s="2">
        <v>1.4800000000000001E-2</v>
      </c>
      <c r="X257" s="2">
        <v>8.4501000000000007E-2</v>
      </c>
      <c r="Y257">
        <v>0.03</v>
      </c>
      <c r="Z257">
        <v>0.13</v>
      </c>
      <c r="AA257" s="20">
        <f>Table3[[#This Row],[APS]]*Table3[[#This Row],[PrimaComercial Anual]]</f>
        <v>64.282319999999999</v>
      </c>
      <c r="AB257" s="8">
        <f>Table3[[#This Row],[PrimaComercial Anual]]*Table3[[#This Row],[Recargo adicional]]</f>
        <v>367.02164340000002</v>
      </c>
      <c r="AC257" s="8">
        <f>Table3[[#This Row],[PrimaComercial Anual]]*Table3[[#This Row],[IT]]</f>
        <v>130.30199999999999</v>
      </c>
      <c r="AD257" s="8">
        <f>Table3[[#This Row],[PrimaComercial Anual]]*Table3[[#This Row],[IVA]]</f>
        <v>564.64199999999994</v>
      </c>
      <c r="AE257" s="15">
        <f>Table3[[#This Row],[PrimaComercial Anual Asistencia]]</f>
        <v>4343.3999999999996</v>
      </c>
      <c r="AG257">
        <v>4343.3999999999996</v>
      </c>
    </row>
    <row r="258" spans="1:33" x14ac:dyDescent="0.25">
      <c r="A258" t="s">
        <v>17</v>
      </c>
      <c r="B258">
        <v>140000</v>
      </c>
      <c r="C258">
        <v>25</v>
      </c>
      <c r="D258" s="2">
        <f>Table3[[#This Row],[PrimaTécnica]]-Table3[[#This Row],[PrimaTécnica]]*SUM(Table3[[#This Row],[Gastos Adm]:[Cobranza]])</f>
        <v>1850.3662548383995</v>
      </c>
      <c r="E258">
        <v>0</v>
      </c>
      <c r="F258">
        <v>0.15</v>
      </c>
      <c r="G258">
        <v>0.05</v>
      </c>
      <c r="H258">
        <v>0.01</v>
      </c>
      <c r="I258">
        <v>0.01</v>
      </c>
      <c r="J258" s="8">
        <f>Table3[[#This Row],[PrimaTécnica]]*Table3[[#This Row],[Gastos Adm]]</f>
        <v>355.83966439199992</v>
      </c>
      <c r="K258" s="8">
        <f>Table3[[#This Row],[PrimaTécnica]]*Table3[[#This Row],[Utilidad]]</f>
        <v>118.61322146399999</v>
      </c>
      <c r="L258" s="8">
        <f>Table3[[#This Row],[PrimaTécnica]]*Table3[[#This Row],[Marketing]]</f>
        <v>23.722644292799995</v>
      </c>
      <c r="M258" s="8">
        <f>Table3[[#This Row],[PrimaTécnica]]*Table3[[#This Row],[Cobranza]]</f>
        <v>23.722644292799995</v>
      </c>
      <c r="N25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2372.2644292799996</v>
      </c>
      <c r="O258">
        <v>21.84</v>
      </c>
      <c r="P258">
        <v>54.6</v>
      </c>
      <c r="Q258">
        <v>80.64</v>
      </c>
      <c r="R258">
        <v>44.377200000000002</v>
      </c>
      <c r="S258">
        <v>0.2</v>
      </c>
      <c r="T258">
        <v>0.02</v>
      </c>
      <c r="U258" s="8">
        <f>Table3[[#This Row],[PrimaNeta]]*Table3[[#This Row],[Comisión]]</f>
        <v>643.43040731999997</v>
      </c>
      <c r="V258" s="15">
        <f>Table3[[#This Row],[PrimaComercial Anual]]-Table3[[#This Row],[PrimaComercial Anual]]*SUM(Table3[[#This Row],[APS]:[IVA]])</f>
        <v>3217.1520365999995</v>
      </c>
      <c r="W258" s="2">
        <v>1.4800000000000001E-2</v>
      </c>
      <c r="X258" s="2">
        <v>8.4501000000000007E-2</v>
      </c>
      <c r="Y258">
        <v>0.03</v>
      </c>
      <c r="Z258">
        <v>0.13</v>
      </c>
      <c r="AA258" s="20">
        <f>Table3[[#This Row],[APS]]*Table3[[#This Row],[PrimaComercial Anual]]</f>
        <v>64.282319999999999</v>
      </c>
      <c r="AB258" s="8">
        <f>Table3[[#This Row],[PrimaComercial Anual]]*Table3[[#This Row],[Recargo adicional]]</f>
        <v>367.02164340000002</v>
      </c>
      <c r="AC258" s="8">
        <f>Table3[[#This Row],[PrimaComercial Anual]]*Table3[[#This Row],[IT]]</f>
        <v>130.30199999999999</v>
      </c>
      <c r="AD258" s="8">
        <f>Table3[[#This Row],[PrimaComercial Anual]]*Table3[[#This Row],[IVA]]</f>
        <v>564.64199999999994</v>
      </c>
      <c r="AE258" s="15">
        <f>Table3[[#This Row],[PrimaComercial Anual Asistencia]]</f>
        <v>4343.3999999999996</v>
      </c>
      <c r="AG258">
        <v>4343.3999999999996</v>
      </c>
    </row>
    <row r="259" spans="1:33" x14ac:dyDescent="0.25">
      <c r="A259" t="s">
        <v>17</v>
      </c>
      <c r="B259">
        <v>140000</v>
      </c>
      <c r="C259">
        <v>26</v>
      </c>
      <c r="D259" s="2">
        <f>Table3[[#This Row],[PrimaTécnica]]-Table3[[#This Row],[PrimaTécnica]]*SUM(Table3[[#This Row],[Gastos Adm]:[Cobranza]])</f>
        <v>1850.3662548383995</v>
      </c>
      <c r="E259">
        <v>0</v>
      </c>
      <c r="F259">
        <v>0.15</v>
      </c>
      <c r="G259">
        <v>0.05</v>
      </c>
      <c r="H259">
        <v>0.01</v>
      </c>
      <c r="I259">
        <v>0.01</v>
      </c>
      <c r="J259" s="8">
        <f>Table3[[#This Row],[PrimaTécnica]]*Table3[[#This Row],[Gastos Adm]]</f>
        <v>355.83966439199992</v>
      </c>
      <c r="K259" s="8">
        <f>Table3[[#This Row],[PrimaTécnica]]*Table3[[#This Row],[Utilidad]]</f>
        <v>118.61322146399999</v>
      </c>
      <c r="L259" s="8">
        <f>Table3[[#This Row],[PrimaTécnica]]*Table3[[#This Row],[Marketing]]</f>
        <v>23.722644292799995</v>
      </c>
      <c r="M259" s="8">
        <f>Table3[[#This Row],[PrimaTécnica]]*Table3[[#This Row],[Cobranza]]</f>
        <v>23.722644292799995</v>
      </c>
      <c r="N25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2372.2644292799996</v>
      </c>
      <c r="O259">
        <v>21.84</v>
      </c>
      <c r="P259">
        <v>54.6</v>
      </c>
      <c r="Q259">
        <v>80.64</v>
      </c>
      <c r="R259">
        <v>44.377200000000002</v>
      </c>
      <c r="S259">
        <v>0.2</v>
      </c>
      <c r="T259">
        <v>0.02</v>
      </c>
      <c r="U259" s="8">
        <f>Table3[[#This Row],[PrimaNeta]]*Table3[[#This Row],[Comisión]]</f>
        <v>643.43040731999997</v>
      </c>
      <c r="V259" s="15">
        <f>Table3[[#This Row],[PrimaComercial Anual]]-Table3[[#This Row],[PrimaComercial Anual]]*SUM(Table3[[#This Row],[APS]:[IVA]])</f>
        <v>3217.1520365999995</v>
      </c>
      <c r="W259" s="2">
        <v>1.4800000000000001E-2</v>
      </c>
      <c r="X259" s="2">
        <v>8.4501000000000007E-2</v>
      </c>
      <c r="Y259">
        <v>0.03</v>
      </c>
      <c r="Z259">
        <v>0.13</v>
      </c>
      <c r="AA259" s="20">
        <f>Table3[[#This Row],[APS]]*Table3[[#This Row],[PrimaComercial Anual]]</f>
        <v>64.282319999999999</v>
      </c>
      <c r="AB259" s="8">
        <f>Table3[[#This Row],[PrimaComercial Anual]]*Table3[[#This Row],[Recargo adicional]]</f>
        <v>367.02164340000002</v>
      </c>
      <c r="AC259" s="8">
        <f>Table3[[#This Row],[PrimaComercial Anual]]*Table3[[#This Row],[IT]]</f>
        <v>130.30199999999999</v>
      </c>
      <c r="AD259" s="8">
        <f>Table3[[#This Row],[PrimaComercial Anual]]*Table3[[#This Row],[IVA]]</f>
        <v>564.64199999999994</v>
      </c>
      <c r="AE259" s="15">
        <f>Table3[[#This Row],[PrimaComercial Anual Asistencia]]</f>
        <v>4343.3999999999996</v>
      </c>
      <c r="AG259">
        <v>4343.3999999999996</v>
      </c>
    </row>
    <row r="260" spans="1:33" x14ac:dyDescent="0.25">
      <c r="A260" t="s">
        <v>17</v>
      </c>
      <c r="B260">
        <v>140000</v>
      </c>
      <c r="C260">
        <v>27</v>
      </c>
      <c r="D260" s="2">
        <f>Table3[[#This Row],[PrimaTécnica]]-Table3[[#This Row],[PrimaTécnica]]*SUM(Table3[[#This Row],[Gastos Adm]:[Cobranza]])</f>
        <v>1850.3662548383995</v>
      </c>
      <c r="E260">
        <v>0</v>
      </c>
      <c r="F260">
        <v>0.15</v>
      </c>
      <c r="G260">
        <v>0.05</v>
      </c>
      <c r="H260">
        <v>0.01</v>
      </c>
      <c r="I260">
        <v>0.01</v>
      </c>
      <c r="J260" s="8">
        <f>Table3[[#This Row],[PrimaTécnica]]*Table3[[#This Row],[Gastos Adm]]</f>
        <v>355.83966439199992</v>
      </c>
      <c r="K260" s="8">
        <f>Table3[[#This Row],[PrimaTécnica]]*Table3[[#This Row],[Utilidad]]</f>
        <v>118.61322146399999</v>
      </c>
      <c r="L260" s="8">
        <f>Table3[[#This Row],[PrimaTécnica]]*Table3[[#This Row],[Marketing]]</f>
        <v>23.722644292799995</v>
      </c>
      <c r="M260" s="8">
        <f>Table3[[#This Row],[PrimaTécnica]]*Table3[[#This Row],[Cobranza]]</f>
        <v>23.722644292799995</v>
      </c>
      <c r="N26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2372.2644292799996</v>
      </c>
      <c r="O260">
        <v>21.84</v>
      </c>
      <c r="P260">
        <v>54.6</v>
      </c>
      <c r="Q260">
        <v>80.64</v>
      </c>
      <c r="R260">
        <v>44.377200000000002</v>
      </c>
      <c r="S260">
        <v>0.2</v>
      </c>
      <c r="T260">
        <v>0.02</v>
      </c>
      <c r="U260" s="8">
        <f>Table3[[#This Row],[PrimaNeta]]*Table3[[#This Row],[Comisión]]</f>
        <v>643.43040731999997</v>
      </c>
      <c r="V260" s="15">
        <f>Table3[[#This Row],[PrimaComercial Anual]]-Table3[[#This Row],[PrimaComercial Anual]]*SUM(Table3[[#This Row],[APS]:[IVA]])</f>
        <v>3217.1520365999995</v>
      </c>
      <c r="W260" s="2">
        <v>1.4800000000000001E-2</v>
      </c>
      <c r="X260" s="2">
        <v>8.4501000000000007E-2</v>
      </c>
      <c r="Y260">
        <v>0.03</v>
      </c>
      <c r="Z260">
        <v>0.13</v>
      </c>
      <c r="AA260" s="20">
        <f>Table3[[#This Row],[APS]]*Table3[[#This Row],[PrimaComercial Anual]]</f>
        <v>64.282319999999999</v>
      </c>
      <c r="AB260" s="8">
        <f>Table3[[#This Row],[PrimaComercial Anual]]*Table3[[#This Row],[Recargo adicional]]</f>
        <v>367.02164340000002</v>
      </c>
      <c r="AC260" s="8">
        <f>Table3[[#This Row],[PrimaComercial Anual]]*Table3[[#This Row],[IT]]</f>
        <v>130.30199999999999</v>
      </c>
      <c r="AD260" s="8">
        <f>Table3[[#This Row],[PrimaComercial Anual]]*Table3[[#This Row],[IVA]]</f>
        <v>564.64199999999994</v>
      </c>
      <c r="AE260" s="15">
        <f>Table3[[#This Row],[PrimaComercial Anual Asistencia]]</f>
        <v>4343.3999999999996</v>
      </c>
      <c r="AG260">
        <v>4343.3999999999996</v>
      </c>
    </row>
    <row r="261" spans="1:33" x14ac:dyDescent="0.25">
      <c r="A261" t="s">
        <v>17</v>
      </c>
      <c r="B261">
        <v>140000</v>
      </c>
      <c r="C261">
        <v>28</v>
      </c>
      <c r="D261" s="2">
        <f>Table3[[#This Row],[PrimaTécnica]]-Table3[[#This Row],[PrimaTécnica]]*SUM(Table3[[#This Row],[Gastos Adm]:[Cobranza]])</f>
        <v>1850.3662548383995</v>
      </c>
      <c r="E261">
        <v>0</v>
      </c>
      <c r="F261">
        <v>0.15</v>
      </c>
      <c r="G261">
        <v>0.05</v>
      </c>
      <c r="H261">
        <v>0.01</v>
      </c>
      <c r="I261">
        <v>0.01</v>
      </c>
      <c r="J261" s="8">
        <f>Table3[[#This Row],[PrimaTécnica]]*Table3[[#This Row],[Gastos Adm]]</f>
        <v>355.83966439199992</v>
      </c>
      <c r="K261" s="8">
        <f>Table3[[#This Row],[PrimaTécnica]]*Table3[[#This Row],[Utilidad]]</f>
        <v>118.61322146399999</v>
      </c>
      <c r="L261" s="8">
        <f>Table3[[#This Row],[PrimaTécnica]]*Table3[[#This Row],[Marketing]]</f>
        <v>23.722644292799995</v>
      </c>
      <c r="M261" s="8">
        <f>Table3[[#This Row],[PrimaTécnica]]*Table3[[#This Row],[Cobranza]]</f>
        <v>23.722644292799995</v>
      </c>
      <c r="N26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2372.2644292799996</v>
      </c>
      <c r="O261">
        <v>21.84</v>
      </c>
      <c r="P261">
        <v>54.6</v>
      </c>
      <c r="Q261">
        <v>80.64</v>
      </c>
      <c r="R261">
        <v>44.377200000000002</v>
      </c>
      <c r="S261">
        <v>0.2</v>
      </c>
      <c r="T261">
        <v>0.02</v>
      </c>
      <c r="U261" s="8">
        <f>Table3[[#This Row],[PrimaNeta]]*Table3[[#This Row],[Comisión]]</f>
        <v>643.43040731999997</v>
      </c>
      <c r="V261" s="15">
        <f>Table3[[#This Row],[PrimaComercial Anual]]-Table3[[#This Row],[PrimaComercial Anual]]*SUM(Table3[[#This Row],[APS]:[IVA]])</f>
        <v>3217.1520365999995</v>
      </c>
      <c r="W261" s="2">
        <v>1.4800000000000001E-2</v>
      </c>
      <c r="X261" s="2">
        <v>8.4501000000000007E-2</v>
      </c>
      <c r="Y261">
        <v>0.03</v>
      </c>
      <c r="Z261">
        <v>0.13</v>
      </c>
      <c r="AA261" s="20">
        <f>Table3[[#This Row],[APS]]*Table3[[#This Row],[PrimaComercial Anual]]</f>
        <v>64.282319999999999</v>
      </c>
      <c r="AB261" s="8">
        <f>Table3[[#This Row],[PrimaComercial Anual]]*Table3[[#This Row],[Recargo adicional]]</f>
        <v>367.02164340000002</v>
      </c>
      <c r="AC261" s="8">
        <f>Table3[[#This Row],[PrimaComercial Anual]]*Table3[[#This Row],[IT]]</f>
        <v>130.30199999999999</v>
      </c>
      <c r="AD261" s="8">
        <f>Table3[[#This Row],[PrimaComercial Anual]]*Table3[[#This Row],[IVA]]</f>
        <v>564.64199999999994</v>
      </c>
      <c r="AE261" s="15">
        <f>Table3[[#This Row],[PrimaComercial Anual Asistencia]]</f>
        <v>4343.3999999999996</v>
      </c>
      <c r="AG261">
        <v>4343.3999999999996</v>
      </c>
    </row>
    <row r="262" spans="1:33" x14ac:dyDescent="0.25">
      <c r="A262" t="s">
        <v>17</v>
      </c>
      <c r="B262">
        <v>140000</v>
      </c>
      <c r="C262">
        <v>29</v>
      </c>
      <c r="D262" s="2">
        <f>Table3[[#This Row],[PrimaTécnica]]-Table3[[#This Row],[PrimaTécnica]]*SUM(Table3[[#This Row],[Gastos Adm]:[Cobranza]])</f>
        <v>1850.3662548383995</v>
      </c>
      <c r="E262">
        <v>0</v>
      </c>
      <c r="F262">
        <v>0.15</v>
      </c>
      <c r="G262">
        <v>0.05</v>
      </c>
      <c r="H262">
        <v>0.01</v>
      </c>
      <c r="I262">
        <v>0.01</v>
      </c>
      <c r="J262" s="8">
        <f>Table3[[#This Row],[PrimaTécnica]]*Table3[[#This Row],[Gastos Adm]]</f>
        <v>355.83966439199992</v>
      </c>
      <c r="K262" s="8">
        <f>Table3[[#This Row],[PrimaTécnica]]*Table3[[#This Row],[Utilidad]]</f>
        <v>118.61322146399999</v>
      </c>
      <c r="L262" s="8">
        <f>Table3[[#This Row],[PrimaTécnica]]*Table3[[#This Row],[Marketing]]</f>
        <v>23.722644292799995</v>
      </c>
      <c r="M262" s="8">
        <f>Table3[[#This Row],[PrimaTécnica]]*Table3[[#This Row],[Cobranza]]</f>
        <v>23.722644292799995</v>
      </c>
      <c r="N26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2372.2644292799996</v>
      </c>
      <c r="O262">
        <v>21.84</v>
      </c>
      <c r="P262">
        <v>54.6</v>
      </c>
      <c r="Q262">
        <v>80.64</v>
      </c>
      <c r="R262">
        <v>44.377200000000002</v>
      </c>
      <c r="S262">
        <v>0.2</v>
      </c>
      <c r="T262">
        <v>0.02</v>
      </c>
      <c r="U262" s="8">
        <f>Table3[[#This Row],[PrimaNeta]]*Table3[[#This Row],[Comisión]]</f>
        <v>643.43040731999997</v>
      </c>
      <c r="V262" s="15">
        <f>Table3[[#This Row],[PrimaComercial Anual]]-Table3[[#This Row],[PrimaComercial Anual]]*SUM(Table3[[#This Row],[APS]:[IVA]])</f>
        <v>3217.1520365999995</v>
      </c>
      <c r="W262" s="2">
        <v>1.4800000000000001E-2</v>
      </c>
      <c r="X262" s="2">
        <v>8.4501000000000007E-2</v>
      </c>
      <c r="Y262">
        <v>0.03</v>
      </c>
      <c r="Z262">
        <v>0.13</v>
      </c>
      <c r="AA262" s="20">
        <f>Table3[[#This Row],[APS]]*Table3[[#This Row],[PrimaComercial Anual]]</f>
        <v>64.282319999999999</v>
      </c>
      <c r="AB262" s="8">
        <f>Table3[[#This Row],[PrimaComercial Anual]]*Table3[[#This Row],[Recargo adicional]]</f>
        <v>367.02164340000002</v>
      </c>
      <c r="AC262" s="8">
        <f>Table3[[#This Row],[PrimaComercial Anual]]*Table3[[#This Row],[IT]]</f>
        <v>130.30199999999999</v>
      </c>
      <c r="AD262" s="8">
        <f>Table3[[#This Row],[PrimaComercial Anual]]*Table3[[#This Row],[IVA]]</f>
        <v>564.64199999999994</v>
      </c>
      <c r="AE262" s="15">
        <f>Table3[[#This Row],[PrimaComercial Anual Asistencia]]</f>
        <v>4343.3999999999996</v>
      </c>
      <c r="AG262">
        <v>4343.3999999999996</v>
      </c>
    </row>
    <row r="263" spans="1:33" x14ac:dyDescent="0.25">
      <c r="A263" t="s">
        <v>17</v>
      </c>
      <c r="B263">
        <v>140000</v>
      </c>
      <c r="C263">
        <v>30</v>
      </c>
      <c r="D263" s="2">
        <f>Table3[[#This Row],[PrimaTécnica]]-Table3[[#This Row],[PrimaTécnica]]*SUM(Table3[[#This Row],[Gastos Adm]:[Cobranza]])</f>
        <v>1997.8992742176001</v>
      </c>
      <c r="E263">
        <v>0</v>
      </c>
      <c r="F263">
        <v>0.15</v>
      </c>
      <c r="G263">
        <v>0.05</v>
      </c>
      <c r="H263">
        <v>0.01</v>
      </c>
      <c r="I263">
        <v>0.01</v>
      </c>
      <c r="J263" s="8">
        <f>Table3[[#This Row],[PrimaTécnica]]*Table3[[#This Row],[Gastos Adm]]</f>
        <v>384.21139888800002</v>
      </c>
      <c r="K263" s="8">
        <f>Table3[[#This Row],[PrimaTécnica]]*Table3[[#This Row],[Utilidad]]</f>
        <v>128.07046629600003</v>
      </c>
      <c r="L263" s="8">
        <f>Table3[[#This Row],[PrimaTécnica]]*Table3[[#This Row],[Marketing]]</f>
        <v>25.614093259200004</v>
      </c>
      <c r="M263" s="8">
        <f>Table3[[#This Row],[PrimaTécnica]]*Table3[[#This Row],[Cobranza]]</f>
        <v>25.614093259200004</v>
      </c>
      <c r="N26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263">
        <v>21.84</v>
      </c>
      <c r="P263">
        <v>54.6</v>
      </c>
      <c r="Q263">
        <v>80.64</v>
      </c>
      <c r="R263">
        <v>44.377200000000002</v>
      </c>
      <c r="S263">
        <v>0.2</v>
      </c>
      <c r="T263">
        <v>0.02</v>
      </c>
      <c r="U263" s="8">
        <f>Table3[[#This Row],[PrimaNeta]]*Table3[[#This Row],[Comisión]]</f>
        <v>690.71663148000016</v>
      </c>
      <c r="V263" s="15">
        <f>Table3[[#This Row],[PrimaComercial Anual]]-Table3[[#This Row],[PrimaComercial Anual]]*SUM(Table3[[#This Row],[APS]:[IVA]])</f>
        <v>3453.5831574000003</v>
      </c>
      <c r="W263" s="2">
        <v>1.4800000000000001E-2</v>
      </c>
      <c r="X263" s="2">
        <v>8.4501000000000007E-2</v>
      </c>
      <c r="Y263">
        <v>0.03</v>
      </c>
      <c r="Z263">
        <v>0.13</v>
      </c>
      <c r="AA263" s="20">
        <f>Table3[[#This Row],[APS]]*Table3[[#This Row],[PrimaComercial Anual]]</f>
        <v>69.00648000000001</v>
      </c>
      <c r="AB263" s="8">
        <f>Table3[[#This Row],[PrimaComercial Anual]]*Table3[[#This Row],[Recargo adicional]]</f>
        <v>393.99436260000004</v>
      </c>
      <c r="AC263" s="8">
        <f>Table3[[#This Row],[PrimaComercial Anual]]*Table3[[#This Row],[IT]]</f>
        <v>139.87800000000001</v>
      </c>
      <c r="AD263" s="8">
        <f>Table3[[#This Row],[PrimaComercial Anual]]*Table3[[#This Row],[IVA]]</f>
        <v>606.13800000000003</v>
      </c>
      <c r="AE263" s="15">
        <f>Table3[[#This Row],[PrimaComercial Anual Asistencia]]</f>
        <v>4662.6000000000004</v>
      </c>
      <c r="AG263">
        <v>4662.6000000000004</v>
      </c>
    </row>
    <row r="264" spans="1:33" x14ac:dyDescent="0.25">
      <c r="A264" t="s">
        <v>17</v>
      </c>
      <c r="B264">
        <v>140000</v>
      </c>
      <c r="C264">
        <v>31</v>
      </c>
      <c r="D264" s="2">
        <f>Table3[[#This Row],[PrimaTécnica]]-Table3[[#This Row],[PrimaTécnica]]*SUM(Table3[[#This Row],[Gastos Adm]:[Cobranza]])</f>
        <v>1997.8992742176001</v>
      </c>
      <c r="E264">
        <v>0</v>
      </c>
      <c r="F264">
        <v>0.15</v>
      </c>
      <c r="G264">
        <v>0.05</v>
      </c>
      <c r="H264">
        <v>0.01</v>
      </c>
      <c r="I264">
        <v>0.01</v>
      </c>
      <c r="J264" s="8">
        <f>Table3[[#This Row],[PrimaTécnica]]*Table3[[#This Row],[Gastos Adm]]</f>
        <v>384.21139888800002</v>
      </c>
      <c r="K264" s="8">
        <f>Table3[[#This Row],[PrimaTécnica]]*Table3[[#This Row],[Utilidad]]</f>
        <v>128.07046629600003</v>
      </c>
      <c r="L264" s="8">
        <f>Table3[[#This Row],[PrimaTécnica]]*Table3[[#This Row],[Marketing]]</f>
        <v>25.614093259200004</v>
      </c>
      <c r="M264" s="8">
        <f>Table3[[#This Row],[PrimaTécnica]]*Table3[[#This Row],[Cobranza]]</f>
        <v>25.614093259200004</v>
      </c>
      <c r="N26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264">
        <v>21.84</v>
      </c>
      <c r="P264">
        <v>54.6</v>
      </c>
      <c r="Q264">
        <v>80.64</v>
      </c>
      <c r="R264">
        <v>44.377200000000002</v>
      </c>
      <c r="S264">
        <v>0.2</v>
      </c>
      <c r="T264">
        <v>0.02</v>
      </c>
      <c r="U264" s="8">
        <f>Table3[[#This Row],[PrimaNeta]]*Table3[[#This Row],[Comisión]]</f>
        <v>690.71663148000016</v>
      </c>
      <c r="V264" s="15">
        <f>Table3[[#This Row],[PrimaComercial Anual]]-Table3[[#This Row],[PrimaComercial Anual]]*SUM(Table3[[#This Row],[APS]:[IVA]])</f>
        <v>3453.5831574000003</v>
      </c>
      <c r="W264" s="2">
        <v>1.4800000000000001E-2</v>
      </c>
      <c r="X264" s="2">
        <v>8.4501000000000007E-2</v>
      </c>
      <c r="Y264">
        <v>0.03</v>
      </c>
      <c r="Z264">
        <v>0.13</v>
      </c>
      <c r="AA264" s="20">
        <f>Table3[[#This Row],[APS]]*Table3[[#This Row],[PrimaComercial Anual]]</f>
        <v>69.00648000000001</v>
      </c>
      <c r="AB264" s="8">
        <f>Table3[[#This Row],[PrimaComercial Anual]]*Table3[[#This Row],[Recargo adicional]]</f>
        <v>393.99436260000004</v>
      </c>
      <c r="AC264" s="8">
        <f>Table3[[#This Row],[PrimaComercial Anual]]*Table3[[#This Row],[IT]]</f>
        <v>139.87800000000001</v>
      </c>
      <c r="AD264" s="8">
        <f>Table3[[#This Row],[PrimaComercial Anual]]*Table3[[#This Row],[IVA]]</f>
        <v>606.13800000000003</v>
      </c>
      <c r="AE264" s="15">
        <f>Table3[[#This Row],[PrimaComercial Anual Asistencia]]</f>
        <v>4662.6000000000004</v>
      </c>
      <c r="AG264">
        <v>4662.6000000000004</v>
      </c>
    </row>
    <row r="265" spans="1:33" x14ac:dyDescent="0.25">
      <c r="A265" t="s">
        <v>17</v>
      </c>
      <c r="B265">
        <v>140000</v>
      </c>
      <c r="C265">
        <v>32</v>
      </c>
      <c r="D265" s="2">
        <f>Table3[[#This Row],[PrimaTécnica]]-Table3[[#This Row],[PrimaTécnica]]*SUM(Table3[[#This Row],[Gastos Adm]:[Cobranza]])</f>
        <v>1997.8992742176001</v>
      </c>
      <c r="E265">
        <v>0</v>
      </c>
      <c r="F265">
        <v>0.15</v>
      </c>
      <c r="G265">
        <v>0.05</v>
      </c>
      <c r="H265">
        <v>0.01</v>
      </c>
      <c r="I265">
        <v>0.01</v>
      </c>
      <c r="J265" s="8">
        <f>Table3[[#This Row],[PrimaTécnica]]*Table3[[#This Row],[Gastos Adm]]</f>
        <v>384.21139888800002</v>
      </c>
      <c r="K265" s="8">
        <f>Table3[[#This Row],[PrimaTécnica]]*Table3[[#This Row],[Utilidad]]</f>
        <v>128.07046629600003</v>
      </c>
      <c r="L265" s="8">
        <f>Table3[[#This Row],[PrimaTécnica]]*Table3[[#This Row],[Marketing]]</f>
        <v>25.614093259200004</v>
      </c>
      <c r="M265" s="8">
        <f>Table3[[#This Row],[PrimaTécnica]]*Table3[[#This Row],[Cobranza]]</f>
        <v>25.614093259200004</v>
      </c>
      <c r="N26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265">
        <v>21.84</v>
      </c>
      <c r="P265">
        <v>54.6</v>
      </c>
      <c r="Q265">
        <v>80.64</v>
      </c>
      <c r="R265">
        <v>44.377200000000002</v>
      </c>
      <c r="S265">
        <v>0.2</v>
      </c>
      <c r="T265">
        <v>0.02</v>
      </c>
      <c r="U265" s="8">
        <f>Table3[[#This Row],[PrimaNeta]]*Table3[[#This Row],[Comisión]]</f>
        <v>690.71663148000016</v>
      </c>
      <c r="V265" s="15">
        <f>Table3[[#This Row],[PrimaComercial Anual]]-Table3[[#This Row],[PrimaComercial Anual]]*SUM(Table3[[#This Row],[APS]:[IVA]])</f>
        <v>3453.5831574000003</v>
      </c>
      <c r="W265" s="2">
        <v>1.4800000000000001E-2</v>
      </c>
      <c r="X265" s="2">
        <v>8.4501000000000007E-2</v>
      </c>
      <c r="Y265">
        <v>0.03</v>
      </c>
      <c r="Z265">
        <v>0.13</v>
      </c>
      <c r="AA265" s="20">
        <f>Table3[[#This Row],[APS]]*Table3[[#This Row],[PrimaComercial Anual]]</f>
        <v>69.00648000000001</v>
      </c>
      <c r="AB265" s="8">
        <f>Table3[[#This Row],[PrimaComercial Anual]]*Table3[[#This Row],[Recargo adicional]]</f>
        <v>393.99436260000004</v>
      </c>
      <c r="AC265" s="8">
        <f>Table3[[#This Row],[PrimaComercial Anual]]*Table3[[#This Row],[IT]]</f>
        <v>139.87800000000001</v>
      </c>
      <c r="AD265" s="8">
        <f>Table3[[#This Row],[PrimaComercial Anual]]*Table3[[#This Row],[IVA]]</f>
        <v>606.13800000000003</v>
      </c>
      <c r="AE265" s="15">
        <f>Table3[[#This Row],[PrimaComercial Anual Asistencia]]</f>
        <v>4662.6000000000004</v>
      </c>
      <c r="AG265">
        <v>4662.6000000000004</v>
      </c>
    </row>
    <row r="266" spans="1:33" x14ac:dyDescent="0.25">
      <c r="A266" t="s">
        <v>17</v>
      </c>
      <c r="B266">
        <v>140000</v>
      </c>
      <c r="C266">
        <v>33</v>
      </c>
      <c r="D266" s="2">
        <f>Table3[[#This Row],[PrimaTécnica]]-Table3[[#This Row],[PrimaTécnica]]*SUM(Table3[[#This Row],[Gastos Adm]:[Cobranza]])</f>
        <v>1997.8992742176001</v>
      </c>
      <c r="E266">
        <v>0</v>
      </c>
      <c r="F266">
        <v>0.15</v>
      </c>
      <c r="G266">
        <v>0.05</v>
      </c>
      <c r="H266">
        <v>0.01</v>
      </c>
      <c r="I266">
        <v>0.01</v>
      </c>
      <c r="J266" s="8">
        <f>Table3[[#This Row],[PrimaTécnica]]*Table3[[#This Row],[Gastos Adm]]</f>
        <v>384.21139888800002</v>
      </c>
      <c r="K266" s="8">
        <f>Table3[[#This Row],[PrimaTécnica]]*Table3[[#This Row],[Utilidad]]</f>
        <v>128.07046629600003</v>
      </c>
      <c r="L266" s="8">
        <f>Table3[[#This Row],[PrimaTécnica]]*Table3[[#This Row],[Marketing]]</f>
        <v>25.614093259200004</v>
      </c>
      <c r="M266" s="8">
        <f>Table3[[#This Row],[PrimaTécnica]]*Table3[[#This Row],[Cobranza]]</f>
        <v>25.614093259200004</v>
      </c>
      <c r="N26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266">
        <v>21.84</v>
      </c>
      <c r="P266">
        <v>54.6</v>
      </c>
      <c r="Q266">
        <v>80.64</v>
      </c>
      <c r="R266">
        <v>44.377200000000002</v>
      </c>
      <c r="S266">
        <v>0.2</v>
      </c>
      <c r="T266">
        <v>0.02</v>
      </c>
      <c r="U266" s="8">
        <f>Table3[[#This Row],[PrimaNeta]]*Table3[[#This Row],[Comisión]]</f>
        <v>690.71663148000016</v>
      </c>
      <c r="V266" s="15">
        <f>Table3[[#This Row],[PrimaComercial Anual]]-Table3[[#This Row],[PrimaComercial Anual]]*SUM(Table3[[#This Row],[APS]:[IVA]])</f>
        <v>3453.5831574000003</v>
      </c>
      <c r="W266" s="2">
        <v>1.4800000000000001E-2</v>
      </c>
      <c r="X266" s="2">
        <v>8.4501000000000007E-2</v>
      </c>
      <c r="Y266">
        <v>0.03</v>
      </c>
      <c r="Z266">
        <v>0.13</v>
      </c>
      <c r="AA266" s="20">
        <f>Table3[[#This Row],[APS]]*Table3[[#This Row],[PrimaComercial Anual]]</f>
        <v>69.00648000000001</v>
      </c>
      <c r="AB266" s="8">
        <f>Table3[[#This Row],[PrimaComercial Anual]]*Table3[[#This Row],[Recargo adicional]]</f>
        <v>393.99436260000004</v>
      </c>
      <c r="AC266" s="8">
        <f>Table3[[#This Row],[PrimaComercial Anual]]*Table3[[#This Row],[IT]]</f>
        <v>139.87800000000001</v>
      </c>
      <c r="AD266" s="8">
        <f>Table3[[#This Row],[PrimaComercial Anual]]*Table3[[#This Row],[IVA]]</f>
        <v>606.13800000000003</v>
      </c>
      <c r="AE266" s="15">
        <f>Table3[[#This Row],[PrimaComercial Anual Asistencia]]</f>
        <v>4662.6000000000004</v>
      </c>
      <c r="AG266">
        <v>4662.6000000000004</v>
      </c>
    </row>
    <row r="267" spans="1:33" x14ac:dyDescent="0.25">
      <c r="A267" t="s">
        <v>17</v>
      </c>
      <c r="B267">
        <v>140000</v>
      </c>
      <c r="C267">
        <v>34</v>
      </c>
      <c r="D267" s="2">
        <f>Table3[[#This Row],[PrimaTécnica]]-Table3[[#This Row],[PrimaTécnica]]*SUM(Table3[[#This Row],[Gastos Adm]:[Cobranza]])</f>
        <v>1997.8992742176001</v>
      </c>
      <c r="E267">
        <v>0</v>
      </c>
      <c r="F267">
        <v>0.15</v>
      </c>
      <c r="G267">
        <v>0.05</v>
      </c>
      <c r="H267">
        <v>0.01</v>
      </c>
      <c r="I267">
        <v>0.01</v>
      </c>
      <c r="J267" s="8">
        <f>Table3[[#This Row],[PrimaTécnica]]*Table3[[#This Row],[Gastos Adm]]</f>
        <v>384.21139888800002</v>
      </c>
      <c r="K267" s="8">
        <f>Table3[[#This Row],[PrimaTécnica]]*Table3[[#This Row],[Utilidad]]</f>
        <v>128.07046629600003</v>
      </c>
      <c r="L267" s="8">
        <f>Table3[[#This Row],[PrimaTécnica]]*Table3[[#This Row],[Marketing]]</f>
        <v>25.614093259200004</v>
      </c>
      <c r="M267" s="8">
        <f>Table3[[#This Row],[PrimaTécnica]]*Table3[[#This Row],[Cobranza]]</f>
        <v>25.614093259200004</v>
      </c>
      <c r="N26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267">
        <v>21.84</v>
      </c>
      <c r="P267">
        <v>54.6</v>
      </c>
      <c r="Q267">
        <v>80.64</v>
      </c>
      <c r="R267">
        <v>44.377200000000002</v>
      </c>
      <c r="S267">
        <v>0.2</v>
      </c>
      <c r="T267">
        <v>0.02</v>
      </c>
      <c r="U267" s="8">
        <f>Table3[[#This Row],[PrimaNeta]]*Table3[[#This Row],[Comisión]]</f>
        <v>690.71663148000016</v>
      </c>
      <c r="V267" s="15">
        <f>Table3[[#This Row],[PrimaComercial Anual]]-Table3[[#This Row],[PrimaComercial Anual]]*SUM(Table3[[#This Row],[APS]:[IVA]])</f>
        <v>3453.5831574000003</v>
      </c>
      <c r="W267" s="2">
        <v>1.4800000000000001E-2</v>
      </c>
      <c r="X267" s="2">
        <v>8.4501000000000007E-2</v>
      </c>
      <c r="Y267">
        <v>0.03</v>
      </c>
      <c r="Z267">
        <v>0.13</v>
      </c>
      <c r="AA267" s="20">
        <f>Table3[[#This Row],[APS]]*Table3[[#This Row],[PrimaComercial Anual]]</f>
        <v>69.00648000000001</v>
      </c>
      <c r="AB267" s="8">
        <f>Table3[[#This Row],[PrimaComercial Anual]]*Table3[[#This Row],[Recargo adicional]]</f>
        <v>393.99436260000004</v>
      </c>
      <c r="AC267" s="8">
        <f>Table3[[#This Row],[PrimaComercial Anual]]*Table3[[#This Row],[IT]]</f>
        <v>139.87800000000001</v>
      </c>
      <c r="AD267" s="8">
        <f>Table3[[#This Row],[PrimaComercial Anual]]*Table3[[#This Row],[IVA]]</f>
        <v>606.13800000000003</v>
      </c>
      <c r="AE267" s="15">
        <f>Table3[[#This Row],[PrimaComercial Anual Asistencia]]</f>
        <v>4662.6000000000004</v>
      </c>
      <c r="AG267">
        <v>4662.6000000000004</v>
      </c>
    </row>
    <row r="268" spans="1:33" x14ac:dyDescent="0.25">
      <c r="A268" t="s">
        <v>17</v>
      </c>
      <c r="B268">
        <v>140000</v>
      </c>
      <c r="C268">
        <v>35</v>
      </c>
      <c r="D268" s="2">
        <f>Table3[[#This Row],[PrimaTécnica]]-Table3[[#This Row],[PrimaTécnica]]*SUM(Table3[[#This Row],[Gastos Adm]:[Cobranza]])</f>
        <v>1997.8992742176001</v>
      </c>
      <c r="E268">
        <v>0</v>
      </c>
      <c r="F268">
        <v>0.15</v>
      </c>
      <c r="G268">
        <v>0.05</v>
      </c>
      <c r="H268">
        <v>0.01</v>
      </c>
      <c r="I268">
        <v>0.01</v>
      </c>
      <c r="J268" s="8">
        <f>Table3[[#This Row],[PrimaTécnica]]*Table3[[#This Row],[Gastos Adm]]</f>
        <v>384.21139888800002</v>
      </c>
      <c r="K268" s="8">
        <f>Table3[[#This Row],[PrimaTécnica]]*Table3[[#This Row],[Utilidad]]</f>
        <v>128.07046629600003</v>
      </c>
      <c r="L268" s="8">
        <f>Table3[[#This Row],[PrimaTécnica]]*Table3[[#This Row],[Marketing]]</f>
        <v>25.614093259200004</v>
      </c>
      <c r="M268" s="8">
        <f>Table3[[#This Row],[PrimaTécnica]]*Table3[[#This Row],[Cobranza]]</f>
        <v>25.614093259200004</v>
      </c>
      <c r="N26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268">
        <v>21.84</v>
      </c>
      <c r="P268">
        <v>54.6</v>
      </c>
      <c r="Q268">
        <v>80.64</v>
      </c>
      <c r="R268">
        <v>44.377200000000002</v>
      </c>
      <c r="S268">
        <v>0.2</v>
      </c>
      <c r="T268">
        <v>0.02</v>
      </c>
      <c r="U268" s="8">
        <f>Table3[[#This Row],[PrimaNeta]]*Table3[[#This Row],[Comisión]]</f>
        <v>690.71663148000016</v>
      </c>
      <c r="V268" s="15">
        <f>Table3[[#This Row],[PrimaComercial Anual]]-Table3[[#This Row],[PrimaComercial Anual]]*SUM(Table3[[#This Row],[APS]:[IVA]])</f>
        <v>3453.5831574000003</v>
      </c>
      <c r="W268" s="2">
        <v>1.4800000000000001E-2</v>
      </c>
      <c r="X268" s="2">
        <v>8.4501000000000007E-2</v>
      </c>
      <c r="Y268">
        <v>0.03</v>
      </c>
      <c r="Z268">
        <v>0.13</v>
      </c>
      <c r="AA268" s="20">
        <f>Table3[[#This Row],[APS]]*Table3[[#This Row],[PrimaComercial Anual]]</f>
        <v>69.00648000000001</v>
      </c>
      <c r="AB268" s="8">
        <f>Table3[[#This Row],[PrimaComercial Anual]]*Table3[[#This Row],[Recargo adicional]]</f>
        <v>393.99436260000004</v>
      </c>
      <c r="AC268" s="8">
        <f>Table3[[#This Row],[PrimaComercial Anual]]*Table3[[#This Row],[IT]]</f>
        <v>139.87800000000001</v>
      </c>
      <c r="AD268" s="8">
        <f>Table3[[#This Row],[PrimaComercial Anual]]*Table3[[#This Row],[IVA]]</f>
        <v>606.13800000000003</v>
      </c>
      <c r="AE268" s="15">
        <f>Table3[[#This Row],[PrimaComercial Anual Asistencia]]</f>
        <v>4662.6000000000004</v>
      </c>
      <c r="AG268">
        <v>4662.6000000000004</v>
      </c>
    </row>
    <row r="269" spans="1:33" x14ac:dyDescent="0.25">
      <c r="A269" t="s">
        <v>17</v>
      </c>
      <c r="B269">
        <v>140000</v>
      </c>
      <c r="C269">
        <v>36</v>
      </c>
      <c r="D269" s="2">
        <f>Table3[[#This Row],[PrimaTécnica]]-Table3[[#This Row],[PrimaTécnica]]*SUM(Table3[[#This Row],[Gastos Adm]:[Cobranza]])</f>
        <v>1997.8992742176001</v>
      </c>
      <c r="E269">
        <v>0</v>
      </c>
      <c r="F269">
        <v>0.15</v>
      </c>
      <c r="G269">
        <v>0.05</v>
      </c>
      <c r="H269">
        <v>0.01</v>
      </c>
      <c r="I269">
        <v>0.01</v>
      </c>
      <c r="J269" s="8">
        <f>Table3[[#This Row],[PrimaTécnica]]*Table3[[#This Row],[Gastos Adm]]</f>
        <v>384.21139888800002</v>
      </c>
      <c r="K269" s="8">
        <f>Table3[[#This Row],[PrimaTécnica]]*Table3[[#This Row],[Utilidad]]</f>
        <v>128.07046629600003</v>
      </c>
      <c r="L269" s="8">
        <f>Table3[[#This Row],[PrimaTécnica]]*Table3[[#This Row],[Marketing]]</f>
        <v>25.614093259200004</v>
      </c>
      <c r="M269" s="8">
        <f>Table3[[#This Row],[PrimaTécnica]]*Table3[[#This Row],[Cobranza]]</f>
        <v>25.614093259200004</v>
      </c>
      <c r="N26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269">
        <v>21.84</v>
      </c>
      <c r="P269">
        <v>54.6</v>
      </c>
      <c r="Q269">
        <v>80.64</v>
      </c>
      <c r="R269">
        <v>44.377200000000002</v>
      </c>
      <c r="S269">
        <v>0.2</v>
      </c>
      <c r="T269">
        <v>0.02</v>
      </c>
      <c r="U269" s="8">
        <f>Table3[[#This Row],[PrimaNeta]]*Table3[[#This Row],[Comisión]]</f>
        <v>690.71663148000016</v>
      </c>
      <c r="V269" s="15">
        <f>Table3[[#This Row],[PrimaComercial Anual]]-Table3[[#This Row],[PrimaComercial Anual]]*SUM(Table3[[#This Row],[APS]:[IVA]])</f>
        <v>3453.5831574000003</v>
      </c>
      <c r="W269" s="2">
        <v>1.4800000000000001E-2</v>
      </c>
      <c r="X269" s="2">
        <v>8.4501000000000007E-2</v>
      </c>
      <c r="Y269">
        <v>0.03</v>
      </c>
      <c r="Z269">
        <v>0.13</v>
      </c>
      <c r="AA269" s="20">
        <f>Table3[[#This Row],[APS]]*Table3[[#This Row],[PrimaComercial Anual]]</f>
        <v>69.00648000000001</v>
      </c>
      <c r="AB269" s="8">
        <f>Table3[[#This Row],[PrimaComercial Anual]]*Table3[[#This Row],[Recargo adicional]]</f>
        <v>393.99436260000004</v>
      </c>
      <c r="AC269" s="8">
        <f>Table3[[#This Row],[PrimaComercial Anual]]*Table3[[#This Row],[IT]]</f>
        <v>139.87800000000001</v>
      </c>
      <c r="AD269" s="8">
        <f>Table3[[#This Row],[PrimaComercial Anual]]*Table3[[#This Row],[IVA]]</f>
        <v>606.13800000000003</v>
      </c>
      <c r="AE269" s="15">
        <f>Table3[[#This Row],[PrimaComercial Anual Asistencia]]</f>
        <v>4662.6000000000004</v>
      </c>
      <c r="AG269">
        <v>4662.6000000000004</v>
      </c>
    </row>
    <row r="270" spans="1:33" x14ac:dyDescent="0.25">
      <c r="A270" t="s">
        <v>17</v>
      </c>
      <c r="B270">
        <v>140000</v>
      </c>
      <c r="C270">
        <v>37</v>
      </c>
      <c r="D270" s="2">
        <f>Table3[[#This Row],[PrimaTécnica]]-Table3[[#This Row],[PrimaTécnica]]*SUM(Table3[[#This Row],[Gastos Adm]:[Cobranza]])</f>
        <v>1997.8992742176001</v>
      </c>
      <c r="E270">
        <v>0</v>
      </c>
      <c r="F270">
        <v>0.15</v>
      </c>
      <c r="G270">
        <v>0.05</v>
      </c>
      <c r="H270">
        <v>0.01</v>
      </c>
      <c r="I270">
        <v>0.01</v>
      </c>
      <c r="J270" s="8">
        <f>Table3[[#This Row],[PrimaTécnica]]*Table3[[#This Row],[Gastos Adm]]</f>
        <v>384.21139888800002</v>
      </c>
      <c r="K270" s="8">
        <f>Table3[[#This Row],[PrimaTécnica]]*Table3[[#This Row],[Utilidad]]</f>
        <v>128.07046629600003</v>
      </c>
      <c r="L270" s="8">
        <f>Table3[[#This Row],[PrimaTécnica]]*Table3[[#This Row],[Marketing]]</f>
        <v>25.614093259200004</v>
      </c>
      <c r="M270" s="8">
        <f>Table3[[#This Row],[PrimaTécnica]]*Table3[[#This Row],[Cobranza]]</f>
        <v>25.614093259200004</v>
      </c>
      <c r="N27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270">
        <v>21.84</v>
      </c>
      <c r="P270">
        <v>54.6</v>
      </c>
      <c r="Q270">
        <v>80.64</v>
      </c>
      <c r="R270">
        <v>44.377200000000002</v>
      </c>
      <c r="S270">
        <v>0.2</v>
      </c>
      <c r="T270">
        <v>0.02</v>
      </c>
      <c r="U270" s="8">
        <f>Table3[[#This Row],[PrimaNeta]]*Table3[[#This Row],[Comisión]]</f>
        <v>690.71663148000016</v>
      </c>
      <c r="V270" s="15">
        <f>Table3[[#This Row],[PrimaComercial Anual]]-Table3[[#This Row],[PrimaComercial Anual]]*SUM(Table3[[#This Row],[APS]:[IVA]])</f>
        <v>3453.5831574000003</v>
      </c>
      <c r="W270" s="2">
        <v>1.4800000000000001E-2</v>
      </c>
      <c r="X270" s="2">
        <v>8.4501000000000007E-2</v>
      </c>
      <c r="Y270">
        <v>0.03</v>
      </c>
      <c r="Z270">
        <v>0.13</v>
      </c>
      <c r="AA270" s="20">
        <f>Table3[[#This Row],[APS]]*Table3[[#This Row],[PrimaComercial Anual]]</f>
        <v>69.00648000000001</v>
      </c>
      <c r="AB270" s="8">
        <f>Table3[[#This Row],[PrimaComercial Anual]]*Table3[[#This Row],[Recargo adicional]]</f>
        <v>393.99436260000004</v>
      </c>
      <c r="AC270" s="8">
        <f>Table3[[#This Row],[PrimaComercial Anual]]*Table3[[#This Row],[IT]]</f>
        <v>139.87800000000001</v>
      </c>
      <c r="AD270" s="8">
        <f>Table3[[#This Row],[PrimaComercial Anual]]*Table3[[#This Row],[IVA]]</f>
        <v>606.13800000000003</v>
      </c>
      <c r="AE270" s="15">
        <f>Table3[[#This Row],[PrimaComercial Anual Asistencia]]</f>
        <v>4662.6000000000004</v>
      </c>
      <c r="AG270">
        <v>4662.6000000000004</v>
      </c>
    </row>
    <row r="271" spans="1:33" x14ac:dyDescent="0.25">
      <c r="A271" t="s">
        <v>17</v>
      </c>
      <c r="B271">
        <v>140000</v>
      </c>
      <c r="C271">
        <v>38</v>
      </c>
      <c r="D271" s="2">
        <f>Table3[[#This Row],[PrimaTécnica]]-Table3[[#This Row],[PrimaTécnica]]*SUM(Table3[[#This Row],[Gastos Adm]:[Cobranza]])</f>
        <v>1997.8992742176001</v>
      </c>
      <c r="E271">
        <v>0</v>
      </c>
      <c r="F271">
        <v>0.15</v>
      </c>
      <c r="G271">
        <v>0.05</v>
      </c>
      <c r="H271">
        <v>0.01</v>
      </c>
      <c r="I271">
        <v>0.01</v>
      </c>
      <c r="J271" s="8">
        <f>Table3[[#This Row],[PrimaTécnica]]*Table3[[#This Row],[Gastos Adm]]</f>
        <v>384.21139888800002</v>
      </c>
      <c r="K271" s="8">
        <f>Table3[[#This Row],[PrimaTécnica]]*Table3[[#This Row],[Utilidad]]</f>
        <v>128.07046629600003</v>
      </c>
      <c r="L271" s="8">
        <f>Table3[[#This Row],[PrimaTécnica]]*Table3[[#This Row],[Marketing]]</f>
        <v>25.614093259200004</v>
      </c>
      <c r="M271" s="8">
        <f>Table3[[#This Row],[PrimaTécnica]]*Table3[[#This Row],[Cobranza]]</f>
        <v>25.614093259200004</v>
      </c>
      <c r="N27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271">
        <v>21.84</v>
      </c>
      <c r="P271">
        <v>54.6</v>
      </c>
      <c r="Q271">
        <v>80.64</v>
      </c>
      <c r="R271">
        <v>44.377200000000002</v>
      </c>
      <c r="S271">
        <v>0.2</v>
      </c>
      <c r="T271">
        <v>0.02</v>
      </c>
      <c r="U271" s="8">
        <f>Table3[[#This Row],[PrimaNeta]]*Table3[[#This Row],[Comisión]]</f>
        <v>690.71663148000016</v>
      </c>
      <c r="V271" s="15">
        <f>Table3[[#This Row],[PrimaComercial Anual]]-Table3[[#This Row],[PrimaComercial Anual]]*SUM(Table3[[#This Row],[APS]:[IVA]])</f>
        <v>3453.5831574000003</v>
      </c>
      <c r="W271" s="2">
        <v>1.4800000000000001E-2</v>
      </c>
      <c r="X271" s="2">
        <v>8.4501000000000007E-2</v>
      </c>
      <c r="Y271">
        <v>0.03</v>
      </c>
      <c r="Z271">
        <v>0.13</v>
      </c>
      <c r="AA271" s="20">
        <f>Table3[[#This Row],[APS]]*Table3[[#This Row],[PrimaComercial Anual]]</f>
        <v>69.00648000000001</v>
      </c>
      <c r="AB271" s="8">
        <f>Table3[[#This Row],[PrimaComercial Anual]]*Table3[[#This Row],[Recargo adicional]]</f>
        <v>393.99436260000004</v>
      </c>
      <c r="AC271" s="8">
        <f>Table3[[#This Row],[PrimaComercial Anual]]*Table3[[#This Row],[IT]]</f>
        <v>139.87800000000001</v>
      </c>
      <c r="AD271" s="8">
        <f>Table3[[#This Row],[PrimaComercial Anual]]*Table3[[#This Row],[IVA]]</f>
        <v>606.13800000000003</v>
      </c>
      <c r="AE271" s="15">
        <f>Table3[[#This Row],[PrimaComercial Anual Asistencia]]</f>
        <v>4662.6000000000004</v>
      </c>
      <c r="AG271">
        <v>4662.6000000000004</v>
      </c>
    </row>
    <row r="272" spans="1:33" x14ac:dyDescent="0.25">
      <c r="A272" t="s">
        <v>17</v>
      </c>
      <c r="B272">
        <v>140000</v>
      </c>
      <c r="C272">
        <v>39</v>
      </c>
      <c r="D272" s="2">
        <f>Table3[[#This Row],[PrimaTécnica]]-Table3[[#This Row],[PrimaTécnica]]*SUM(Table3[[#This Row],[Gastos Adm]:[Cobranza]])</f>
        <v>1997.8992742176001</v>
      </c>
      <c r="E272">
        <v>0</v>
      </c>
      <c r="F272">
        <v>0.15</v>
      </c>
      <c r="G272">
        <v>0.05</v>
      </c>
      <c r="H272">
        <v>0.01</v>
      </c>
      <c r="I272">
        <v>0.01</v>
      </c>
      <c r="J272" s="8">
        <f>Table3[[#This Row],[PrimaTécnica]]*Table3[[#This Row],[Gastos Adm]]</f>
        <v>384.21139888800002</v>
      </c>
      <c r="K272" s="8">
        <f>Table3[[#This Row],[PrimaTécnica]]*Table3[[#This Row],[Utilidad]]</f>
        <v>128.07046629600003</v>
      </c>
      <c r="L272" s="8">
        <f>Table3[[#This Row],[PrimaTécnica]]*Table3[[#This Row],[Marketing]]</f>
        <v>25.614093259200004</v>
      </c>
      <c r="M272" s="8">
        <f>Table3[[#This Row],[PrimaTécnica]]*Table3[[#This Row],[Cobranza]]</f>
        <v>25.614093259200004</v>
      </c>
      <c r="N27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272">
        <v>21.84</v>
      </c>
      <c r="P272">
        <v>54.6</v>
      </c>
      <c r="Q272">
        <v>80.64</v>
      </c>
      <c r="R272">
        <v>44.377200000000002</v>
      </c>
      <c r="S272">
        <v>0.2</v>
      </c>
      <c r="T272">
        <v>0.02</v>
      </c>
      <c r="U272" s="8">
        <f>Table3[[#This Row],[PrimaNeta]]*Table3[[#This Row],[Comisión]]</f>
        <v>690.71663148000016</v>
      </c>
      <c r="V272" s="15">
        <f>Table3[[#This Row],[PrimaComercial Anual]]-Table3[[#This Row],[PrimaComercial Anual]]*SUM(Table3[[#This Row],[APS]:[IVA]])</f>
        <v>3453.5831574000003</v>
      </c>
      <c r="W272" s="2">
        <v>1.4800000000000001E-2</v>
      </c>
      <c r="X272" s="2">
        <v>8.4501000000000007E-2</v>
      </c>
      <c r="Y272">
        <v>0.03</v>
      </c>
      <c r="Z272">
        <v>0.13</v>
      </c>
      <c r="AA272" s="20">
        <f>Table3[[#This Row],[APS]]*Table3[[#This Row],[PrimaComercial Anual]]</f>
        <v>69.00648000000001</v>
      </c>
      <c r="AB272" s="8">
        <f>Table3[[#This Row],[PrimaComercial Anual]]*Table3[[#This Row],[Recargo adicional]]</f>
        <v>393.99436260000004</v>
      </c>
      <c r="AC272" s="8">
        <f>Table3[[#This Row],[PrimaComercial Anual]]*Table3[[#This Row],[IT]]</f>
        <v>139.87800000000001</v>
      </c>
      <c r="AD272" s="8">
        <f>Table3[[#This Row],[PrimaComercial Anual]]*Table3[[#This Row],[IVA]]</f>
        <v>606.13800000000003</v>
      </c>
      <c r="AE272" s="15">
        <f>Table3[[#This Row],[PrimaComercial Anual Asistencia]]</f>
        <v>4662.6000000000004</v>
      </c>
      <c r="AG272">
        <v>4662.6000000000004</v>
      </c>
    </row>
    <row r="273" spans="1:33" x14ac:dyDescent="0.25">
      <c r="A273" t="s">
        <v>17</v>
      </c>
      <c r="B273">
        <v>140000</v>
      </c>
      <c r="C273">
        <v>40</v>
      </c>
      <c r="D273" s="2">
        <f>Table3[[#This Row],[PrimaTécnica]]-Table3[[#This Row],[PrimaTécnica]]*SUM(Table3[[#This Row],[Gastos Adm]:[Cobranza]])</f>
        <v>2735.5643711135999</v>
      </c>
      <c r="E273">
        <v>0</v>
      </c>
      <c r="F273">
        <v>0.15</v>
      </c>
      <c r="G273">
        <v>0.05</v>
      </c>
      <c r="H273">
        <v>0.01</v>
      </c>
      <c r="I273">
        <v>0.01</v>
      </c>
      <c r="J273" s="8">
        <f>Table3[[#This Row],[PrimaTécnica]]*Table3[[#This Row],[Gastos Adm]]</f>
        <v>526.07007136799996</v>
      </c>
      <c r="K273" s="8">
        <f>Table3[[#This Row],[PrimaTécnica]]*Table3[[#This Row],[Utilidad]]</f>
        <v>175.35669045600002</v>
      </c>
      <c r="L273" s="8">
        <f>Table3[[#This Row],[PrimaTécnica]]*Table3[[#This Row],[Marketing]]</f>
        <v>35.071338091199998</v>
      </c>
      <c r="M273" s="8">
        <f>Table3[[#This Row],[PrimaTécnica]]*Table3[[#This Row],[Cobranza]]</f>
        <v>35.071338091199998</v>
      </c>
      <c r="N27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273">
        <v>21.84</v>
      </c>
      <c r="P273">
        <v>54.6</v>
      </c>
      <c r="Q273">
        <v>80.64</v>
      </c>
      <c r="R273">
        <v>44.377200000000002</v>
      </c>
      <c r="S273">
        <v>0.2</v>
      </c>
      <c r="T273">
        <v>0.02</v>
      </c>
      <c r="U273" s="8">
        <f>Table3[[#This Row],[PrimaNeta]]*Table3[[#This Row],[Comisión]]</f>
        <v>927.14775228000008</v>
      </c>
      <c r="V273" s="15">
        <f>Table3[[#This Row],[PrimaComercial Anual]]-Table3[[#This Row],[PrimaComercial Anual]]*SUM(Table3[[#This Row],[APS]:[IVA]])</f>
        <v>4635.7387613999999</v>
      </c>
      <c r="W273" s="2">
        <v>1.4800000000000001E-2</v>
      </c>
      <c r="X273" s="2">
        <v>8.4501000000000007E-2</v>
      </c>
      <c r="Y273">
        <v>0.03</v>
      </c>
      <c r="Z273">
        <v>0.13</v>
      </c>
      <c r="AA273" s="20">
        <f>Table3[[#This Row],[APS]]*Table3[[#This Row],[PrimaComercial Anual]]</f>
        <v>92.627280000000013</v>
      </c>
      <c r="AB273" s="8">
        <f>Table3[[#This Row],[PrimaComercial Anual]]*Table3[[#This Row],[Recargo adicional]]</f>
        <v>528.85795860000007</v>
      </c>
      <c r="AC273" s="8">
        <f>Table3[[#This Row],[PrimaComercial Anual]]*Table3[[#This Row],[IT]]</f>
        <v>187.75800000000001</v>
      </c>
      <c r="AD273" s="8">
        <f>Table3[[#This Row],[PrimaComercial Anual]]*Table3[[#This Row],[IVA]]</f>
        <v>813.61800000000005</v>
      </c>
      <c r="AE273" s="15">
        <f>Table3[[#This Row],[PrimaComercial Anual Asistencia]]</f>
        <v>6258.6</v>
      </c>
      <c r="AG273">
        <v>6258.6</v>
      </c>
    </row>
    <row r="274" spans="1:33" x14ac:dyDescent="0.25">
      <c r="A274" t="s">
        <v>17</v>
      </c>
      <c r="B274">
        <v>140000</v>
      </c>
      <c r="C274">
        <v>41</v>
      </c>
      <c r="D274" s="2">
        <f>Table3[[#This Row],[PrimaTécnica]]-Table3[[#This Row],[PrimaTécnica]]*SUM(Table3[[#This Row],[Gastos Adm]:[Cobranza]])</f>
        <v>2735.5643711135999</v>
      </c>
      <c r="E274">
        <v>0</v>
      </c>
      <c r="F274">
        <v>0.15</v>
      </c>
      <c r="G274">
        <v>0.05</v>
      </c>
      <c r="H274">
        <v>0.01</v>
      </c>
      <c r="I274">
        <v>0.01</v>
      </c>
      <c r="J274" s="8">
        <f>Table3[[#This Row],[PrimaTécnica]]*Table3[[#This Row],[Gastos Adm]]</f>
        <v>526.07007136799996</v>
      </c>
      <c r="K274" s="8">
        <f>Table3[[#This Row],[PrimaTécnica]]*Table3[[#This Row],[Utilidad]]</f>
        <v>175.35669045600002</v>
      </c>
      <c r="L274" s="8">
        <f>Table3[[#This Row],[PrimaTécnica]]*Table3[[#This Row],[Marketing]]</f>
        <v>35.071338091199998</v>
      </c>
      <c r="M274" s="8">
        <f>Table3[[#This Row],[PrimaTécnica]]*Table3[[#This Row],[Cobranza]]</f>
        <v>35.071338091199998</v>
      </c>
      <c r="N27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274">
        <v>21.84</v>
      </c>
      <c r="P274">
        <v>54.6</v>
      </c>
      <c r="Q274">
        <v>80.64</v>
      </c>
      <c r="R274">
        <v>44.377200000000002</v>
      </c>
      <c r="S274">
        <v>0.2</v>
      </c>
      <c r="T274">
        <v>0.02</v>
      </c>
      <c r="U274" s="8">
        <f>Table3[[#This Row],[PrimaNeta]]*Table3[[#This Row],[Comisión]]</f>
        <v>927.14775228000008</v>
      </c>
      <c r="V274" s="15">
        <f>Table3[[#This Row],[PrimaComercial Anual]]-Table3[[#This Row],[PrimaComercial Anual]]*SUM(Table3[[#This Row],[APS]:[IVA]])</f>
        <v>4635.7387613999999</v>
      </c>
      <c r="W274" s="2">
        <v>1.4800000000000001E-2</v>
      </c>
      <c r="X274" s="2">
        <v>8.4501000000000007E-2</v>
      </c>
      <c r="Y274">
        <v>0.03</v>
      </c>
      <c r="Z274">
        <v>0.13</v>
      </c>
      <c r="AA274" s="20">
        <f>Table3[[#This Row],[APS]]*Table3[[#This Row],[PrimaComercial Anual]]</f>
        <v>92.627280000000013</v>
      </c>
      <c r="AB274" s="8">
        <f>Table3[[#This Row],[PrimaComercial Anual]]*Table3[[#This Row],[Recargo adicional]]</f>
        <v>528.85795860000007</v>
      </c>
      <c r="AC274" s="8">
        <f>Table3[[#This Row],[PrimaComercial Anual]]*Table3[[#This Row],[IT]]</f>
        <v>187.75800000000001</v>
      </c>
      <c r="AD274" s="8">
        <f>Table3[[#This Row],[PrimaComercial Anual]]*Table3[[#This Row],[IVA]]</f>
        <v>813.61800000000005</v>
      </c>
      <c r="AE274" s="15">
        <f>Table3[[#This Row],[PrimaComercial Anual Asistencia]]</f>
        <v>6258.6</v>
      </c>
      <c r="AG274">
        <v>6258.6</v>
      </c>
    </row>
    <row r="275" spans="1:33" x14ac:dyDescent="0.25">
      <c r="A275" t="s">
        <v>17</v>
      </c>
      <c r="B275">
        <v>140000</v>
      </c>
      <c r="C275">
        <v>42</v>
      </c>
      <c r="D275" s="2">
        <f>Table3[[#This Row],[PrimaTécnica]]-Table3[[#This Row],[PrimaTécnica]]*SUM(Table3[[#This Row],[Gastos Adm]:[Cobranza]])</f>
        <v>2735.5643711135999</v>
      </c>
      <c r="E275">
        <v>0</v>
      </c>
      <c r="F275">
        <v>0.15</v>
      </c>
      <c r="G275">
        <v>0.05</v>
      </c>
      <c r="H275">
        <v>0.01</v>
      </c>
      <c r="I275">
        <v>0.01</v>
      </c>
      <c r="J275" s="8">
        <f>Table3[[#This Row],[PrimaTécnica]]*Table3[[#This Row],[Gastos Adm]]</f>
        <v>526.07007136799996</v>
      </c>
      <c r="K275" s="8">
        <f>Table3[[#This Row],[PrimaTécnica]]*Table3[[#This Row],[Utilidad]]</f>
        <v>175.35669045600002</v>
      </c>
      <c r="L275" s="8">
        <f>Table3[[#This Row],[PrimaTécnica]]*Table3[[#This Row],[Marketing]]</f>
        <v>35.071338091199998</v>
      </c>
      <c r="M275" s="8">
        <f>Table3[[#This Row],[PrimaTécnica]]*Table3[[#This Row],[Cobranza]]</f>
        <v>35.071338091199998</v>
      </c>
      <c r="N27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275">
        <v>21.84</v>
      </c>
      <c r="P275">
        <v>54.6</v>
      </c>
      <c r="Q275">
        <v>80.64</v>
      </c>
      <c r="R275">
        <v>44.377200000000002</v>
      </c>
      <c r="S275">
        <v>0.2</v>
      </c>
      <c r="T275">
        <v>0.02</v>
      </c>
      <c r="U275" s="8">
        <f>Table3[[#This Row],[PrimaNeta]]*Table3[[#This Row],[Comisión]]</f>
        <v>927.14775228000008</v>
      </c>
      <c r="V275" s="15">
        <f>Table3[[#This Row],[PrimaComercial Anual]]-Table3[[#This Row],[PrimaComercial Anual]]*SUM(Table3[[#This Row],[APS]:[IVA]])</f>
        <v>4635.7387613999999</v>
      </c>
      <c r="W275" s="2">
        <v>1.4800000000000001E-2</v>
      </c>
      <c r="X275" s="2">
        <v>8.4501000000000007E-2</v>
      </c>
      <c r="Y275">
        <v>0.03</v>
      </c>
      <c r="Z275">
        <v>0.13</v>
      </c>
      <c r="AA275" s="20">
        <f>Table3[[#This Row],[APS]]*Table3[[#This Row],[PrimaComercial Anual]]</f>
        <v>92.627280000000013</v>
      </c>
      <c r="AB275" s="8">
        <f>Table3[[#This Row],[PrimaComercial Anual]]*Table3[[#This Row],[Recargo adicional]]</f>
        <v>528.85795860000007</v>
      </c>
      <c r="AC275" s="8">
        <f>Table3[[#This Row],[PrimaComercial Anual]]*Table3[[#This Row],[IT]]</f>
        <v>187.75800000000001</v>
      </c>
      <c r="AD275" s="8">
        <f>Table3[[#This Row],[PrimaComercial Anual]]*Table3[[#This Row],[IVA]]</f>
        <v>813.61800000000005</v>
      </c>
      <c r="AE275" s="15">
        <f>Table3[[#This Row],[PrimaComercial Anual Asistencia]]</f>
        <v>6258.6</v>
      </c>
      <c r="AG275">
        <v>6258.6</v>
      </c>
    </row>
    <row r="276" spans="1:33" x14ac:dyDescent="0.25">
      <c r="A276" t="s">
        <v>17</v>
      </c>
      <c r="B276">
        <v>140000</v>
      </c>
      <c r="C276">
        <v>43</v>
      </c>
      <c r="D276" s="2">
        <f>Table3[[#This Row],[PrimaTécnica]]-Table3[[#This Row],[PrimaTécnica]]*SUM(Table3[[#This Row],[Gastos Adm]:[Cobranza]])</f>
        <v>2735.5643711135999</v>
      </c>
      <c r="E276">
        <v>0</v>
      </c>
      <c r="F276">
        <v>0.15</v>
      </c>
      <c r="G276">
        <v>0.05</v>
      </c>
      <c r="H276">
        <v>0.01</v>
      </c>
      <c r="I276">
        <v>0.01</v>
      </c>
      <c r="J276" s="8">
        <f>Table3[[#This Row],[PrimaTécnica]]*Table3[[#This Row],[Gastos Adm]]</f>
        <v>526.07007136799996</v>
      </c>
      <c r="K276" s="8">
        <f>Table3[[#This Row],[PrimaTécnica]]*Table3[[#This Row],[Utilidad]]</f>
        <v>175.35669045600002</v>
      </c>
      <c r="L276" s="8">
        <f>Table3[[#This Row],[PrimaTécnica]]*Table3[[#This Row],[Marketing]]</f>
        <v>35.071338091199998</v>
      </c>
      <c r="M276" s="8">
        <f>Table3[[#This Row],[PrimaTécnica]]*Table3[[#This Row],[Cobranza]]</f>
        <v>35.071338091199998</v>
      </c>
      <c r="N27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276">
        <v>21.84</v>
      </c>
      <c r="P276">
        <v>54.6</v>
      </c>
      <c r="Q276">
        <v>80.64</v>
      </c>
      <c r="R276">
        <v>44.377200000000002</v>
      </c>
      <c r="S276">
        <v>0.2</v>
      </c>
      <c r="T276">
        <v>0.02</v>
      </c>
      <c r="U276" s="8">
        <f>Table3[[#This Row],[PrimaNeta]]*Table3[[#This Row],[Comisión]]</f>
        <v>927.14775228000008</v>
      </c>
      <c r="V276" s="15">
        <f>Table3[[#This Row],[PrimaComercial Anual]]-Table3[[#This Row],[PrimaComercial Anual]]*SUM(Table3[[#This Row],[APS]:[IVA]])</f>
        <v>4635.7387613999999</v>
      </c>
      <c r="W276" s="2">
        <v>1.4800000000000001E-2</v>
      </c>
      <c r="X276" s="2">
        <v>8.4501000000000007E-2</v>
      </c>
      <c r="Y276">
        <v>0.03</v>
      </c>
      <c r="Z276">
        <v>0.13</v>
      </c>
      <c r="AA276" s="20">
        <f>Table3[[#This Row],[APS]]*Table3[[#This Row],[PrimaComercial Anual]]</f>
        <v>92.627280000000013</v>
      </c>
      <c r="AB276" s="8">
        <f>Table3[[#This Row],[PrimaComercial Anual]]*Table3[[#This Row],[Recargo adicional]]</f>
        <v>528.85795860000007</v>
      </c>
      <c r="AC276" s="8">
        <f>Table3[[#This Row],[PrimaComercial Anual]]*Table3[[#This Row],[IT]]</f>
        <v>187.75800000000001</v>
      </c>
      <c r="AD276" s="8">
        <f>Table3[[#This Row],[PrimaComercial Anual]]*Table3[[#This Row],[IVA]]</f>
        <v>813.61800000000005</v>
      </c>
      <c r="AE276" s="15">
        <f>Table3[[#This Row],[PrimaComercial Anual Asistencia]]</f>
        <v>6258.6</v>
      </c>
      <c r="AG276">
        <v>6258.6</v>
      </c>
    </row>
    <row r="277" spans="1:33" x14ac:dyDescent="0.25">
      <c r="A277" t="s">
        <v>17</v>
      </c>
      <c r="B277">
        <v>140000</v>
      </c>
      <c r="C277">
        <v>44</v>
      </c>
      <c r="D277" s="2">
        <f>Table3[[#This Row],[PrimaTécnica]]-Table3[[#This Row],[PrimaTécnica]]*SUM(Table3[[#This Row],[Gastos Adm]:[Cobranza]])</f>
        <v>2735.5643711135999</v>
      </c>
      <c r="E277">
        <v>0</v>
      </c>
      <c r="F277">
        <v>0.15</v>
      </c>
      <c r="G277">
        <v>0.05</v>
      </c>
      <c r="H277">
        <v>0.01</v>
      </c>
      <c r="I277">
        <v>0.01</v>
      </c>
      <c r="J277" s="8">
        <f>Table3[[#This Row],[PrimaTécnica]]*Table3[[#This Row],[Gastos Adm]]</f>
        <v>526.07007136799996</v>
      </c>
      <c r="K277" s="8">
        <f>Table3[[#This Row],[PrimaTécnica]]*Table3[[#This Row],[Utilidad]]</f>
        <v>175.35669045600002</v>
      </c>
      <c r="L277" s="8">
        <f>Table3[[#This Row],[PrimaTécnica]]*Table3[[#This Row],[Marketing]]</f>
        <v>35.071338091199998</v>
      </c>
      <c r="M277" s="8">
        <f>Table3[[#This Row],[PrimaTécnica]]*Table3[[#This Row],[Cobranza]]</f>
        <v>35.071338091199998</v>
      </c>
      <c r="N27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277">
        <v>21.84</v>
      </c>
      <c r="P277">
        <v>54.6</v>
      </c>
      <c r="Q277">
        <v>80.64</v>
      </c>
      <c r="R277">
        <v>44.377200000000002</v>
      </c>
      <c r="S277">
        <v>0.2</v>
      </c>
      <c r="T277">
        <v>0.02</v>
      </c>
      <c r="U277" s="8">
        <f>Table3[[#This Row],[PrimaNeta]]*Table3[[#This Row],[Comisión]]</f>
        <v>927.14775228000008</v>
      </c>
      <c r="V277" s="15">
        <f>Table3[[#This Row],[PrimaComercial Anual]]-Table3[[#This Row],[PrimaComercial Anual]]*SUM(Table3[[#This Row],[APS]:[IVA]])</f>
        <v>4635.7387613999999</v>
      </c>
      <c r="W277" s="2">
        <v>1.4800000000000001E-2</v>
      </c>
      <c r="X277" s="2">
        <v>8.4501000000000007E-2</v>
      </c>
      <c r="Y277">
        <v>0.03</v>
      </c>
      <c r="Z277">
        <v>0.13</v>
      </c>
      <c r="AA277" s="20">
        <f>Table3[[#This Row],[APS]]*Table3[[#This Row],[PrimaComercial Anual]]</f>
        <v>92.627280000000013</v>
      </c>
      <c r="AB277" s="8">
        <f>Table3[[#This Row],[PrimaComercial Anual]]*Table3[[#This Row],[Recargo adicional]]</f>
        <v>528.85795860000007</v>
      </c>
      <c r="AC277" s="8">
        <f>Table3[[#This Row],[PrimaComercial Anual]]*Table3[[#This Row],[IT]]</f>
        <v>187.75800000000001</v>
      </c>
      <c r="AD277" s="8">
        <f>Table3[[#This Row],[PrimaComercial Anual]]*Table3[[#This Row],[IVA]]</f>
        <v>813.61800000000005</v>
      </c>
      <c r="AE277" s="15">
        <f>Table3[[#This Row],[PrimaComercial Anual Asistencia]]</f>
        <v>6258.6</v>
      </c>
      <c r="AG277">
        <v>6258.6</v>
      </c>
    </row>
    <row r="278" spans="1:33" x14ac:dyDescent="0.25">
      <c r="A278" t="s">
        <v>17</v>
      </c>
      <c r="B278">
        <v>140000</v>
      </c>
      <c r="C278">
        <v>45</v>
      </c>
      <c r="D278" s="2">
        <f>Table3[[#This Row],[PrimaTécnica]]-Table3[[#This Row],[PrimaTécnica]]*SUM(Table3[[#This Row],[Gastos Adm]:[Cobranza]])</f>
        <v>2735.5643711135999</v>
      </c>
      <c r="E278">
        <v>0</v>
      </c>
      <c r="F278">
        <v>0.15</v>
      </c>
      <c r="G278">
        <v>0.05</v>
      </c>
      <c r="H278">
        <v>0.01</v>
      </c>
      <c r="I278">
        <v>0.01</v>
      </c>
      <c r="J278" s="8">
        <f>Table3[[#This Row],[PrimaTécnica]]*Table3[[#This Row],[Gastos Adm]]</f>
        <v>526.07007136799996</v>
      </c>
      <c r="K278" s="8">
        <f>Table3[[#This Row],[PrimaTécnica]]*Table3[[#This Row],[Utilidad]]</f>
        <v>175.35669045600002</v>
      </c>
      <c r="L278" s="8">
        <f>Table3[[#This Row],[PrimaTécnica]]*Table3[[#This Row],[Marketing]]</f>
        <v>35.071338091199998</v>
      </c>
      <c r="M278" s="8">
        <f>Table3[[#This Row],[PrimaTécnica]]*Table3[[#This Row],[Cobranza]]</f>
        <v>35.071338091199998</v>
      </c>
      <c r="N27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278">
        <v>21.84</v>
      </c>
      <c r="P278">
        <v>54.6</v>
      </c>
      <c r="Q278">
        <v>80.64</v>
      </c>
      <c r="R278">
        <v>44.377200000000002</v>
      </c>
      <c r="S278">
        <v>0.2</v>
      </c>
      <c r="T278">
        <v>0.02</v>
      </c>
      <c r="U278" s="8">
        <f>Table3[[#This Row],[PrimaNeta]]*Table3[[#This Row],[Comisión]]</f>
        <v>927.14775228000008</v>
      </c>
      <c r="V278" s="15">
        <f>Table3[[#This Row],[PrimaComercial Anual]]-Table3[[#This Row],[PrimaComercial Anual]]*SUM(Table3[[#This Row],[APS]:[IVA]])</f>
        <v>4635.7387613999999</v>
      </c>
      <c r="W278" s="2">
        <v>1.4800000000000001E-2</v>
      </c>
      <c r="X278" s="2">
        <v>8.4501000000000007E-2</v>
      </c>
      <c r="Y278">
        <v>0.03</v>
      </c>
      <c r="Z278">
        <v>0.13</v>
      </c>
      <c r="AA278" s="20">
        <f>Table3[[#This Row],[APS]]*Table3[[#This Row],[PrimaComercial Anual]]</f>
        <v>92.627280000000013</v>
      </c>
      <c r="AB278" s="8">
        <f>Table3[[#This Row],[PrimaComercial Anual]]*Table3[[#This Row],[Recargo adicional]]</f>
        <v>528.85795860000007</v>
      </c>
      <c r="AC278" s="8">
        <f>Table3[[#This Row],[PrimaComercial Anual]]*Table3[[#This Row],[IT]]</f>
        <v>187.75800000000001</v>
      </c>
      <c r="AD278" s="8">
        <f>Table3[[#This Row],[PrimaComercial Anual]]*Table3[[#This Row],[IVA]]</f>
        <v>813.61800000000005</v>
      </c>
      <c r="AE278" s="15">
        <f>Table3[[#This Row],[PrimaComercial Anual Asistencia]]</f>
        <v>6258.6</v>
      </c>
      <c r="AG278">
        <v>6258.6</v>
      </c>
    </row>
    <row r="279" spans="1:33" x14ac:dyDescent="0.25">
      <c r="A279" t="s">
        <v>17</v>
      </c>
      <c r="B279">
        <v>140000</v>
      </c>
      <c r="C279">
        <v>46</v>
      </c>
      <c r="D279" s="2">
        <f>Table3[[#This Row],[PrimaTécnica]]-Table3[[#This Row],[PrimaTécnica]]*SUM(Table3[[#This Row],[Gastos Adm]:[Cobranza]])</f>
        <v>2735.5643711135999</v>
      </c>
      <c r="E279">
        <v>0</v>
      </c>
      <c r="F279">
        <v>0.15</v>
      </c>
      <c r="G279">
        <v>0.05</v>
      </c>
      <c r="H279">
        <v>0.01</v>
      </c>
      <c r="I279">
        <v>0.01</v>
      </c>
      <c r="J279" s="8">
        <f>Table3[[#This Row],[PrimaTécnica]]*Table3[[#This Row],[Gastos Adm]]</f>
        <v>526.07007136799996</v>
      </c>
      <c r="K279" s="8">
        <f>Table3[[#This Row],[PrimaTécnica]]*Table3[[#This Row],[Utilidad]]</f>
        <v>175.35669045600002</v>
      </c>
      <c r="L279" s="8">
        <f>Table3[[#This Row],[PrimaTécnica]]*Table3[[#This Row],[Marketing]]</f>
        <v>35.071338091199998</v>
      </c>
      <c r="M279" s="8">
        <f>Table3[[#This Row],[PrimaTécnica]]*Table3[[#This Row],[Cobranza]]</f>
        <v>35.071338091199998</v>
      </c>
      <c r="N27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279">
        <v>21.84</v>
      </c>
      <c r="P279">
        <v>54.6</v>
      </c>
      <c r="Q279">
        <v>80.64</v>
      </c>
      <c r="R279">
        <v>44.377200000000002</v>
      </c>
      <c r="S279">
        <v>0.2</v>
      </c>
      <c r="T279">
        <v>0.02</v>
      </c>
      <c r="U279" s="8">
        <f>Table3[[#This Row],[PrimaNeta]]*Table3[[#This Row],[Comisión]]</f>
        <v>927.14775228000008</v>
      </c>
      <c r="V279" s="15">
        <f>Table3[[#This Row],[PrimaComercial Anual]]-Table3[[#This Row],[PrimaComercial Anual]]*SUM(Table3[[#This Row],[APS]:[IVA]])</f>
        <v>4635.7387613999999</v>
      </c>
      <c r="W279" s="2">
        <v>1.4800000000000001E-2</v>
      </c>
      <c r="X279" s="2">
        <v>8.4501000000000007E-2</v>
      </c>
      <c r="Y279">
        <v>0.03</v>
      </c>
      <c r="Z279">
        <v>0.13</v>
      </c>
      <c r="AA279" s="20">
        <f>Table3[[#This Row],[APS]]*Table3[[#This Row],[PrimaComercial Anual]]</f>
        <v>92.627280000000013</v>
      </c>
      <c r="AB279" s="8">
        <f>Table3[[#This Row],[PrimaComercial Anual]]*Table3[[#This Row],[Recargo adicional]]</f>
        <v>528.85795860000007</v>
      </c>
      <c r="AC279" s="8">
        <f>Table3[[#This Row],[PrimaComercial Anual]]*Table3[[#This Row],[IT]]</f>
        <v>187.75800000000001</v>
      </c>
      <c r="AD279" s="8">
        <f>Table3[[#This Row],[PrimaComercial Anual]]*Table3[[#This Row],[IVA]]</f>
        <v>813.61800000000005</v>
      </c>
      <c r="AE279" s="15">
        <f>Table3[[#This Row],[PrimaComercial Anual Asistencia]]</f>
        <v>6258.6</v>
      </c>
      <c r="AG279">
        <v>6258.6</v>
      </c>
    </row>
    <row r="280" spans="1:33" x14ac:dyDescent="0.25">
      <c r="A280" t="s">
        <v>17</v>
      </c>
      <c r="B280">
        <v>140000</v>
      </c>
      <c r="C280">
        <v>47</v>
      </c>
      <c r="D280" s="2">
        <f>Table3[[#This Row],[PrimaTécnica]]-Table3[[#This Row],[PrimaTécnica]]*SUM(Table3[[#This Row],[Gastos Adm]:[Cobranza]])</f>
        <v>2735.5643711135999</v>
      </c>
      <c r="E280">
        <v>0</v>
      </c>
      <c r="F280">
        <v>0.15</v>
      </c>
      <c r="G280">
        <v>0.05</v>
      </c>
      <c r="H280">
        <v>0.01</v>
      </c>
      <c r="I280">
        <v>0.01</v>
      </c>
      <c r="J280" s="8">
        <f>Table3[[#This Row],[PrimaTécnica]]*Table3[[#This Row],[Gastos Adm]]</f>
        <v>526.07007136799996</v>
      </c>
      <c r="K280" s="8">
        <f>Table3[[#This Row],[PrimaTécnica]]*Table3[[#This Row],[Utilidad]]</f>
        <v>175.35669045600002</v>
      </c>
      <c r="L280" s="8">
        <f>Table3[[#This Row],[PrimaTécnica]]*Table3[[#This Row],[Marketing]]</f>
        <v>35.071338091199998</v>
      </c>
      <c r="M280" s="8">
        <f>Table3[[#This Row],[PrimaTécnica]]*Table3[[#This Row],[Cobranza]]</f>
        <v>35.071338091199998</v>
      </c>
      <c r="N28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280">
        <v>21.84</v>
      </c>
      <c r="P280">
        <v>54.6</v>
      </c>
      <c r="Q280">
        <v>80.64</v>
      </c>
      <c r="R280">
        <v>44.377200000000002</v>
      </c>
      <c r="S280">
        <v>0.2</v>
      </c>
      <c r="T280">
        <v>0.02</v>
      </c>
      <c r="U280" s="8">
        <f>Table3[[#This Row],[PrimaNeta]]*Table3[[#This Row],[Comisión]]</f>
        <v>927.14775228000008</v>
      </c>
      <c r="V280" s="15">
        <f>Table3[[#This Row],[PrimaComercial Anual]]-Table3[[#This Row],[PrimaComercial Anual]]*SUM(Table3[[#This Row],[APS]:[IVA]])</f>
        <v>4635.7387613999999</v>
      </c>
      <c r="W280" s="2">
        <v>1.4800000000000001E-2</v>
      </c>
      <c r="X280" s="2">
        <v>8.4501000000000007E-2</v>
      </c>
      <c r="Y280">
        <v>0.03</v>
      </c>
      <c r="Z280">
        <v>0.13</v>
      </c>
      <c r="AA280" s="20">
        <f>Table3[[#This Row],[APS]]*Table3[[#This Row],[PrimaComercial Anual]]</f>
        <v>92.627280000000013</v>
      </c>
      <c r="AB280" s="8">
        <f>Table3[[#This Row],[PrimaComercial Anual]]*Table3[[#This Row],[Recargo adicional]]</f>
        <v>528.85795860000007</v>
      </c>
      <c r="AC280" s="8">
        <f>Table3[[#This Row],[PrimaComercial Anual]]*Table3[[#This Row],[IT]]</f>
        <v>187.75800000000001</v>
      </c>
      <c r="AD280" s="8">
        <f>Table3[[#This Row],[PrimaComercial Anual]]*Table3[[#This Row],[IVA]]</f>
        <v>813.61800000000005</v>
      </c>
      <c r="AE280" s="15">
        <f>Table3[[#This Row],[PrimaComercial Anual Asistencia]]</f>
        <v>6258.6</v>
      </c>
      <c r="AG280">
        <v>6258.6</v>
      </c>
    </row>
    <row r="281" spans="1:33" x14ac:dyDescent="0.25">
      <c r="A281" t="s">
        <v>17</v>
      </c>
      <c r="B281">
        <v>140000</v>
      </c>
      <c r="C281">
        <v>48</v>
      </c>
      <c r="D281" s="2">
        <f>Table3[[#This Row],[PrimaTécnica]]-Table3[[#This Row],[PrimaTécnica]]*SUM(Table3[[#This Row],[Gastos Adm]:[Cobranza]])</f>
        <v>2735.5643711135999</v>
      </c>
      <c r="E281">
        <v>0</v>
      </c>
      <c r="F281">
        <v>0.15</v>
      </c>
      <c r="G281">
        <v>0.05</v>
      </c>
      <c r="H281">
        <v>0.01</v>
      </c>
      <c r="I281">
        <v>0.01</v>
      </c>
      <c r="J281" s="8">
        <f>Table3[[#This Row],[PrimaTécnica]]*Table3[[#This Row],[Gastos Adm]]</f>
        <v>526.07007136799996</v>
      </c>
      <c r="K281" s="8">
        <f>Table3[[#This Row],[PrimaTécnica]]*Table3[[#This Row],[Utilidad]]</f>
        <v>175.35669045600002</v>
      </c>
      <c r="L281" s="8">
        <f>Table3[[#This Row],[PrimaTécnica]]*Table3[[#This Row],[Marketing]]</f>
        <v>35.071338091199998</v>
      </c>
      <c r="M281" s="8">
        <f>Table3[[#This Row],[PrimaTécnica]]*Table3[[#This Row],[Cobranza]]</f>
        <v>35.071338091199998</v>
      </c>
      <c r="N28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281">
        <v>21.84</v>
      </c>
      <c r="P281">
        <v>54.6</v>
      </c>
      <c r="Q281">
        <v>80.64</v>
      </c>
      <c r="R281">
        <v>44.377200000000002</v>
      </c>
      <c r="S281">
        <v>0.2</v>
      </c>
      <c r="T281">
        <v>0.02</v>
      </c>
      <c r="U281" s="8">
        <f>Table3[[#This Row],[PrimaNeta]]*Table3[[#This Row],[Comisión]]</f>
        <v>927.14775228000008</v>
      </c>
      <c r="V281" s="15">
        <f>Table3[[#This Row],[PrimaComercial Anual]]-Table3[[#This Row],[PrimaComercial Anual]]*SUM(Table3[[#This Row],[APS]:[IVA]])</f>
        <v>4635.7387613999999</v>
      </c>
      <c r="W281" s="2">
        <v>1.4800000000000001E-2</v>
      </c>
      <c r="X281" s="2">
        <v>8.4501000000000007E-2</v>
      </c>
      <c r="Y281">
        <v>0.03</v>
      </c>
      <c r="Z281">
        <v>0.13</v>
      </c>
      <c r="AA281" s="20">
        <f>Table3[[#This Row],[APS]]*Table3[[#This Row],[PrimaComercial Anual]]</f>
        <v>92.627280000000013</v>
      </c>
      <c r="AB281" s="8">
        <f>Table3[[#This Row],[PrimaComercial Anual]]*Table3[[#This Row],[Recargo adicional]]</f>
        <v>528.85795860000007</v>
      </c>
      <c r="AC281" s="8">
        <f>Table3[[#This Row],[PrimaComercial Anual]]*Table3[[#This Row],[IT]]</f>
        <v>187.75800000000001</v>
      </c>
      <c r="AD281" s="8">
        <f>Table3[[#This Row],[PrimaComercial Anual]]*Table3[[#This Row],[IVA]]</f>
        <v>813.61800000000005</v>
      </c>
      <c r="AE281" s="15">
        <f>Table3[[#This Row],[PrimaComercial Anual Asistencia]]</f>
        <v>6258.6</v>
      </c>
      <c r="AG281">
        <v>6258.6</v>
      </c>
    </row>
    <row r="282" spans="1:33" x14ac:dyDescent="0.25">
      <c r="A282" t="s">
        <v>17</v>
      </c>
      <c r="B282">
        <v>140000</v>
      </c>
      <c r="C282">
        <v>49</v>
      </c>
      <c r="D282" s="2">
        <f>Table3[[#This Row],[PrimaTécnica]]-Table3[[#This Row],[PrimaTécnica]]*SUM(Table3[[#This Row],[Gastos Adm]:[Cobranza]])</f>
        <v>2735.5643711135999</v>
      </c>
      <c r="E282">
        <v>0</v>
      </c>
      <c r="F282">
        <v>0.15</v>
      </c>
      <c r="G282">
        <v>0.05</v>
      </c>
      <c r="H282">
        <v>0.01</v>
      </c>
      <c r="I282">
        <v>0.01</v>
      </c>
      <c r="J282" s="8">
        <f>Table3[[#This Row],[PrimaTécnica]]*Table3[[#This Row],[Gastos Adm]]</f>
        <v>526.07007136799996</v>
      </c>
      <c r="K282" s="8">
        <f>Table3[[#This Row],[PrimaTécnica]]*Table3[[#This Row],[Utilidad]]</f>
        <v>175.35669045600002</v>
      </c>
      <c r="L282" s="8">
        <f>Table3[[#This Row],[PrimaTécnica]]*Table3[[#This Row],[Marketing]]</f>
        <v>35.071338091199998</v>
      </c>
      <c r="M282" s="8">
        <f>Table3[[#This Row],[PrimaTécnica]]*Table3[[#This Row],[Cobranza]]</f>
        <v>35.071338091199998</v>
      </c>
      <c r="N28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282">
        <v>21.84</v>
      </c>
      <c r="P282">
        <v>54.6</v>
      </c>
      <c r="Q282">
        <v>80.64</v>
      </c>
      <c r="R282">
        <v>44.377200000000002</v>
      </c>
      <c r="S282">
        <v>0.2</v>
      </c>
      <c r="T282">
        <v>0.02</v>
      </c>
      <c r="U282" s="8">
        <f>Table3[[#This Row],[PrimaNeta]]*Table3[[#This Row],[Comisión]]</f>
        <v>927.14775228000008</v>
      </c>
      <c r="V282" s="15">
        <f>Table3[[#This Row],[PrimaComercial Anual]]-Table3[[#This Row],[PrimaComercial Anual]]*SUM(Table3[[#This Row],[APS]:[IVA]])</f>
        <v>4635.7387613999999</v>
      </c>
      <c r="W282" s="2">
        <v>1.4800000000000001E-2</v>
      </c>
      <c r="X282" s="2">
        <v>8.4501000000000007E-2</v>
      </c>
      <c r="Y282">
        <v>0.03</v>
      </c>
      <c r="Z282">
        <v>0.13</v>
      </c>
      <c r="AA282" s="20">
        <f>Table3[[#This Row],[APS]]*Table3[[#This Row],[PrimaComercial Anual]]</f>
        <v>92.627280000000013</v>
      </c>
      <c r="AB282" s="8">
        <f>Table3[[#This Row],[PrimaComercial Anual]]*Table3[[#This Row],[Recargo adicional]]</f>
        <v>528.85795860000007</v>
      </c>
      <c r="AC282" s="8">
        <f>Table3[[#This Row],[PrimaComercial Anual]]*Table3[[#This Row],[IT]]</f>
        <v>187.75800000000001</v>
      </c>
      <c r="AD282" s="8">
        <f>Table3[[#This Row],[PrimaComercial Anual]]*Table3[[#This Row],[IVA]]</f>
        <v>813.61800000000005</v>
      </c>
      <c r="AE282" s="15">
        <f>Table3[[#This Row],[PrimaComercial Anual Asistencia]]</f>
        <v>6258.6</v>
      </c>
      <c r="AG282">
        <v>6258.6</v>
      </c>
    </row>
    <row r="283" spans="1:33" x14ac:dyDescent="0.25">
      <c r="A283" t="s">
        <v>17</v>
      </c>
      <c r="B283">
        <v>140000</v>
      </c>
      <c r="C283">
        <v>50</v>
      </c>
      <c r="D283" s="2">
        <f>Table3[[#This Row],[PrimaTécnica]]-Table3[[#This Row],[PrimaTécnica]]*SUM(Table3[[#This Row],[Gastos Adm]:[Cobranza]])</f>
        <v>3546.9959776991986</v>
      </c>
      <c r="E283">
        <v>0</v>
      </c>
      <c r="F283">
        <v>0.15</v>
      </c>
      <c r="G283">
        <v>0.05</v>
      </c>
      <c r="H283">
        <v>0.01</v>
      </c>
      <c r="I283">
        <v>0.01</v>
      </c>
      <c r="J283" s="8">
        <f>Table3[[#This Row],[PrimaTécnica]]*Table3[[#This Row],[Gastos Adm]]</f>
        <v>682.11461109599975</v>
      </c>
      <c r="K283" s="8">
        <f>Table3[[#This Row],[PrimaTécnica]]*Table3[[#This Row],[Utilidad]]</f>
        <v>227.37153703199994</v>
      </c>
      <c r="L283" s="8">
        <f>Table3[[#This Row],[PrimaTécnica]]*Table3[[#This Row],[Marketing]]</f>
        <v>45.474307406399987</v>
      </c>
      <c r="M283" s="8">
        <f>Table3[[#This Row],[PrimaTécnica]]*Table3[[#This Row],[Cobranza]]</f>
        <v>45.474307406399987</v>
      </c>
      <c r="N28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4547.4307406399985</v>
      </c>
      <c r="O283">
        <v>21.84</v>
      </c>
      <c r="P283">
        <v>54.6</v>
      </c>
      <c r="Q283">
        <v>80.64</v>
      </c>
      <c r="R283">
        <v>44.377200000000002</v>
      </c>
      <c r="S283">
        <v>0.2</v>
      </c>
      <c r="T283">
        <v>0.02</v>
      </c>
      <c r="U283" s="8">
        <f>Table3[[#This Row],[PrimaNeta]]*Table3[[#This Row],[Comisión]]</f>
        <v>1187.22198516</v>
      </c>
      <c r="V283" s="15">
        <f>Table3[[#This Row],[PrimaComercial Anual]]-Table3[[#This Row],[PrimaComercial Anual]]*SUM(Table3[[#This Row],[APS]:[IVA]])</f>
        <v>5936.1099257999995</v>
      </c>
      <c r="W283" s="2">
        <v>1.4800000000000001E-2</v>
      </c>
      <c r="X283" s="2">
        <v>8.4501000000000007E-2</v>
      </c>
      <c r="Y283">
        <v>0.03</v>
      </c>
      <c r="Z283">
        <v>0.13</v>
      </c>
      <c r="AA283" s="20">
        <f>Table3[[#This Row],[APS]]*Table3[[#This Row],[PrimaComercial Anual]]</f>
        <v>118.61016000000001</v>
      </c>
      <c r="AB283" s="8">
        <f>Table3[[#This Row],[PrimaComercial Anual]]*Table3[[#This Row],[Recargo adicional]]</f>
        <v>677.2079142</v>
      </c>
      <c r="AC283" s="8">
        <f>Table3[[#This Row],[PrimaComercial Anual]]*Table3[[#This Row],[IT]]</f>
        <v>240.42599999999999</v>
      </c>
      <c r="AD283" s="8">
        <f>Table3[[#This Row],[PrimaComercial Anual]]*Table3[[#This Row],[IVA]]</f>
        <v>1041.846</v>
      </c>
      <c r="AE283" s="15">
        <f>Table3[[#This Row],[PrimaComercial Anual Asistencia]]</f>
        <v>8014.2</v>
      </c>
      <c r="AG283">
        <v>8014.2</v>
      </c>
    </row>
    <row r="284" spans="1:33" x14ac:dyDescent="0.25">
      <c r="A284" t="s">
        <v>17</v>
      </c>
      <c r="B284">
        <v>140000</v>
      </c>
      <c r="C284">
        <v>51</v>
      </c>
      <c r="D284" s="2">
        <f>Table3[[#This Row],[PrimaTécnica]]-Table3[[#This Row],[PrimaTécnica]]*SUM(Table3[[#This Row],[Gastos Adm]:[Cobranza]])</f>
        <v>3546.9959776991986</v>
      </c>
      <c r="E284">
        <v>0</v>
      </c>
      <c r="F284">
        <v>0.15</v>
      </c>
      <c r="G284">
        <v>0.05</v>
      </c>
      <c r="H284">
        <v>0.01</v>
      </c>
      <c r="I284">
        <v>0.01</v>
      </c>
      <c r="J284" s="8">
        <f>Table3[[#This Row],[PrimaTécnica]]*Table3[[#This Row],[Gastos Adm]]</f>
        <v>682.11461109599975</v>
      </c>
      <c r="K284" s="8">
        <f>Table3[[#This Row],[PrimaTécnica]]*Table3[[#This Row],[Utilidad]]</f>
        <v>227.37153703199994</v>
      </c>
      <c r="L284" s="8">
        <f>Table3[[#This Row],[PrimaTécnica]]*Table3[[#This Row],[Marketing]]</f>
        <v>45.474307406399987</v>
      </c>
      <c r="M284" s="8">
        <f>Table3[[#This Row],[PrimaTécnica]]*Table3[[#This Row],[Cobranza]]</f>
        <v>45.474307406399987</v>
      </c>
      <c r="N28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4547.4307406399985</v>
      </c>
      <c r="O284">
        <v>21.84</v>
      </c>
      <c r="P284">
        <v>54.6</v>
      </c>
      <c r="Q284">
        <v>80.64</v>
      </c>
      <c r="R284">
        <v>44.377200000000002</v>
      </c>
      <c r="S284">
        <v>0.2</v>
      </c>
      <c r="T284">
        <v>0.02</v>
      </c>
      <c r="U284" s="8">
        <f>Table3[[#This Row],[PrimaNeta]]*Table3[[#This Row],[Comisión]]</f>
        <v>1187.22198516</v>
      </c>
      <c r="V284" s="15">
        <f>Table3[[#This Row],[PrimaComercial Anual]]-Table3[[#This Row],[PrimaComercial Anual]]*SUM(Table3[[#This Row],[APS]:[IVA]])</f>
        <v>5936.1099257999995</v>
      </c>
      <c r="W284" s="2">
        <v>1.4800000000000001E-2</v>
      </c>
      <c r="X284" s="2">
        <v>8.4501000000000007E-2</v>
      </c>
      <c r="Y284">
        <v>0.03</v>
      </c>
      <c r="Z284">
        <v>0.13</v>
      </c>
      <c r="AA284" s="20">
        <f>Table3[[#This Row],[APS]]*Table3[[#This Row],[PrimaComercial Anual]]</f>
        <v>118.61016000000001</v>
      </c>
      <c r="AB284" s="8">
        <f>Table3[[#This Row],[PrimaComercial Anual]]*Table3[[#This Row],[Recargo adicional]]</f>
        <v>677.2079142</v>
      </c>
      <c r="AC284" s="8">
        <f>Table3[[#This Row],[PrimaComercial Anual]]*Table3[[#This Row],[IT]]</f>
        <v>240.42599999999999</v>
      </c>
      <c r="AD284" s="8">
        <f>Table3[[#This Row],[PrimaComercial Anual]]*Table3[[#This Row],[IVA]]</f>
        <v>1041.846</v>
      </c>
      <c r="AE284" s="15">
        <f>Table3[[#This Row],[PrimaComercial Anual Asistencia]]</f>
        <v>8014.2</v>
      </c>
      <c r="AG284">
        <v>8014.2</v>
      </c>
    </row>
    <row r="285" spans="1:33" x14ac:dyDescent="0.25">
      <c r="A285" t="s">
        <v>17</v>
      </c>
      <c r="B285">
        <v>140000</v>
      </c>
      <c r="C285">
        <v>52</v>
      </c>
      <c r="D285" s="2">
        <f>Table3[[#This Row],[PrimaTécnica]]-Table3[[#This Row],[PrimaTécnica]]*SUM(Table3[[#This Row],[Gastos Adm]:[Cobranza]])</f>
        <v>3546.9959776991986</v>
      </c>
      <c r="E285">
        <v>0</v>
      </c>
      <c r="F285">
        <v>0.15</v>
      </c>
      <c r="G285">
        <v>0.05</v>
      </c>
      <c r="H285">
        <v>0.01</v>
      </c>
      <c r="I285">
        <v>0.01</v>
      </c>
      <c r="J285" s="8">
        <f>Table3[[#This Row],[PrimaTécnica]]*Table3[[#This Row],[Gastos Adm]]</f>
        <v>682.11461109599975</v>
      </c>
      <c r="K285" s="8">
        <f>Table3[[#This Row],[PrimaTécnica]]*Table3[[#This Row],[Utilidad]]</f>
        <v>227.37153703199994</v>
      </c>
      <c r="L285" s="8">
        <f>Table3[[#This Row],[PrimaTécnica]]*Table3[[#This Row],[Marketing]]</f>
        <v>45.474307406399987</v>
      </c>
      <c r="M285" s="8">
        <f>Table3[[#This Row],[PrimaTécnica]]*Table3[[#This Row],[Cobranza]]</f>
        <v>45.474307406399987</v>
      </c>
      <c r="N28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4547.4307406399985</v>
      </c>
      <c r="O285">
        <v>21.84</v>
      </c>
      <c r="P285">
        <v>54.6</v>
      </c>
      <c r="Q285">
        <v>80.64</v>
      </c>
      <c r="R285">
        <v>44.377200000000002</v>
      </c>
      <c r="S285">
        <v>0.2</v>
      </c>
      <c r="T285">
        <v>0.02</v>
      </c>
      <c r="U285" s="8">
        <f>Table3[[#This Row],[PrimaNeta]]*Table3[[#This Row],[Comisión]]</f>
        <v>1187.22198516</v>
      </c>
      <c r="V285" s="15">
        <f>Table3[[#This Row],[PrimaComercial Anual]]-Table3[[#This Row],[PrimaComercial Anual]]*SUM(Table3[[#This Row],[APS]:[IVA]])</f>
        <v>5936.1099257999995</v>
      </c>
      <c r="W285" s="2">
        <v>1.4800000000000001E-2</v>
      </c>
      <c r="X285" s="2">
        <v>8.4501000000000007E-2</v>
      </c>
      <c r="Y285">
        <v>0.03</v>
      </c>
      <c r="Z285">
        <v>0.13</v>
      </c>
      <c r="AA285" s="20">
        <f>Table3[[#This Row],[APS]]*Table3[[#This Row],[PrimaComercial Anual]]</f>
        <v>118.61016000000001</v>
      </c>
      <c r="AB285" s="8">
        <f>Table3[[#This Row],[PrimaComercial Anual]]*Table3[[#This Row],[Recargo adicional]]</f>
        <v>677.2079142</v>
      </c>
      <c r="AC285" s="8">
        <f>Table3[[#This Row],[PrimaComercial Anual]]*Table3[[#This Row],[IT]]</f>
        <v>240.42599999999999</v>
      </c>
      <c r="AD285" s="8">
        <f>Table3[[#This Row],[PrimaComercial Anual]]*Table3[[#This Row],[IVA]]</f>
        <v>1041.846</v>
      </c>
      <c r="AE285" s="15">
        <f>Table3[[#This Row],[PrimaComercial Anual Asistencia]]</f>
        <v>8014.2</v>
      </c>
      <c r="AG285">
        <v>8014.2</v>
      </c>
    </row>
    <row r="286" spans="1:33" x14ac:dyDescent="0.25">
      <c r="A286" t="s">
        <v>17</v>
      </c>
      <c r="B286">
        <v>140000</v>
      </c>
      <c r="C286">
        <v>53</v>
      </c>
      <c r="D286" s="2">
        <f>Table3[[#This Row],[PrimaTécnica]]-Table3[[#This Row],[PrimaTécnica]]*SUM(Table3[[#This Row],[Gastos Adm]:[Cobranza]])</f>
        <v>3546.9959776991986</v>
      </c>
      <c r="E286">
        <v>0</v>
      </c>
      <c r="F286">
        <v>0.15</v>
      </c>
      <c r="G286">
        <v>0.05</v>
      </c>
      <c r="H286">
        <v>0.01</v>
      </c>
      <c r="I286">
        <v>0.01</v>
      </c>
      <c r="J286" s="8">
        <f>Table3[[#This Row],[PrimaTécnica]]*Table3[[#This Row],[Gastos Adm]]</f>
        <v>682.11461109599975</v>
      </c>
      <c r="K286" s="8">
        <f>Table3[[#This Row],[PrimaTécnica]]*Table3[[#This Row],[Utilidad]]</f>
        <v>227.37153703199994</v>
      </c>
      <c r="L286" s="8">
        <f>Table3[[#This Row],[PrimaTécnica]]*Table3[[#This Row],[Marketing]]</f>
        <v>45.474307406399987</v>
      </c>
      <c r="M286" s="8">
        <f>Table3[[#This Row],[PrimaTécnica]]*Table3[[#This Row],[Cobranza]]</f>
        <v>45.474307406399987</v>
      </c>
      <c r="N28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4547.4307406399985</v>
      </c>
      <c r="O286">
        <v>21.84</v>
      </c>
      <c r="P286">
        <v>54.6</v>
      </c>
      <c r="Q286">
        <v>80.64</v>
      </c>
      <c r="R286">
        <v>44.377200000000002</v>
      </c>
      <c r="S286">
        <v>0.2</v>
      </c>
      <c r="T286">
        <v>0.02</v>
      </c>
      <c r="U286" s="8">
        <f>Table3[[#This Row],[PrimaNeta]]*Table3[[#This Row],[Comisión]]</f>
        <v>1187.22198516</v>
      </c>
      <c r="V286" s="15">
        <f>Table3[[#This Row],[PrimaComercial Anual]]-Table3[[#This Row],[PrimaComercial Anual]]*SUM(Table3[[#This Row],[APS]:[IVA]])</f>
        <v>5936.1099257999995</v>
      </c>
      <c r="W286" s="2">
        <v>1.4800000000000001E-2</v>
      </c>
      <c r="X286" s="2">
        <v>8.4501000000000007E-2</v>
      </c>
      <c r="Y286">
        <v>0.03</v>
      </c>
      <c r="Z286">
        <v>0.13</v>
      </c>
      <c r="AA286" s="20">
        <f>Table3[[#This Row],[APS]]*Table3[[#This Row],[PrimaComercial Anual]]</f>
        <v>118.61016000000001</v>
      </c>
      <c r="AB286" s="8">
        <f>Table3[[#This Row],[PrimaComercial Anual]]*Table3[[#This Row],[Recargo adicional]]</f>
        <v>677.2079142</v>
      </c>
      <c r="AC286" s="8">
        <f>Table3[[#This Row],[PrimaComercial Anual]]*Table3[[#This Row],[IT]]</f>
        <v>240.42599999999999</v>
      </c>
      <c r="AD286" s="8">
        <f>Table3[[#This Row],[PrimaComercial Anual]]*Table3[[#This Row],[IVA]]</f>
        <v>1041.846</v>
      </c>
      <c r="AE286" s="15">
        <f>Table3[[#This Row],[PrimaComercial Anual Asistencia]]</f>
        <v>8014.2</v>
      </c>
      <c r="AG286">
        <v>8014.2</v>
      </c>
    </row>
    <row r="287" spans="1:33" x14ac:dyDescent="0.25">
      <c r="A287" t="s">
        <v>17</v>
      </c>
      <c r="B287">
        <v>140000</v>
      </c>
      <c r="C287">
        <v>54</v>
      </c>
      <c r="D287" s="2">
        <f>Table3[[#This Row],[PrimaTécnica]]-Table3[[#This Row],[PrimaTécnica]]*SUM(Table3[[#This Row],[Gastos Adm]:[Cobranza]])</f>
        <v>3546.9959776991986</v>
      </c>
      <c r="E287">
        <v>0</v>
      </c>
      <c r="F287">
        <v>0.15</v>
      </c>
      <c r="G287">
        <v>0.05</v>
      </c>
      <c r="H287">
        <v>0.01</v>
      </c>
      <c r="I287">
        <v>0.01</v>
      </c>
      <c r="J287" s="8">
        <f>Table3[[#This Row],[PrimaTécnica]]*Table3[[#This Row],[Gastos Adm]]</f>
        <v>682.11461109599975</v>
      </c>
      <c r="K287" s="8">
        <f>Table3[[#This Row],[PrimaTécnica]]*Table3[[#This Row],[Utilidad]]</f>
        <v>227.37153703199994</v>
      </c>
      <c r="L287" s="8">
        <f>Table3[[#This Row],[PrimaTécnica]]*Table3[[#This Row],[Marketing]]</f>
        <v>45.474307406399987</v>
      </c>
      <c r="M287" s="8">
        <f>Table3[[#This Row],[PrimaTécnica]]*Table3[[#This Row],[Cobranza]]</f>
        <v>45.474307406399987</v>
      </c>
      <c r="N28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4547.4307406399985</v>
      </c>
      <c r="O287">
        <v>21.84</v>
      </c>
      <c r="P287">
        <v>54.6</v>
      </c>
      <c r="Q287">
        <v>80.64</v>
      </c>
      <c r="R287">
        <v>44.377200000000002</v>
      </c>
      <c r="S287">
        <v>0.2</v>
      </c>
      <c r="T287">
        <v>0.02</v>
      </c>
      <c r="U287" s="8">
        <f>Table3[[#This Row],[PrimaNeta]]*Table3[[#This Row],[Comisión]]</f>
        <v>1187.22198516</v>
      </c>
      <c r="V287" s="15">
        <f>Table3[[#This Row],[PrimaComercial Anual]]-Table3[[#This Row],[PrimaComercial Anual]]*SUM(Table3[[#This Row],[APS]:[IVA]])</f>
        <v>5936.1099257999995</v>
      </c>
      <c r="W287" s="2">
        <v>1.4800000000000001E-2</v>
      </c>
      <c r="X287" s="2">
        <v>8.4501000000000007E-2</v>
      </c>
      <c r="Y287">
        <v>0.03</v>
      </c>
      <c r="Z287">
        <v>0.13</v>
      </c>
      <c r="AA287" s="20">
        <f>Table3[[#This Row],[APS]]*Table3[[#This Row],[PrimaComercial Anual]]</f>
        <v>118.61016000000001</v>
      </c>
      <c r="AB287" s="8">
        <f>Table3[[#This Row],[PrimaComercial Anual]]*Table3[[#This Row],[Recargo adicional]]</f>
        <v>677.2079142</v>
      </c>
      <c r="AC287" s="8">
        <f>Table3[[#This Row],[PrimaComercial Anual]]*Table3[[#This Row],[IT]]</f>
        <v>240.42599999999999</v>
      </c>
      <c r="AD287" s="8">
        <f>Table3[[#This Row],[PrimaComercial Anual]]*Table3[[#This Row],[IVA]]</f>
        <v>1041.846</v>
      </c>
      <c r="AE287" s="15">
        <f>Table3[[#This Row],[PrimaComercial Anual Asistencia]]</f>
        <v>8014.2</v>
      </c>
      <c r="AG287">
        <v>8014.2</v>
      </c>
    </row>
    <row r="288" spans="1:33" x14ac:dyDescent="0.25">
      <c r="A288" t="s">
        <v>17</v>
      </c>
      <c r="B288">
        <v>140000</v>
      </c>
      <c r="C288">
        <v>55</v>
      </c>
      <c r="D288" s="2">
        <f>Table3[[#This Row],[PrimaTécnica]]-Table3[[#This Row],[PrimaTécnica]]*SUM(Table3[[#This Row],[Gastos Adm]:[Cobranza]])</f>
        <v>3546.9959776991986</v>
      </c>
      <c r="E288">
        <v>0</v>
      </c>
      <c r="F288">
        <v>0.15</v>
      </c>
      <c r="G288">
        <v>0.05</v>
      </c>
      <c r="H288">
        <v>0.01</v>
      </c>
      <c r="I288">
        <v>0.01</v>
      </c>
      <c r="J288" s="8">
        <f>Table3[[#This Row],[PrimaTécnica]]*Table3[[#This Row],[Gastos Adm]]</f>
        <v>682.11461109599975</v>
      </c>
      <c r="K288" s="8">
        <f>Table3[[#This Row],[PrimaTécnica]]*Table3[[#This Row],[Utilidad]]</f>
        <v>227.37153703199994</v>
      </c>
      <c r="L288" s="8">
        <f>Table3[[#This Row],[PrimaTécnica]]*Table3[[#This Row],[Marketing]]</f>
        <v>45.474307406399987</v>
      </c>
      <c r="M288" s="8">
        <f>Table3[[#This Row],[PrimaTécnica]]*Table3[[#This Row],[Cobranza]]</f>
        <v>45.474307406399987</v>
      </c>
      <c r="N28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4547.4307406399985</v>
      </c>
      <c r="O288">
        <v>21.84</v>
      </c>
      <c r="P288">
        <v>54.6</v>
      </c>
      <c r="Q288">
        <v>80.64</v>
      </c>
      <c r="R288">
        <v>44.377200000000002</v>
      </c>
      <c r="S288">
        <v>0.2</v>
      </c>
      <c r="T288">
        <v>0.02</v>
      </c>
      <c r="U288" s="8">
        <f>Table3[[#This Row],[PrimaNeta]]*Table3[[#This Row],[Comisión]]</f>
        <v>1187.22198516</v>
      </c>
      <c r="V288" s="15">
        <f>Table3[[#This Row],[PrimaComercial Anual]]-Table3[[#This Row],[PrimaComercial Anual]]*SUM(Table3[[#This Row],[APS]:[IVA]])</f>
        <v>5936.1099257999995</v>
      </c>
      <c r="W288" s="2">
        <v>1.4800000000000001E-2</v>
      </c>
      <c r="X288" s="2">
        <v>8.4501000000000007E-2</v>
      </c>
      <c r="Y288">
        <v>0.03</v>
      </c>
      <c r="Z288">
        <v>0.13</v>
      </c>
      <c r="AA288" s="20">
        <f>Table3[[#This Row],[APS]]*Table3[[#This Row],[PrimaComercial Anual]]</f>
        <v>118.61016000000001</v>
      </c>
      <c r="AB288" s="8">
        <f>Table3[[#This Row],[PrimaComercial Anual]]*Table3[[#This Row],[Recargo adicional]]</f>
        <v>677.2079142</v>
      </c>
      <c r="AC288" s="8">
        <f>Table3[[#This Row],[PrimaComercial Anual]]*Table3[[#This Row],[IT]]</f>
        <v>240.42599999999999</v>
      </c>
      <c r="AD288" s="8">
        <f>Table3[[#This Row],[PrimaComercial Anual]]*Table3[[#This Row],[IVA]]</f>
        <v>1041.846</v>
      </c>
      <c r="AE288" s="15">
        <f>Table3[[#This Row],[PrimaComercial Anual Asistencia]]</f>
        <v>8014.2</v>
      </c>
      <c r="AG288">
        <v>8014.2</v>
      </c>
    </row>
    <row r="289" spans="1:33" x14ac:dyDescent="0.25">
      <c r="A289" t="s">
        <v>17</v>
      </c>
      <c r="B289">
        <v>140000</v>
      </c>
      <c r="C289">
        <v>56</v>
      </c>
      <c r="D289" s="2">
        <f>Table3[[#This Row],[PrimaTécnica]]-Table3[[#This Row],[PrimaTécnica]]*SUM(Table3[[#This Row],[Gastos Adm]:[Cobranza]])</f>
        <v>4210.8945649055986</v>
      </c>
      <c r="E289">
        <v>0</v>
      </c>
      <c r="F289">
        <v>0.15</v>
      </c>
      <c r="G289">
        <v>0.05</v>
      </c>
      <c r="H289">
        <v>0.01</v>
      </c>
      <c r="I289">
        <v>0.01</v>
      </c>
      <c r="J289" s="8">
        <f>Table3[[#This Row],[PrimaTécnica]]*Table3[[#This Row],[Gastos Adm]]</f>
        <v>809.78741632799984</v>
      </c>
      <c r="K289" s="8">
        <f>Table3[[#This Row],[PrimaTécnica]]*Table3[[#This Row],[Utilidad]]</f>
        <v>269.92913877599995</v>
      </c>
      <c r="L289" s="8">
        <f>Table3[[#This Row],[PrimaTécnica]]*Table3[[#This Row],[Marketing]]</f>
        <v>53.985827755199992</v>
      </c>
      <c r="M289" s="8">
        <f>Table3[[#This Row],[PrimaTécnica]]*Table3[[#This Row],[Cobranza]]</f>
        <v>53.985827755199992</v>
      </c>
      <c r="N28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5398.5827755199989</v>
      </c>
      <c r="O289">
        <v>21.84</v>
      </c>
      <c r="P289">
        <v>54.6</v>
      </c>
      <c r="Q289">
        <v>80.64</v>
      </c>
      <c r="R289">
        <v>44.377200000000002</v>
      </c>
      <c r="S289">
        <v>0.2</v>
      </c>
      <c r="T289">
        <v>0.02</v>
      </c>
      <c r="U289" s="8">
        <f>Table3[[#This Row],[PrimaNeta]]*Table3[[#This Row],[Comisión]]</f>
        <v>1400.0099938800001</v>
      </c>
      <c r="V289" s="15">
        <f>Table3[[#This Row],[PrimaComercial Anual]]-Table3[[#This Row],[PrimaComercial Anual]]*SUM(Table3[[#This Row],[APS]:[IVA]])</f>
        <v>7000.0499694</v>
      </c>
      <c r="W289" s="2">
        <v>1.4800000000000001E-2</v>
      </c>
      <c r="X289" s="2">
        <v>8.4501000000000007E-2</v>
      </c>
      <c r="Y289">
        <v>0.03</v>
      </c>
      <c r="Z289">
        <v>0.13</v>
      </c>
      <c r="AA289" s="20">
        <f>Table3[[#This Row],[APS]]*Table3[[#This Row],[PrimaComercial Anual]]</f>
        <v>139.86888000000002</v>
      </c>
      <c r="AB289" s="8">
        <f>Table3[[#This Row],[PrimaComercial Anual]]*Table3[[#This Row],[Recargo adicional]]</f>
        <v>798.58515060000013</v>
      </c>
      <c r="AC289" s="8">
        <f>Table3[[#This Row],[PrimaComercial Anual]]*Table3[[#This Row],[IT]]</f>
        <v>283.51799999999997</v>
      </c>
      <c r="AD289" s="8">
        <f>Table3[[#This Row],[PrimaComercial Anual]]*Table3[[#This Row],[IVA]]</f>
        <v>1228.5780000000002</v>
      </c>
      <c r="AE289" s="15">
        <f>Table3[[#This Row],[PrimaComercial Anual Asistencia]]</f>
        <v>9450.6</v>
      </c>
      <c r="AG289">
        <v>9450.6</v>
      </c>
    </row>
    <row r="290" spans="1:33" x14ac:dyDescent="0.25">
      <c r="A290" t="s">
        <v>17</v>
      </c>
      <c r="B290">
        <v>140000</v>
      </c>
      <c r="C290">
        <v>57</v>
      </c>
      <c r="D290" s="2">
        <f>Table3[[#This Row],[PrimaTécnica]]-Table3[[#This Row],[PrimaTécnica]]*SUM(Table3[[#This Row],[Gastos Adm]:[Cobranza]])</f>
        <v>4210.8945649055986</v>
      </c>
      <c r="E290">
        <v>0</v>
      </c>
      <c r="F290">
        <v>0.15</v>
      </c>
      <c r="G290">
        <v>0.05</v>
      </c>
      <c r="H290">
        <v>0.01</v>
      </c>
      <c r="I290">
        <v>0.01</v>
      </c>
      <c r="J290" s="8">
        <f>Table3[[#This Row],[PrimaTécnica]]*Table3[[#This Row],[Gastos Adm]]</f>
        <v>809.78741632799984</v>
      </c>
      <c r="K290" s="8">
        <f>Table3[[#This Row],[PrimaTécnica]]*Table3[[#This Row],[Utilidad]]</f>
        <v>269.92913877599995</v>
      </c>
      <c r="L290" s="8">
        <f>Table3[[#This Row],[PrimaTécnica]]*Table3[[#This Row],[Marketing]]</f>
        <v>53.985827755199992</v>
      </c>
      <c r="M290" s="8">
        <f>Table3[[#This Row],[PrimaTécnica]]*Table3[[#This Row],[Cobranza]]</f>
        <v>53.985827755199992</v>
      </c>
      <c r="N29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5398.5827755199989</v>
      </c>
      <c r="O290">
        <v>21.84</v>
      </c>
      <c r="P290">
        <v>54.6</v>
      </c>
      <c r="Q290">
        <v>80.64</v>
      </c>
      <c r="R290">
        <v>44.377200000000002</v>
      </c>
      <c r="S290">
        <v>0.2</v>
      </c>
      <c r="T290">
        <v>0.02</v>
      </c>
      <c r="U290" s="8">
        <f>Table3[[#This Row],[PrimaNeta]]*Table3[[#This Row],[Comisión]]</f>
        <v>1400.0099938800001</v>
      </c>
      <c r="V290" s="15">
        <f>Table3[[#This Row],[PrimaComercial Anual]]-Table3[[#This Row],[PrimaComercial Anual]]*SUM(Table3[[#This Row],[APS]:[IVA]])</f>
        <v>7000.0499694</v>
      </c>
      <c r="W290" s="2">
        <v>1.4800000000000001E-2</v>
      </c>
      <c r="X290" s="2">
        <v>8.4501000000000007E-2</v>
      </c>
      <c r="Y290">
        <v>0.03</v>
      </c>
      <c r="Z290">
        <v>0.13</v>
      </c>
      <c r="AA290" s="20">
        <f>Table3[[#This Row],[APS]]*Table3[[#This Row],[PrimaComercial Anual]]</f>
        <v>139.86888000000002</v>
      </c>
      <c r="AB290" s="8">
        <f>Table3[[#This Row],[PrimaComercial Anual]]*Table3[[#This Row],[Recargo adicional]]</f>
        <v>798.58515060000013</v>
      </c>
      <c r="AC290" s="8">
        <f>Table3[[#This Row],[PrimaComercial Anual]]*Table3[[#This Row],[IT]]</f>
        <v>283.51799999999997</v>
      </c>
      <c r="AD290" s="8">
        <f>Table3[[#This Row],[PrimaComercial Anual]]*Table3[[#This Row],[IVA]]</f>
        <v>1228.5780000000002</v>
      </c>
      <c r="AE290" s="15">
        <f>Table3[[#This Row],[PrimaComercial Anual Asistencia]]</f>
        <v>9450.6</v>
      </c>
      <c r="AG290">
        <v>9450.6</v>
      </c>
    </row>
    <row r="291" spans="1:33" x14ac:dyDescent="0.25">
      <c r="A291" t="s">
        <v>17</v>
      </c>
      <c r="B291">
        <v>140000</v>
      </c>
      <c r="C291">
        <v>58</v>
      </c>
      <c r="D291" s="2">
        <f>Table3[[#This Row],[PrimaTécnica]]-Table3[[#This Row],[PrimaTécnica]]*SUM(Table3[[#This Row],[Gastos Adm]:[Cobranza]])</f>
        <v>4210.8945649055986</v>
      </c>
      <c r="E291">
        <v>0</v>
      </c>
      <c r="F291">
        <v>0.15</v>
      </c>
      <c r="G291">
        <v>0.05</v>
      </c>
      <c r="H291">
        <v>0.01</v>
      </c>
      <c r="I291">
        <v>0.01</v>
      </c>
      <c r="J291" s="8">
        <f>Table3[[#This Row],[PrimaTécnica]]*Table3[[#This Row],[Gastos Adm]]</f>
        <v>809.78741632799984</v>
      </c>
      <c r="K291" s="8">
        <f>Table3[[#This Row],[PrimaTécnica]]*Table3[[#This Row],[Utilidad]]</f>
        <v>269.92913877599995</v>
      </c>
      <c r="L291" s="8">
        <f>Table3[[#This Row],[PrimaTécnica]]*Table3[[#This Row],[Marketing]]</f>
        <v>53.985827755199992</v>
      </c>
      <c r="M291" s="8">
        <f>Table3[[#This Row],[PrimaTécnica]]*Table3[[#This Row],[Cobranza]]</f>
        <v>53.985827755199992</v>
      </c>
      <c r="N29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5398.5827755199989</v>
      </c>
      <c r="O291">
        <v>21.84</v>
      </c>
      <c r="P291">
        <v>54.6</v>
      </c>
      <c r="Q291">
        <v>80.64</v>
      </c>
      <c r="R291">
        <v>44.377200000000002</v>
      </c>
      <c r="S291">
        <v>0.2</v>
      </c>
      <c r="T291">
        <v>0.02</v>
      </c>
      <c r="U291" s="8">
        <f>Table3[[#This Row],[PrimaNeta]]*Table3[[#This Row],[Comisión]]</f>
        <v>1400.0099938800001</v>
      </c>
      <c r="V291" s="15">
        <f>Table3[[#This Row],[PrimaComercial Anual]]-Table3[[#This Row],[PrimaComercial Anual]]*SUM(Table3[[#This Row],[APS]:[IVA]])</f>
        <v>7000.0499694</v>
      </c>
      <c r="W291" s="2">
        <v>1.4800000000000001E-2</v>
      </c>
      <c r="X291" s="2">
        <v>8.4501000000000007E-2</v>
      </c>
      <c r="Y291">
        <v>0.03</v>
      </c>
      <c r="Z291">
        <v>0.13</v>
      </c>
      <c r="AA291" s="20">
        <f>Table3[[#This Row],[APS]]*Table3[[#This Row],[PrimaComercial Anual]]</f>
        <v>139.86888000000002</v>
      </c>
      <c r="AB291" s="8">
        <f>Table3[[#This Row],[PrimaComercial Anual]]*Table3[[#This Row],[Recargo adicional]]</f>
        <v>798.58515060000013</v>
      </c>
      <c r="AC291" s="8">
        <f>Table3[[#This Row],[PrimaComercial Anual]]*Table3[[#This Row],[IT]]</f>
        <v>283.51799999999997</v>
      </c>
      <c r="AD291" s="8">
        <f>Table3[[#This Row],[PrimaComercial Anual]]*Table3[[#This Row],[IVA]]</f>
        <v>1228.5780000000002</v>
      </c>
      <c r="AE291" s="15">
        <f>Table3[[#This Row],[PrimaComercial Anual Asistencia]]</f>
        <v>9450.6</v>
      </c>
      <c r="AG291">
        <v>9450.6</v>
      </c>
    </row>
    <row r="292" spans="1:33" x14ac:dyDescent="0.25">
      <c r="A292" t="s">
        <v>17</v>
      </c>
      <c r="B292">
        <v>140000</v>
      </c>
      <c r="C292">
        <v>59</v>
      </c>
      <c r="D292" s="2">
        <f>Table3[[#This Row],[PrimaTécnica]]-Table3[[#This Row],[PrimaTécnica]]*SUM(Table3[[#This Row],[Gastos Adm]:[Cobranza]])</f>
        <v>4210.8945649055986</v>
      </c>
      <c r="E292">
        <v>0</v>
      </c>
      <c r="F292">
        <v>0.15</v>
      </c>
      <c r="G292">
        <v>0.05</v>
      </c>
      <c r="H292">
        <v>0.01</v>
      </c>
      <c r="I292">
        <v>0.01</v>
      </c>
      <c r="J292" s="8">
        <f>Table3[[#This Row],[PrimaTécnica]]*Table3[[#This Row],[Gastos Adm]]</f>
        <v>809.78741632799984</v>
      </c>
      <c r="K292" s="8">
        <f>Table3[[#This Row],[PrimaTécnica]]*Table3[[#This Row],[Utilidad]]</f>
        <v>269.92913877599995</v>
      </c>
      <c r="L292" s="8">
        <f>Table3[[#This Row],[PrimaTécnica]]*Table3[[#This Row],[Marketing]]</f>
        <v>53.985827755199992</v>
      </c>
      <c r="M292" s="8">
        <f>Table3[[#This Row],[PrimaTécnica]]*Table3[[#This Row],[Cobranza]]</f>
        <v>53.985827755199992</v>
      </c>
      <c r="N29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5398.5827755199989</v>
      </c>
      <c r="O292">
        <v>21.84</v>
      </c>
      <c r="P292">
        <v>54.6</v>
      </c>
      <c r="Q292">
        <v>80.64</v>
      </c>
      <c r="R292">
        <v>44.377200000000002</v>
      </c>
      <c r="S292">
        <v>0.2</v>
      </c>
      <c r="T292">
        <v>0.02</v>
      </c>
      <c r="U292" s="8">
        <f>Table3[[#This Row],[PrimaNeta]]*Table3[[#This Row],[Comisión]]</f>
        <v>1400.0099938800001</v>
      </c>
      <c r="V292" s="15">
        <f>Table3[[#This Row],[PrimaComercial Anual]]-Table3[[#This Row],[PrimaComercial Anual]]*SUM(Table3[[#This Row],[APS]:[IVA]])</f>
        <v>7000.0499694</v>
      </c>
      <c r="W292" s="2">
        <v>1.4800000000000001E-2</v>
      </c>
      <c r="X292" s="2">
        <v>8.4501000000000007E-2</v>
      </c>
      <c r="Y292">
        <v>0.03</v>
      </c>
      <c r="Z292">
        <v>0.13</v>
      </c>
      <c r="AA292" s="20">
        <f>Table3[[#This Row],[APS]]*Table3[[#This Row],[PrimaComercial Anual]]</f>
        <v>139.86888000000002</v>
      </c>
      <c r="AB292" s="8">
        <f>Table3[[#This Row],[PrimaComercial Anual]]*Table3[[#This Row],[Recargo adicional]]</f>
        <v>798.58515060000013</v>
      </c>
      <c r="AC292" s="8">
        <f>Table3[[#This Row],[PrimaComercial Anual]]*Table3[[#This Row],[IT]]</f>
        <v>283.51799999999997</v>
      </c>
      <c r="AD292" s="8">
        <f>Table3[[#This Row],[PrimaComercial Anual]]*Table3[[#This Row],[IVA]]</f>
        <v>1228.5780000000002</v>
      </c>
      <c r="AE292" s="15">
        <f>Table3[[#This Row],[PrimaComercial Anual Asistencia]]</f>
        <v>9450.6</v>
      </c>
      <c r="AG292">
        <v>9450.6</v>
      </c>
    </row>
    <row r="293" spans="1:33" x14ac:dyDescent="0.25">
      <c r="A293" t="s">
        <v>17</v>
      </c>
      <c r="B293">
        <v>140000</v>
      </c>
      <c r="C293">
        <v>60</v>
      </c>
      <c r="D293" s="2">
        <f>Table3[[#This Row],[PrimaTécnica]]-Table3[[#This Row],[PrimaTécnica]]*SUM(Table3[[#This Row],[Gastos Adm]:[Cobranza]])</f>
        <v>7087.7884427999979</v>
      </c>
      <c r="E293">
        <v>0</v>
      </c>
      <c r="F293">
        <v>0.15</v>
      </c>
      <c r="G293">
        <v>0.05</v>
      </c>
      <c r="H293">
        <v>0.01</v>
      </c>
      <c r="I293">
        <v>0.01</v>
      </c>
      <c r="J293" s="8">
        <f>Table3[[#This Row],[PrimaTécnica]]*Table3[[#This Row],[Gastos Adm]]</f>
        <v>1363.0362389999998</v>
      </c>
      <c r="K293" s="8">
        <f>Table3[[#This Row],[PrimaTécnica]]*Table3[[#This Row],[Utilidad]]</f>
        <v>454.34541299999995</v>
      </c>
      <c r="L293" s="8">
        <f>Table3[[#This Row],[PrimaTécnica]]*Table3[[#This Row],[Marketing]]</f>
        <v>90.869082599999984</v>
      </c>
      <c r="M293" s="8">
        <f>Table3[[#This Row],[PrimaTécnica]]*Table3[[#This Row],[Cobranza]]</f>
        <v>90.869082599999984</v>
      </c>
      <c r="N29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9086.9082599999983</v>
      </c>
      <c r="O293">
        <v>21.84</v>
      </c>
      <c r="P293">
        <v>54.6</v>
      </c>
      <c r="Q293">
        <v>80.64</v>
      </c>
      <c r="R293">
        <v>44.377200000000002</v>
      </c>
      <c r="S293">
        <v>0.2</v>
      </c>
      <c r="T293">
        <v>0.02</v>
      </c>
      <c r="U293" s="8">
        <f>Table3[[#This Row],[PrimaNeta]]*Table3[[#This Row],[Comisión]]</f>
        <v>2322.0913649999998</v>
      </c>
      <c r="V293" s="15">
        <f>Table3[[#This Row],[PrimaComercial Anual]]-Table3[[#This Row],[PrimaComercial Anual]]*SUM(Table3[[#This Row],[APS]:[IVA]])</f>
        <v>11610.456824999999</v>
      </c>
      <c r="W293" s="2">
        <v>1.4800000000000001E-2</v>
      </c>
      <c r="X293" s="2">
        <v>8.4501000000000007E-2</v>
      </c>
      <c r="Y293">
        <v>0.03</v>
      </c>
      <c r="Z293">
        <v>0.13</v>
      </c>
      <c r="AA293" s="20">
        <f>Table3[[#This Row],[APS]]*Table3[[#This Row],[PrimaComercial Anual]]</f>
        <v>231.99</v>
      </c>
      <c r="AB293" s="8">
        <f>Table3[[#This Row],[PrimaComercial Anual]]*Table3[[#This Row],[Recargo adicional]]</f>
        <v>1324.553175</v>
      </c>
      <c r="AC293" s="8">
        <f>Table3[[#This Row],[PrimaComercial Anual]]*Table3[[#This Row],[IT]]</f>
        <v>470.25</v>
      </c>
      <c r="AD293" s="8">
        <f>Table3[[#This Row],[PrimaComercial Anual]]*Table3[[#This Row],[IVA]]</f>
        <v>2037.75</v>
      </c>
      <c r="AE293" s="15">
        <f>Table3[[#This Row],[PrimaComercial Anual Asistencia]]</f>
        <v>15675</v>
      </c>
      <c r="AG293">
        <v>15675</v>
      </c>
    </row>
    <row r="294" spans="1:33" x14ac:dyDescent="0.25">
      <c r="A294" t="s">
        <v>17</v>
      </c>
      <c r="B294">
        <v>140000</v>
      </c>
      <c r="C294">
        <v>61</v>
      </c>
      <c r="D294" s="2">
        <f>Table3[[#This Row],[PrimaTécnica]]-Table3[[#This Row],[PrimaTécnica]]*SUM(Table3[[#This Row],[Gastos Adm]:[Cobranza]])</f>
        <v>7087.7884427999979</v>
      </c>
      <c r="E294">
        <v>0</v>
      </c>
      <c r="F294">
        <v>0.15</v>
      </c>
      <c r="G294">
        <v>0.05</v>
      </c>
      <c r="H294">
        <v>0.01</v>
      </c>
      <c r="I294">
        <v>0.01</v>
      </c>
      <c r="J294" s="8">
        <f>Table3[[#This Row],[PrimaTécnica]]*Table3[[#This Row],[Gastos Adm]]</f>
        <v>1363.0362389999998</v>
      </c>
      <c r="K294" s="8">
        <f>Table3[[#This Row],[PrimaTécnica]]*Table3[[#This Row],[Utilidad]]</f>
        <v>454.34541299999995</v>
      </c>
      <c r="L294" s="8">
        <f>Table3[[#This Row],[PrimaTécnica]]*Table3[[#This Row],[Marketing]]</f>
        <v>90.869082599999984</v>
      </c>
      <c r="M294" s="8">
        <f>Table3[[#This Row],[PrimaTécnica]]*Table3[[#This Row],[Cobranza]]</f>
        <v>90.869082599999984</v>
      </c>
      <c r="N29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9086.9082599999983</v>
      </c>
      <c r="O294">
        <v>21.84</v>
      </c>
      <c r="P294">
        <v>54.6</v>
      </c>
      <c r="Q294">
        <v>80.64</v>
      </c>
      <c r="R294">
        <v>44.377200000000002</v>
      </c>
      <c r="S294">
        <v>0.2</v>
      </c>
      <c r="T294">
        <v>0.02</v>
      </c>
      <c r="U294" s="8">
        <f>Table3[[#This Row],[PrimaNeta]]*Table3[[#This Row],[Comisión]]</f>
        <v>2322.0913649999998</v>
      </c>
      <c r="V294" s="15">
        <f>Table3[[#This Row],[PrimaComercial Anual]]-Table3[[#This Row],[PrimaComercial Anual]]*SUM(Table3[[#This Row],[APS]:[IVA]])</f>
        <v>11610.456824999999</v>
      </c>
      <c r="W294" s="2">
        <v>1.4800000000000001E-2</v>
      </c>
      <c r="X294" s="2">
        <v>8.4501000000000007E-2</v>
      </c>
      <c r="Y294">
        <v>0.03</v>
      </c>
      <c r="Z294">
        <v>0.13</v>
      </c>
      <c r="AA294" s="20">
        <f>Table3[[#This Row],[APS]]*Table3[[#This Row],[PrimaComercial Anual]]</f>
        <v>231.99</v>
      </c>
      <c r="AB294" s="8">
        <f>Table3[[#This Row],[PrimaComercial Anual]]*Table3[[#This Row],[Recargo adicional]]</f>
        <v>1324.553175</v>
      </c>
      <c r="AC294" s="8">
        <f>Table3[[#This Row],[PrimaComercial Anual]]*Table3[[#This Row],[IT]]</f>
        <v>470.25</v>
      </c>
      <c r="AD294" s="8">
        <f>Table3[[#This Row],[PrimaComercial Anual]]*Table3[[#This Row],[IVA]]</f>
        <v>2037.75</v>
      </c>
      <c r="AE294" s="15">
        <f>Table3[[#This Row],[PrimaComercial Anual Asistencia]]</f>
        <v>15675</v>
      </c>
      <c r="AG294">
        <v>15675</v>
      </c>
    </row>
    <row r="295" spans="1:33" x14ac:dyDescent="0.25">
      <c r="A295" t="s">
        <v>17</v>
      </c>
      <c r="B295">
        <v>140000</v>
      </c>
      <c r="C295">
        <v>62</v>
      </c>
      <c r="D295" s="2">
        <f>Table3[[#This Row],[PrimaTécnica]]-Table3[[#This Row],[PrimaTécnica]]*SUM(Table3[[#This Row],[Gastos Adm]:[Cobranza]])</f>
        <v>7087.7884427999979</v>
      </c>
      <c r="E295">
        <v>0</v>
      </c>
      <c r="F295">
        <v>0.15</v>
      </c>
      <c r="G295">
        <v>0.05</v>
      </c>
      <c r="H295">
        <v>0.01</v>
      </c>
      <c r="I295">
        <v>0.01</v>
      </c>
      <c r="J295" s="8">
        <f>Table3[[#This Row],[PrimaTécnica]]*Table3[[#This Row],[Gastos Adm]]</f>
        <v>1363.0362389999998</v>
      </c>
      <c r="K295" s="8">
        <f>Table3[[#This Row],[PrimaTécnica]]*Table3[[#This Row],[Utilidad]]</f>
        <v>454.34541299999995</v>
      </c>
      <c r="L295" s="8">
        <f>Table3[[#This Row],[PrimaTécnica]]*Table3[[#This Row],[Marketing]]</f>
        <v>90.869082599999984</v>
      </c>
      <c r="M295" s="8">
        <f>Table3[[#This Row],[PrimaTécnica]]*Table3[[#This Row],[Cobranza]]</f>
        <v>90.869082599999984</v>
      </c>
      <c r="N29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9086.9082599999983</v>
      </c>
      <c r="O295">
        <v>21.84</v>
      </c>
      <c r="P295">
        <v>54.6</v>
      </c>
      <c r="Q295">
        <v>80.64</v>
      </c>
      <c r="R295">
        <v>44.377200000000002</v>
      </c>
      <c r="S295">
        <v>0.2</v>
      </c>
      <c r="T295">
        <v>0.02</v>
      </c>
      <c r="U295" s="8">
        <f>Table3[[#This Row],[PrimaNeta]]*Table3[[#This Row],[Comisión]]</f>
        <v>2322.0913649999998</v>
      </c>
      <c r="V295" s="15">
        <f>Table3[[#This Row],[PrimaComercial Anual]]-Table3[[#This Row],[PrimaComercial Anual]]*SUM(Table3[[#This Row],[APS]:[IVA]])</f>
        <v>11610.456824999999</v>
      </c>
      <c r="W295" s="2">
        <v>1.4800000000000001E-2</v>
      </c>
      <c r="X295" s="2">
        <v>8.4501000000000007E-2</v>
      </c>
      <c r="Y295">
        <v>0.03</v>
      </c>
      <c r="Z295">
        <v>0.13</v>
      </c>
      <c r="AA295" s="20">
        <f>Table3[[#This Row],[APS]]*Table3[[#This Row],[PrimaComercial Anual]]</f>
        <v>231.99</v>
      </c>
      <c r="AB295" s="8">
        <f>Table3[[#This Row],[PrimaComercial Anual]]*Table3[[#This Row],[Recargo adicional]]</f>
        <v>1324.553175</v>
      </c>
      <c r="AC295" s="8">
        <f>Table3[[#This Row],[PrimaComercial Anual]]*Table3[[#This Row],[IT]]</f>
        <v>470.25</v>
      </c>
      <c r="AD295" s="8">
        <f>Table3[[#This Row],[PrimaComercial Anual]]*Table3[[#This Row],[IVA]]</f>
        <v>2037.75</v>
      </c>
      <c r="AE295" s="15">
        <f>Table3[[#This Row],[PrimaComercial Anual Asistencia]]</f>
        <v>15675</v>
      </c>
      <c r="AG295">
        <v>15675</v>
      </c>
    </row>
    <row r="296" spans="1:33" x14ac:dyDescent="0.25">
      <c r="A296" t="s">
        <v>17</v>
      </c>
      <c r="B296">
        <v>140000</v>
      </c>
      <c r="C296">
        <v>63</v>
      </c>
      <c r="D296" s="2">
        <f>Table3[[#This Row],[PrimaTécnica]]-Table3[[#This Row],[PrimaTécnica]]*SUM(Table3[[#This Row],[Gastos Adm]:[Cobranza]])</f>
        <v>7087.7884427999979</v>
      </c>
      <c r="E296">
        <v>0</v>
      </c>
      <c r="F296">
        <v>0.15</v>
      </c>
      <c r="G296">
        <v>0.05</v>
      </c>
      <c r="H296">
        <v>0.01</v>
      </c>
      <c r="I296">
        <v>0.01</v>
      </c>
      <c r="J296" s="8">
        <f>Table3[[#This Row],[PrimaTécnica]]*Table3[[#This Row],[Gastos Adm]]</f>
        <v>1363.0362389999998</v>
      </c>
      <c r="K296" s="8">
        <f>Table3[[#This Row],[PrimaTécnica]]*Table3[[#This Row],[Utilidad]]</f>
        <v>454.34541299999995</v>
      </c>
      <c r="L296" s="8">
        <f>Table3[[#This Row],[PrimaTécnica]]*Table3[[#This Row],[Marketing]]</f>
        <v>90.869082599999984</v>
      </c>
      <c r="M296" s="8">
        <f>Table3[[#This Row],[PrimaTécnica]]*Table3[[#This Row],[Cobranza]]</f>
        <v>90.869082599999984</v>
      </c>
      <c r="N29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9086.9082599999983</v>
      </c>
      <c r="O296">
        <v>21.84</v>
      </c>
      <c r="P296">
        <v>54.6</v>
      </c>
      <c r="Q296">
        <v>80.64</v>
      </c>
      <c r="R296">
        <v>44.377200000000002</v>
      </c>
      <c r="S296">
        <v>0.2</v>
      </c>
      <c r="T296">
        <v>0.02</v>
      </c>
      <c r="U296" s="8">
        <f>Table3[[#This Row],[PrimaNeta]]*Table3[[#This Row],[Comisión]]</f>
        <v>2322.0913649999998</v>
      </c>
      <c r="V296" s="15">
        <f>Table3[[#This Row],[PrimaComercial Anual]]-Table3[[#This Row],[PrimaComercial Anual]]*SUM(Table3[[#This Row],[APS]:[IVA]])</f>
        <v>11610.456824999999</v>
      </c>
      <c r="W296" s="2">
        <v>1.4800000000000001E-2</v>
      </c>
      <c r="X296" s="2">
        <v>8.4501000000000007E-2</v>
      </c>
      <c r="Y296">
        <v>0.03</v>
      </c>
      <c r="Z296">
        <v>0.13</v>
      </c>
      <c r="AA296" s="20">
        <f>Table3[[#This Row],[APS]]*Table3[[#This Row],[PrimaComercial Anual]]</f>
        <v>231.99</v>
      </c>
      <c r="AB296" s="8">
        <f>Table3[[#This Row],[PrimaComercial Anual]]*Table3[[#This Row],[Recargo adicional]]</f>
        <v>1324.553175</v>
      </c>
      <c r="AC296" s="8">
        <f>Table3[[#This Row],[PrimaComercial Anual]]*Table3[[#This Row],[IT]]</f>
        <v>470.25</v>
      </c>
      <c r="AD296" s="8">
        <f>Table3[[#This Row],[PrimaComercial Anual]]*Table3[[#This Row],[IVA]]</f>
        <v>2037.75</v>
      </c>
      <c r="AE296" s="15">
        <f>Table3[[#This Row],[PrimaComercial Anual Asistencia]]</f>
        <v>15675</v>
      </c>
      <c r="AG296">
        <v>15675</v>
      </c>
    </row>
    <row r="297" spans="1:33" x14ac:dyDescent="0.25">
      <c r="A297" t="s">
        <v>17</v>
      </c>
      <c r="B297">
        <v>140000</v>
      </c>
      <c r="C297">
        <v>64</v>
      </c>
      <c r="D297" s="2">
        <f>Table3[[#This Row],[PrimaTécnica]]-Table3[[#This Row],[PrimaTécnica]]*SUM(Table3[[#This Row],[Gastos Adm]:[Cobranza]])</f>
        <v>7087.7884427999979</v>
      </c>
      <c r="E297">
        <v>0</v>
      </c>
      <c r="F297">
        <v>0.15</v>
      </c>
      <c r="G297">
        <v>0.05</v>
      </c>
      <c r="H297">
        <v>0.01</v>
      </c>
      <c r="I297">
        <v>0.01</v>
      </c>
      <c r="J297" s="8">
        <f>Table3[[#This Row],[PrimaTécnica]]*Table3[[#This Row],[Gastos Adm]]</f>
        <v>1363.0362389999998</v>
      </c>
      <c r="K297" s="8">
        <f>Table3[[#This Row],[PrimaTécnica]]*Table3[[#This Row],[Utilidad]]</f>
        <v>454.34541299999995</v>
      </c>
      <c r="L297" s="8">
        <f>Table3[[#This Row],[PrimaTécnica]]*Table3[[#This Row],[Marketing]]</f>
        <v>90.869082599999984</v>
      </c>
      <c r="M297" s="8">
        <f>Table3[[#This Row],[PrimaTécnica]]*Table3[[#This Row],[Cobranza]]</f>
        <v>90.869082599999984</v>
      </c>
      <c r="N29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9086.9082599999983</v>
      </c>
      <c r="O297">
        <v>21.84</v>
      </c>
      <c r="P297">
        <v>54.6</v>
      </c>
      <c r="Q297">
        <v>80.64</v>
      </c>
      <c r="R297">
        <v>44.377200000000002</v>
      </c>
      <c r="S297">
        <v>0.2</v>
      </c>
      <c r="T297">
        <v>0.02</v>
      </c>
      <c r="U297" s="8">
        <f>Table3[[#This Row],[PrimaNeta]]*Table3[[#This Row],[Comisión]]</f>
        <v>2322.0913649999998</v>
      </c>
      <c r="V297" s="15">
        <f>Table3[[#This Row],[PrimaComercial Anual]]-Table3[[#This Row],[PrimaComercial Anual]]*SUM(Table3[[#This Row],[APS]:[IVA]])</f>
        <v>11610.456824999999</v>
      </c>
      <c r="W297" s="2">
        <v>1.4800000000000001E-2</v>
      </c>
      <c r="X297" s="2">
        <v>8.4501000000000007E-2</v>
      </c>
      <c r="Y297">
        <v>0.03</v>
      </c>
      <c r="Z297">
        <v>0.13</v>
      </c>
      <c r="AA297" s="20">
        <f>Table3[[#This Row],[APS]]*Table3[[#This Row],[PrimaComercial Anual]]</f>
        <v>231.99</v>
      </c>
      <c r="AB297" s="8">
        <f>Table3[[#This Row],[PrimaComercial Anual]]*Table3[[#This Row],[Recargo adicional]]</f>
        <v>1324.553175</v>
      </c>
      <c r="AC297" s="8">
        <f>Table3[[#This Row],[PrimaComercial Anual]]*Table3[[#This Row],[IT]]</f>
        <v>470.25</v>
      </c>
      <c r="AD297" s="8">
        <f>Table3[[#This Row],[PrimaComercial Anual]]*Table3[[#This Row],[IVA]]</f>
        <v>2037.75</v>
      </c>
      <c r="AE297" s="15">
        <f>Table3[[#This Row],[PrimaComercial Anual Asistencia]]</f>
        <v>15675</v>
      </c>
      <c r="AG297">
        <v>15675</v>
      </c>
    </row>
    <row r="298" spans="1:33" x14ac:dyDescent="0.25">
      <c r="A298" t="s">
        <v>17</v>
      </c>
      <c r="B298">
        <v>140000</v>
      </c>
      <c r="C298">
        <v>65</v>
      </c>
      <c r="D298" s="2">
        <f>Table3[[#This Row],[PrimaTécnica]]-Table3[[#This Row],[PrimaTécnica]]*SUM(Table3[[#This Row],[Gastos Adm]:[Cobranza]])</f>
        <v>10112.215340073599</v>
      </c>
      <c r="E298">
        <v>0</v>
      </c>
      <c r="F298">
        <v>0.15</v>
      </c>
      <c r="G298">
        <v>0.05</v>
      </c>
      <c r="H298">
        <v>0.01</v>
      </c>
      <c r="I298">
        <v>0.01</v>
      </c>
      <c r="J298" s="8">
        <f>Table3[[#This Row],[PrimaTécnica]]*Table3[[#This Row],[Gastos Adm]]</f>
        <v>1944.6567961679996</v>
      </c>
      <c r="K298" s="8">
        <f>Table3[[#This Row],[PrimaTécnica]]*Table3[[#This Row],[Utilidad]]</f>
        <v>648.21893205599997</v>
      </c>
      <c r="L298" s="8">
        <f>Table3[[#This Row],[PrimaTécnica]]*Table3[[#This Row],[Marketing]]</f>
        <v>129.64378641119998</v>
      </c>
      <c r="M298" s="8">
        <f>Table3[[#This Row],[PrimaTécnica]]*Table3[[#This Row],[Cobranza]]</f>
        <v>129.64378641119998</v>
      </c>
      <c r="N29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12964.378641119998</v>
      </c>
      <c r="O298">
        <v>21.84</v>
      </c>
      <c r="P298">
        <v>54.6</v>
      </c>
      <c r="Q298">
        <v>80.64</v>
      </c>
      <c r="R298">
        <v>44.377200000000002</v>
      </c>
      <c r="S298">
        <v>0.2</v>
      </c>
      <c r="T298">
        <v>0.02</v>
      </c>
      <c r="U298" s="8">
        <f>Table3[[#This Row],[PrimaNeta]]*Table3[[#This Row],[Comisión]]</f>
        <v>3291.4589602800002</v>
      </c>
      <c r="V298" s="15">
        <f>Table3[[#This Row],[PrimaComercial Anual]]-Table3[[#This Row],[PrimaComercial Anual]]*SUM(Table3[[#This Row],[APS]:[IVA]])</f>
        <v>16457.294801399999</v>
      </c>
      <c r="W298" s="2">
        <v>1.4800000000000001E-2</v>
      </c>
      <c r="X298" s="2">
        <v>8.4501000000000007E-2</v>
      </c>
      <c r="Y298">
        <v>0.03</v>
      </c>
      <c r="Z298">
        <v>0.13</v>
      </c>
      <c r="AA298" s="20">
        <f>Table3[[#This Row],[APS]]*Table3[[#This Row],[PrimaComercial Anual]]</f>
        <v>328.83528000000001</v>
      </c>
      <c r="AB298" s="8">
        <f>Table3[[#This Row],[PrimaComercial Anual]]*Table3[[#This Row],[Recargo adicional]]</f>
        <v>1877.4939185999999</v>
      </c>
      <c r="AC298" s="8">
        <f>Table3[[#This Row],[PrimaComercial Anual]]*Table3[[#This Row],[IT]]</f>
        <v>666.55799999999988</v>
      </c>
      <c r="AD298" s="8">
        <f>Table3[[#This Row],[PrimaComercial Anual]]*Table3[[#This Row],[IVA]]</f>
        <v>2888.4180000000001</v>
      </c>
      <c r="AE298" s="15">
        <f>Table3[[#This Row],[PrimaComercial Anual Asistencia]]</f>
        <v>22218.6</v>
      </c>
      <c r="AG298">
        <v>22218.6</v>
      </c>
    </row>
    <row r="299" spans="1:33" x14ac:dyDescent="0.25">
      <c r="A299" t="s">
        <v>17</v>
      </c>
      <c r="B299">
        <v>140000</v>
      </c>
      <c r="C299">
        <v>66</v>
      </c>
      <c r="D299" s="2">
        <f>Table3[[#This Row],[PrimaTécnica]]-Table3[[#This Row],[PrimaTécnica]]*SUM(Table3[[#This Row],[Gastos Adm]:[Cobranza]])</f>
        <v>10112.215340073599</v>
      </c>
      <c r="E299">
        <v>0</v>
      </c>
      <c r="F299">
        <v>0.15</v>
      </c>
      <c r="G299">
        <v>0.05</v>
      </c>
      <c r="H299">
        <v>0.01</v>
      </c>
      <c r="I299">
        <v>0.01</v>
      </c>
      <c r="J299" s="8">
        <f>Table3[[#This Row],[PrimaTécnica]]*Table3[[#This Row],[Gastos Adm]]</f>
        <v>1944.6567961679996</v>
      </c>
      <c r="K299" s="8">
        <f>Table3[[#This Row],[PrimaTécnica]]*Table3[[#This Row],[Utilidad]]</f>
        <v>648.21893205599997</v>
      </c>
      <c r="L299" s="8">
        <f>Table3[[#This Row],[PrimaTécnica]]*Table3[[#This Row],[Marketing]]</f>
        <v>129.64378641119998</v>
      </c>
      <c r="M299" s="8">
        <f>Table3[[#This Row],[PrimaTécnica]]*Table3[[#This Row],[Cobranza]]</f>
        <v>129.64378641119998</v>
      </c>
      <c r="N29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12964.378641119998</v>
      </c>
      <c r="O299">
        <v>21.84</v>
      </c>
      <c r="P299">
        <v>54.6</v>
      </c>
      <c r="Q299">
        <v>80.64</v>
      </c>
      <c r="R299">
        <v>44.377200000000002</v>
      </c>
      <c r="S299">
        <v>0.2</v>
      </c>
      <c r="T299">
        <v>0.02</v>
      </c>
      <c r="U299" s="8">
        <f>Table3[[#This Row],[PrimaNeta]]*Table3[[#This Row],[Comisión]]</f>
        <v>3291.4589602800002</v>
      </c>
      <c r="V299" s="15">
        <f>Table3[[#This Row],[PrimaComercial Anual]]-Table3[[#This Row],[PrimaComercial Anual]]*SUM(Table3[[#This Row],[APS]:[IVA]])</f>
        <v>16457.294801399999</v>
      </c>
      <c r="W299" s="2">
        <v>1.4800000000000001E-2</v>
      </c>
      <c r="X299" s="2">
        <v>8.4501000000000007E-2</v>
      </c>
      <c r="Y299">
        <v>0.03</v>
      </c>
      <c r="Z299">
        <v>0.13</v>
      </c>
      <c r="AA299" s="20">
        <f>Table3[[#This Row],[APS]]*Table3[[#This Row],[PrimaComercial Anual]]</f>
        <v>328.83528000000001</v>
      </c>
      <c r="AB299" s="8">
        <f>Table3[[#This Row],[PrimaComercial Anual]]*Table3[[#This Row],[Recargo adicional]]</f>
        <v>1877.4939185999999</v>
      </c>
      <c r="AC299" s="8">
        <f>Table3[[#This Row],[PrimaComercial Anual]]*Table3[[#This Row],[IT]]</f>
        <v>666.55799999999988</v>
      </c>
      <c r="AD299" s="8">
        <f>Table3[[#This Row],[PrimaComercial Anual]]*Table3[[#This Row],[IVA]]</f>
        <v>2888.4180000000001</v>
      </c>
      <c r="AE299" s="15">
        <f>Table3[[#This Row],[PrimaComercial Anual Asistencia]]</f>
        <v>22218.6</v>
      </c>
      <c r="AG299">
        <v>22218.6</v>
      </c>
    </row>
    <row r="300" spans="1:33" x14ac:dyDescent="0.25">
      <c r="A300" t="s">
        <v>17</v>
      </c>
      <c r="B300">
        <v>140000</v>
      </c>
      <c r="C300">
        <v>67</v>
      </c>
      <c r="D300" s="2">
        <f>Table3[[#This Row],[PrimaTécnica]]-Table3[[#This Row],[PrimaTécnica]]*SUM(Table3[[#This Row],[Gastos Adm]:[Cobranza]])</f>
        <v>10112.215340073599</v>
      </c>
      <c r="E300">
        <v>0</v>
      </c>
      <c r="F300">
        <v>0.15</v>
      </c>
      <c r="G300">
        <v>0.05</v>
      </c>
      <c r="H300">
        <v>0.01</v>
      </c>
      <c r="I300">
        <v>0.01</v>
      </c>
      <c r="J300" s="8">
        <f>Table3[[#This Row],[PrimaTécnica]]*Table3[[#This Row],[Gastos Adm]]</f>
        <v>1944.6567961679996</v>
      </c>
      <c r="K300" s="8">
        <f>Table3[[#This Row],[PrimaTécnica]]*Table3[[#This Row],[Utilidad]]</f>
        <v>648.21893205599997</v>
      </c>
      <c r="L300" s="8">
        <f>Table3[[#This Row],[PrimaTécnica]]*Table3[[#This Row],[Marketing]]</f>
        <v>129.64378641119998</v>
      </c>
      <c r="M300" s="8">
        <f>Table3[[#This Row],[PrimaTécnica]]*Table3[[#This Row],[Cobranza]]</f>
        <v>129.64378641119998</v>
      </c>
      <c r="N30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12964.378641119998</v>
      </c>
      <c r="O300">
        <v>21.84</v>
      </c>
      <c r="P300">
        <v>54.6</v>
      </c>
      <c r="Q300">
        <v>80.64</v>
      </c>
      <c r="R300">
        <v>44.377200000000002</v>
      </c>
      <c r="S300">
        <v>0.2</v>
      </c>
      <c r="T300">
        <v>0.02</v>
      </c>
      <c r="U300" s="8">
        <f>Table3[[#This Row],[PrimaNeta]]*Table3[[#This Row],[Comisión]]</f>
        <v>3291.4589602800002</v>
      </c>
      <c r="V300" s="15">
        <f>Table3[[#This Row],[PrimaComercial Anual]]-Table3[[#This Row],[PrimaComercial Anual]]*SUM(Table3[[#This Row],[APS]:[IVA]])</f>
        <v>16457.294801399999</v>
      </c>
      <c r="W300" s="2">
        <v>1.4800000000000001E-2</v>
      </c>
      <c r="X300" s="2">
        <v>8.4501000000000007E-2</v>
      </c>
      <c r="Y300">
        <v>0.03</v>
      </c>
      <c r="Z300">
        <v>0.13</v>
      </c>
      <c r="AA300" s="20">
        <f>Table3[[#This Row],[APS]]*Table3[[#This Row],[PrimaComercial Anual]]</f>
        <v>328.83528000000001</v>
      </c>
      <c r="AB300" s="8">
        <f>Table3[[#This Row],[PrimaComercial Anual]]*Table3[[#This Row],[Recargo adicional]]</f>
        <v>1877.4939185999999</v>
      </c>
      <c r="AC300" s="8">
        <f>Table3[[#This Row],[PrimaComercial Anual]]*Table3[[#This Row],[IT]]</f>
        <v>666.55799999999988</v>
      </c>
      <c r="AD300" s="8">
        <f>Table3[[#This Row],[PrimaComercial Anual]]*Table3[[#This Row],[IVA]]</f>
        <v>2888.4180000000001</v>
      </c>
      <c r="AE300" s="15">
        <f>Table3[[#This Row],[PrimaComercial Anual Asistencia]]</f>
        <v>22218.6</v>
      </c>
      <c r="AG300">
        <v>22218.6</v>
      </c>
    </row>
    <row r="301" spans="1:33" x14ac:dyDescent="0.25">
      <c r="A301" t="s">
        <v>17</v>
      </c>
      <c r="B301">
        <v>140000</v>
      </c>
      <c r="C301">
        <v>68</v>
      </c>
      <c r="D301" s="2">
        <f>Table3[[#This Row],[PrimaTécnica]]-Table3[[#This Row],[PrimaTécnica]]*SUM(Table3[[#This Row],[Gastos Adm]:[Cobranza]])</f>
        <v>10112.215340073599</v>
      </c>
      <c r="E301">
        <v>0</v>
      </c>
      <c r="F301">
        <v>0.15</v>
      </c>
      <c r="G301">
        <v>0.05</v>
      </c>
      <c r="H301">
        <v>0.01</v>
      </c>
      <c r="I301">
        <v>0.01</v>
      </c>
      <c r="J301" s="8">
        <f>Table3[[#This Row],[PrimaTécnica]]*Table3[[#This Row],[Gastos Adm]]</f>
        <v>1944.6567961679996</v>
      </c>
      <c r="K301" s="8">
        <f>Table3[[#This Row],[PrimaTécnica]]*Table3[[#This Row],[Utilidad]]</f>
        <v>648.21893205599997</v>
      </c>
      <c r="L301" s="8">
        <f>Table3[[#This Row],[PrimaTécnica]]*Table3[[#This Row],[Marketing]]</f>
        <v>129.64378641119998</v>
      </c>
      <c r="M301" s="8">
        <f>Table3[[#This Row],[PrimaTécnica]]*Table3[[#This Row],[Cobranza]]</f>
        <v>129.64378641119998</v>
      </c>
      <c r="N30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12964.378641119998</v>
      </c>
      <c r="O301">
        <v>21.84</v>
      </c>
      <c r="P301">
        <v>54.6</v>
      </c>
      <c r="Q301">
        <v>80.64</v>
      </c>
      <c r="R301">
        <v>44.377200000000002</v>
      </c>
      <c r="S301">
        <v>0.2</v>
      </c>
      <c r="T301">
        <v>0.02</v>
      </c>
      <c r="U301" s="8">
        <f>Table3[[#This Row],[PrimaNeta]]*Table3[[#This Row],[Comisión]]</f>
        <v>3291.4589602800002</v>
      </c>
      <c r="V301" s="15">
        <f>Table3[[#This Row],[PrimaComercial Anual]]-Table3[[#This Row],[PrimaComercial Anual]]*SUM(Table3[[#This Row],[APS]:[IVA]])</f>
        <v>16457.294801399999</v>
      </c>
      <c r="W301" s="2">
        <v>1.4800000000000001E-2</v>
      </c>
      <c r="X301" s="2">
        <v>8.4501000000000007E-2</v>
      </c>
      <c r="Y301">
        <v>0.03</v>
      </c>
      <c r="Z301">
        <v>0.13</v>
      </c>
      <c r="AA301" s="20">
        <f>Table3[[#This Row],[APS]]*Table3[[#This Row],[PrimaComercial Anual]]</f>
        <v>328.83528000000001</v>
      </c>
      <c r="AB301" s="8">
        <f>Table3[[#This Row],[PrimaComercial Anual]]*Table3[[#This Row],[Recargo adicional]]</f>
        <v>1877.4939185999999</v>
      </c>
      <c r="AC301" s="8">
        <f>Table3[[#This Row],[PrimaComercial Anual]]*Table3[[#This Row],[IT]]</f>
        <v>666.55799999999988</v>
      </c>
      <c r="AD301" s="8">
        <f>Table3[[#This Row],[PrimaComercial Anual]]*Table3[[#This Row],[IVA]]</f>
        <v>2888.4180000000001</v>
      </c>
      <c r="AE301" s="15">
        <f>Table3[[#This Row],[PrimaComercial Anual Asistencia]]</f>
        <v>22218.6</v>
      </c>
      <c r="AG301">
        <v>22218.6</v>
      </c>
    </row>
    <row r="302" spans="1:33" x14ac:dyDescent="0.25">
      <c r="A302" t="s">
        <v>17</v>
      </c>
      <c r="B302">
        <v>140000</v>
      </c>
      <c r="C302">
        <v>69</v>
      </c>
      <c r="D302" s="2">
        <f>Table3[[#This Row],[PrimaTécnica]]-Table3[[#This Row],[PrimaTécnica]]*SUM(Table3[[#This Row],[Gastos Adm]:[Cobranza]])</f>
        <v>10112.215340073599</v>
      </c>
      <c r="E302">
        <v>0</v>
      </c>
      <c r="F302">
        <v>0.15</v>
      </c>
      <c r="G302">
        <v>0.05</v>
      </c>
      <c r="H302">
        <v>0.01</v>
      </c>
      <c r="I302">
        <v>0.01</v>
      </c>
      <c r="J302" s="8">
        <f>Table3[[#This Row],[PrimaTécnica]]*Table3[[#This Row],[Gastos Adm]]</f>
        <v>1944.6567961679996</v>
      </c>
      <c r="K302" s="8">
        <f>Table3[[#This Row],[PrimaTécnica]]*Table3[[#This Row],[Utilidad]]</f>
        <v>648.21893205599997</v>
      </c>
      <c r="L302" s="8">
        <f>Table3[[#This Row],[PrimaTécnica]]*Table3[[#This Row],[Marketing]]</f>
        <v>129.64378641119998</v>
      </c>
      <c r="M302" s="8">
        <f>Table3[[#This Row],[PrimaTécnica]]*Table3[[#This Row],[Cobranza]]</f>
        <v>129.64378641119998</v>
      </c>
      <c r="N30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12964.378641119998</v>
      </c>
      <c r="O302">
        <v>21.84</v>
      </c>
      <c r="P302">
        <v>54.6</v>
      </c>
      <c r="Q302">
        <v>80.64</v>
      </c>
      <c r="R302">
        <v>44.377200000000002</v>
      </c>
      <c r="S302">
        <v>0.2</v>
      </c>
      <c r="T302">
        <v>0.02</v>
      </c>
      <c r="U302" s="8">
        <f>Table3[[#This Row],[PrimaNeta]]*Table3[[#This Row],[Comisión]]</f>
        <v>3291.4589602800002</v>
      </c>
      <c r="V302" s="15">
        <f>Table3[[#This Row],[PrimaComercial Anual]]-Table3[[#This Row],[PrimaComercial Anual]]*SUM(Table3[[#This Row],[APS]:[IVA]])</f>
        <v>16457.294801399999</v>
      </c>
      <c r="W302" s="2">
        <v>1.4800000000000001E-2</v>
      </c>
      <c r="X302" s="2">
        <v>8.4501000000000007E-2</v>
      </c>
      <c r="Y302">
        <v>0.03</v>
      </c>
      <c r="Z302">
        <v>0.13</v>
      </c>
      <c r="AA302" s="20">
        <f>Table3[[#This Row],[APS]]*Table3[[#This Row],[PrimaComercial Anual]]</f>
        <v>328.83528000000001</v>
      </c>
      <c r="AB302" s="8">
        <f>Table3[[#This Row],[PrimaComercial Anual]]*Table3[[#This Row],[Recargo adicional]]</f>
        <v>1877.4939185999999</v>
      </c>
      <c r="AC302" s="8">
        <f>Table3[[#This Row],[PrimaComercial Anual]]*Table3[[#This Row],[IT]]</f>
        <v>666.55799999999988</v>
      </c>
      <c r="AD302" s="8">
        <f>Table3[[#This Row],[PrimaComercial Anual]]*Table3[[#This Row],[IVA]]</f>
        <v>2888.4180000000001</v>
      </c>
      <c r="AE302" s="15">
        <f>Table3[[#This Row],[PrimaComercial Anual Asistencia]]</f>
        <v>22218.6</v>
      </c>
      <c r="AG302">
        <v>22218.6</v>
      </c>
    </row>
    <row r="303" spans="1:33" x14ac:dyDescent="0.25">
      <c r="A303" t="s">
        <v>17</v>
      </c>
      <c r="B303">
        <v>140000</v>
      </c>
      <c r="C303">
        <v>70</v>
      </c>
      <c r="D303" s="2">
        <f>Table3[[#This Row],[PrimaTécnica]]-Table3[[#This Row],[PrimaTécnica]]*SUM(Table3[[#This Row],[Gastos Adm]:[Cobranza]])</f>
        <v>10112.215340073599</v>
      </c>
      <c r="E303">
        <v>0</v>
      </c>
      <c r="F303">
        <v>0.15</v>
      </c>
      <c r="G303">
        <v>0.05</v>
      </c>
      <c r="H303">
        <v>0.01</v>
      </c>
      <c r="I303">
        <v>0.01</v>
      </c>
      <c r="J303" s="8">
        <f>Table3[[#This Row],[PrimaTécnica]]*Table3[[#This Row],[Gastos Adm]]</f>
        <v>1944.6567961679996</v>
      </c>
      <c r="K303" s="8">
        <f>Table3[[#This Row],[PrimaTécnica]]*Table3[[#This Row],[Utilidad]]</f>
        <v>648.21893205599997</v>
      </c>
      <c r="L303" s="8">
        <f>Table3[[#This Row],[PrimaTécnica]]*Table3[[#This Row],[Marketing]]</f>
        <v>129.64378641119998</v>
      </c>
      <c r="M303" s="8">
        <f>Table3[[#This Row],[PrimaTécnica]]*Table3[[#This Row],[Cobranza]]</f>
        <v>129.64378641119998</v>
      </c>
      <c r="N30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12964.378641119998</v>
      </c>
      <c r="O303">
        <v>21.84</v>
      </c>
      <c r="P303">
        <v>54.6</v>
      </c>
      <c r="Q303">
        <v>80.64</v>
      </c>
      <c r="R303">
        <v>44.377200000000002</v>
      </c>
      <c r="S303">
        <v>0.2</v>
      </c>
      <c r="T303">
        <v>0.02</v>
      </c>
      <c r="U303" s="8">
        <f>Table3[[#This Row],[PrimaNeta]]*Table3[[#This Row],[Comisión]]</f>
        <v>3291.4589602800002</v>
      </c>
      <c r="V303" s="15">
        <f>Table3[[#This Row],[PrimaComercial Anual]]-Table3[[#This Row],[PrimaComercial Anual]]*SUM(Table3[[#This Row],[APS]:[IVA]])</f>
        <v>16457.294801399999</v>
      </c>
      <c r="W303" s="2">
        <v>1.4800000000000001E-2</v>
      </c>
      <c r="X303" s="2">
        <v>8.4501000000000007E-2</v>
      </c>
      <c r="Y303">
        <v>0.03</v>
      </c>
      <c r="Z303">
        <v>0.13</v>
      </c>
      <c r="AA303" s="20">
        <f>Table3[[#This Row],[APS]]*Table3[[#This Row],[PrimaComercial Anual]]</f>
        <v>328.83528000000001</v>
      </c>
      <c r="AB303" s="8">
        <f>Table3[[#This Row],[PrimaComercial Anual]]*Table3[[#This Row],[Recargo adicional]]</f>
        <v>1877.4939185999999</v>
      </c>
      <c r="AC303" s="8">
        <f>Table3[[#This Row],[PrimaComercial Anual]]*Table3[[#This Row],[IT]]</f>
        <v>666.55799999999988</v>
      </c>
      <c r="AD303" s="8">
        <f>Table3[[#This Row],[PrimaComercial Anual]]*Table3[[#This Row],[IVA]]</f>
        <v>2888.4180000000001</v>
      </c>
      <c r="AE303" s="15">
        <f>Table3[[#This Row],[PrimaComercial Anual Asistencia]]</f>
        <v>22218.6</v>
      </c>
      <c r="AG303">
        <v>22218.6</v>
      </c>
    </row>
    <row r="304" spans="1:33" x14ac:dyDescent="0.25">
      <c r="A304" t="s">
        <v>17</v>
      </c>
      <c r="B304">
        <v>140000</v>
      </c>
      <c r="C304">
        <v>71</v>
      </c>
      <c r="D304" s="2">
        <f>Table3[[#This Row],[PrimaTécnica]]-Table3[[#This Row],[PrimaTécnica]]*SUM(Table3[[#This Row],[Gastos Adm]:[Cobranza]])</f>
        <v>11956.378082313597</v>
      </c>
      <c r="E304">
        <v>0</v>
      </c>
      <c r="F304">
        <v>0.15</v>
      </c>
      <c r="G304">
        <v>0.05</v>
      </c>
      <c r="H304">
        <v>0.01</v>
      </c>
      <c r="I304">
        <v>0.01</v>
      </c>
      <c r="J304" s="8">
        <f>Table3[[#This Row],[PrimaTécnica]]*Table3[[#This Row],[Gastos Adm]]</f>
        <v>2299.3034773679997</v>
      </c>
      <c r="K304" s="8">
        <f>Table3[[#This Row],[PrimaTécnica]]*Table3[[#This Row],[Utilidad]]</f>
        <v>766.43449245599993</v>
      </c>
      <c r="L304" s="8">
        <f>Table3[[#This Row],[PrimaTécnica]]*Table3[[#This Row],[Marketing]]</f>
        <v>153.28689849119996</v>
      </c>
      <c r="M304" s="8">
        <f>Table3[[#This Row],[PrimaTécnica]]*Table3[[#This Row],[Cobranza]]</f>
        <v>153.28689849119996</v>
      </c>
      <c r="N30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04">
        <v>21.84</v>
      </c>
      <c r="P304">
        <v>54.6</v>
      </c>
      <c r="Q304">
        <v>80.64</v>
      </c>
      <c r="R304">
        <v>44.377200000000002</v>
      </c>
      <c r="S304">
        <v>0.2</v>
      </c>
      <c r="T304">
        <v>0.02</v>
      </c>
      <c r="U304" s="8">
        <f>Table3[[#This Row],[PrimaNeta]]*Table3[[#This Row],[Comisión]]</f>
        <v>3882.5367622799999</v>
      </c>
      <c r="V304" s="15">
        <f>Table3[[#This Row],[PrimaComercial Anual]]-Table3[[#This Row],[PrimaComercial Anual]]*SUM(Table3[[#This Row],[APS]:[IVA]])</f>
        <v>19412.683811399998</v>
      </c>
      <c r="W304" s="2">
        <v>1.4800000000000001E-2</v>
      </c>
      <c r="X304" s="2">
        <v>8.4501000000000007E-2</v>
      </c>
      <c r="Y304">
        <v>0.03</v>
      </c>
      <c r="Z304">
        <v>0.13</v>
      </c>
      <c r="AA304" s="20">
        <f>Table3[[#This Row],[APS]]*Table3[[#This Row],[PrimaComercial Anual]]</f>
        <v>387.88727999999998</v>
      </c>
      <c r="AB304" s="8">
        <f>Table3[[#This Row],[PrimaComercial Anual]]*Table3[[#This Row],[Recargo adicional]]</f>
        <v>2214.6529086</v>
      </c>
      <c r="AC304" s="8">
        <f>Table3[[#This Row],[PrimaComercial Anual]]*Table3[[#This Row],[IT]]</f>
        <v>786.25799999999992</v>
      </c>
      <c r="AD304" s="8">
        <f>Table3[[#This Row],[PrimaComercial Anual]]*Table3[[#This Row],[IVA]]</f>
        <v>3407.1179999999999</v>
      </c>
      <c r="AE304" s="15">
        <f>Table3[[#This Row],[PrimaComercial Anual Asistencia]]</f>
        <v>26208.6</v>
      </c>
      <c r="AG304">
        <v>26208.6</v>
      </c>
    </row>
    <row r="305" spans="1:33" x14ac:dyDescent="0.25">
      <c r="A305" t="s">
        <v>17</v>
      </c>
      <c r="B305">
        <v>140000</v>
      </c>
      <c r="C305">
        <v>72</v>
      </c>
      <c r="D305" s="2">
        <f>Table3[[#This Row],[PrimaTécnica]]-Table3[[#This Row],[PrimaTécnica]]*SUM(Table3[[#This Row],[Gastos Adm]:[Cobranza]])</f>
        <v>11956.378082313597</v>
      </c>
      <c r="E305">
        <v>0</v>
      </c>
      <c r="F305">
        <v>0.15</v>
      </c>
      <c r="G305">
        <v>0.05</v>
      </c>
      <c r="H305">
        <v>0.01</v>
      </c>
      <c r="I305">
        <v>0.01</v>
      </c>
      <c r="J305" s="8">
        <f>Table3[[#This Row],[PrimaTécnica]]*Table3[[#This Row],[Gastos Adm]]</f>
        <v>2299.3034773679997</v>
      </c>
      <c r="K305" s="8">
        <f>Table3[[#This Row],[PrimaTécnica]]*Table3[[#This Row],[Utilidad]]</f>
        <v>766.43449245599993</v>
      </c>
      <c r="L305" s="8">
        <f>Table3[[#This Row],[PrimaTécnica]]*Table3[[#This Row],[Marketing]]</f>
        <v>153.28689849119996</v>
      </c>
      <c r="M305" s="8">
        <f>Table3[[#This Row],[PrimaTécnica]]*Table3[[#This Row],[Cobranza]]</f>
        <v>153.28689849119996</v>
      </c>
      <c r="N30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05">
        <v>21.84</v>
      </c>
      <c r="P305">
        <v>54.6</v>
      </c>
      <c r="Q305">
        <v>80.64</v>
      </c>
      <c r="R305">
        <v>44.377200000000002</v>
      </c>
      <c r="S305">
        <v>0.2</v>
      </c>
      <c r="T305">
        <v>0.02</v>
      </c>
      <c r="U305" s="8">
        <f>Table3[[#This Row],[PrimaNeta]]*Table3[[#This Row],[Comisión]]</f>
        <v>3882.5367622799999</v>
      </c>
      <c r="V305" s="15">
        <f>Table3[[#This Row],[PrimaComercial Anual]]-Table3[[#This Row],[PrimaComercial Anual]]*SUM(Table3[[#This Row],[APS]:[IVA]])</f>
        <v>19412.683811399998</v>
      </c>
      <c r="W305" s="2">
        <v>1.4800000000000001E-2</v>
      </c>
      <c r="X305" s="2">
        <v>8.4501000000000007E-2</v>
      </c>
      <c r="Y305">
        <v>0.03</v>
      </c>
      <c r="Z305">
        <v>0.13</v>
      </c>
      <c r="AA305" s="20">
        <f>Table3[[#This Row],[APS]]*Table3[[#This Row],[PrimaComercial Anual]]</f>
        <v>387.88727999999998</v>
      </c>
      <c r="AB305" s="8">
        <f>Table3[[#This Row],[PrimaComercial Anual]]*Table3[[#This Row],[Recargo adicional]]</f>
        <v>2214.6529086</v>
      </c>
      <c r="AC305" s="8">
        <f>Table3[[#This Row],[PrimaComercial Anual]]*Table3[[#This Row],[IT]]</f>
        <v>786.25799999999992</v>
      </c>
      <c r="AD305" s="8">
        <f>Table3[[#This Row],[PrimaComercial Anual]]*Table3[[#This Row],[IVA]]</f>
        <v>3407.1179999999999</v>
      </c>
      <c r="AE305" s="15">
        <f>Table3[[#This Row],[PrimaComercial Anual Asistencia]]</f>
        <v>26208.6</v>
      </c>
      <c r="AG305">
        <v>26208.6</v>
      </c>
    </row>
    <row r="306" spans="1:33" x14ac:dyDescent="0.25">
      <c r="A306" t="s">
        <v>17</v>
      </c>
      <c r="B306">
        <v>140000</v>
      </c>
      <c r="C306">
        <v>73</v>
      </c>
      <c r="D306" s="2">
        <f>Table3[[#This Row],[PrimaTécnica]]-Table3[[#This Row],[PrimaTécnica]]*SUM(Table3[[#This Row],[Gastos Adm]:[Cobranza]])</f>
        <v>11956.378082313597</v>
      </c>
      <c r="E306">
        <v>0</v>
      </c>
      <c r="F306">
        <v>0.15</v>
      </c>
      <c r="G306">
        <v>0.05</v>
      </c>
      <c r="H306">
        <v>0.01</v>
      </c>
      <c r="I306">
        <v>0.01</v>
      </c>
      <c r="J306" s="8">
        <f>Table3[[#This Row],[PrimaTécnica]]*Table3[[#This Row],[Gastos Adm]]</f>
        <v>2299.3034773679997</v>
      </c>
      <c r="K306" s="8">
        <f>Table3[[#This Row],[PrimaTécnica]]*Table3[[#This Row],[Utilidad]]</f>
        <v>766.43449245599993</v>
      </c>
      <c r="L306" s="8">
        <f>Table3[[#This Row],[PrimaTécnica]]*Table3[[#This Row],[Marketing]]</f>
        <v>153.28689849119996</v>
      </c>
      <c r="M306" s="8">
        <f>Table3[[#This Row],[PrimaTécnica]]*Table3[[#This Row],[Cobranza]]</f>
        <v>153.28689849119996</v>
      </c>
      <c r="N30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06">
        <v>21.84</v>
      </c>
      <c r="P306">
        <v>54.6</v>
      </c>
      <c r="Q306">
        <v>80.64</v>
      </c>
      <c r="R306">
        <v>44.377200000000002</v>
      </c>
      <c r="S306">
        <v>0.2</v>
      </c>
      <c r="T306">
        <v>0.02</v>
      </c>
      <c r="U306" s="8">
        <f>Table3[[#This Row],[PrimaNeta]]*Table3[[#This Row],[Comisión]]</f>
        <v>3882.5367622799999</v>
      </c>
      <c r="V306" s="15">
        <f>Table3[[#This Row],[PrimaComercial Anual]]-Table3[[#This Row],[PrimaComercial Anual]]*SUM(Table3[[#This Row],[APS]:[IVA]])</f>
        <v>19412.683811399998</v>
      </c>
      <c r="W306" s="2">
        <v>1.4800000000000001E-2</v>
      </c>
      <c r="X306" s="2">
        <v>8.4501000000000007E-2</v>
      </c>
      <c r="Y306">
        <v>0.03</v>
      </c>
      <c r="Z306">
        <v>0.13</v>
      </c>
      <c r="AA306" s="20">
        <f>Table3[[#This Row],[APS]]*Table3[[#This Row],[PrimaComercial Anual]]</f>
        <v>387.88727999999998</v>
      </c>
      <c r="AB306" s="8">
        <f>Table3[[#This Row],[PrimaComercial Anual]]*Table3[[#This Row],[Recargo adicional]]</f>
        <v>2214.6529086</v>
      </c>
      <c r="AC306" s="8">
        <f>Table3[[#This Row],[PrimaComercial Anual]]*Table3[[#This Row],[IT]]</f>
        <v>786.25799999999992</v>
      </c>
      <c r="AD306" s="8">
        <f>Table3[[#This Row],[PrimaComercial Anual]]*Table3[[#This Row],[IVA]]</f>
        <v>3407.1179999999999</v>
      </c>
      <c r="AE306" s="15">
        <f>Table3[[#This Row],[PrimaComercial Anual Asistencia]]</f>
        <v>26208.6</v>
      </c>
      <c r="AG306">
        <v>26208.6</v>
      </c>
    </row>
    <row r="307" spans="1:33" x14ac:dyDescent="0.25">
      <c r="A307" t="s">
        <v>17</v>
      </c>
      <c r="B307">
        <v>140000</v>
      </c>
      <c r="C307">
        <v>74</v>
      </c>
      <c r="D307" s="2">
        <f>Table3[[#This Row],[PrimaTécnica]]-Table3[[#This Row],[PrimaTécnica]]*SUM(Table3[[#This Row],[Gastos Adm]:[Cobranza]])</f>
        <v>11956.378082313597</v>
      </c>
      <c r="E307">
        <v>0</v>
      </c>
      <c r="F307">
        <v>0.15</v>
      </c>
      <c r="G307">
        <v>0.05</v>
      </c>
      <c r="H307">
        <v>0.01</v>
      </c>
      <c r="I307">
        <v>0.01</v>
      </c>
      <c r="J307" s="8">
        <f>Table3[[#This Row],[PrimaTécnica]]*Table3[[#This Row],[Gastos Adm]]</f>
        <v>2299.3034773679997</v>
      </c>
      <c r="K307" s="8">
        <f>Table3[[#This Row],[PrimaTécnica]]*Table3[[#This Row],[Utilidad]]</f>
        <v>766.43449245599993</v>
      </c>
      <c r="L307" s="8">
        <f>Table3[[#This Row],[PrimaTécnica]]*Table3[[#This Row],[Marketing]]</f>
        <v>153.28689849119996</v>
      </c>
      <c r="M307" s="8">
        <f>Table3[[#This Row],[PrimaTécnica]]*Table3[[#This Row],[Cobranza]]</f>
        <v>153.28689849119996</v>
      </c>
      <c r="N30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07">
        <v>21.84</v>
      </c>
      <c r="P307">
        <v>54.6</v>
      </c>
      <c r="Q307">
        <v>80.64</v>
      </c>
      <c r="R307">
        <v>44.377200000000002</v>
      </c>
      <c r="S307">
        <v>0.2</v>
      </c>
      <c r="T307">
        <v>0.02</v>
      </c>
      <c r="U307" s="8">
        <f>Table3[[#This Row],[PrimaNeta]]*Table3[[#This Row],[Comisión]]</f>
        <v>3882.5367622799999</v>
      </c>
      <c r="V307" s="15">
        <f>Table3[[#This Row],[PrimaComercial Anual]]-Table3[[#This Row],[PrimaComercial Anual]]*SUM(Table3[[#This Row],[APS]:[IVA]])</f>
        <v>19412.683811399998</v>
      </c>
      <c r="W307" s="2">
        <v>1.4800000000000001E-2</v>
      </c>
      <c r="X307" s="2">
        <v>8.4501000000000007E-2</v>
      </c>
      <c r="Y307">
        <v>0.03</v>
      </c>
      <c r="Z307">
        <v>0.13</v>
      </c>
      <c r="AA307" s="20">
        <f>Table3[[#This Row],[APS]]*Table3[[#This Row],[PrimaComercial Anual]]</f>
        <v>387.88727999999998</v>
      </c>
      <c r="AB307" s="8">
        <f>Table3[[#This Row],[PrimaComercial Anual]]*Table3[[#This Row],[Recargo adicional]]</f>
        <v>2214.6529086</v>
      </c>
      <c r="AC307" s="8">
        <f>Table3[[#This Row],[PrimaComercial Anual]]*Table3[[#This Row],[IT]]</f>
        <v>786.25799999999992</v>
      </c>
      <c r="AD307" s="8">
        <f>Table3[[#This Row],[PrimaComercial Anual]]*Table3[[#This Row],[IVA]]</f>
        <v>3407.1179999999999</v>
      </c>
      <c r="AE307" s="15">
        <f>Table3[[#This Row],[PrimaComercial Anual Asistencia]]</f>
        <v>26208.6</v>
      </c>
      <c r="AG307">
        <v>26208.6</v>
      </c>
    </row>
    <row r="308" spans="1:33" x14ac:dyDescent="0.25">
      <c r="A308" t="s">
        <v>17</v>
      </c>
      <c r="B308">
        <v>140000</v>
      </c>
      <c r="C308">
        <v>75</v>
      </c>
      <c r="D308" s="2">
        <f>Table3[[#This Row],[PrimaTécnica]]-Table3[[#This Row],[PrimaTécnica]]*SUM(Table3[[#This Row],[Gastos Adm]:[Cobranza]])</f>
        <v>11956.378082313597</v>
      </c>
      <c r="E308">
        <v>0</v>
      </c>
      <c r="F308">
        <v>0.15</v>
      </c>
      <c r="G308">
        <v>0.05</v>
      </c>
      <c r="H308">
        <v>0.01</v>
      </c>
      <c r="I308">
        <v>0.01</v>
      </c>
      <c r="J308" s="8">
        <f>Table3[[#This Row],[PrimaTécnica]]*Table3[[#This Row],[Gastos Adm]]</f>
        <v>2299.3034773679997</v>
      </c>
      <c r="K308" s="8">
        <f>Table3[[#This Row],[PrimaTécnica]]*Table3[[#This Row],[Utilidad]]</f>
        <v>766.43449245599993</v>
      </c>
      <c r="L308" s="8">
        <f>Table3[[#This Row],[PrimaTécnica]]*Table3[[#This Row],[Marketing]]</f>
        <v>153.28689849119996</v>
      </c>
      <c r="M308" s="8">
        <f>Table3[[#This Row],[PrimaTécnica]]*Table3[[#This Row],[Cobranza]]</f>
        <v>153.28689849119996</v>
      </c>
      <c r="N30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08">
        <v>21.84</v>
      </c>
      <c r="P308">
        <v>54.6</v>
      </c>
      <c r="Q308">
        <v>80.64</v>
      </c>
      <c r="R308">
        <v>44.377200000000002</v>
      </c>
      <c r="S308">
        <v>0.2</v>
      </c>
      <c r="T308">
        <v>0.02</v>
      </c>
      <c r="U308" s="8">
        <f>Table3[[#This Row],[PrimaNeta]]*Table3[[#This Row],[Comisión]]</f>
        <v>3882.5367622799999</v>
      </c>
      <c r="V308" s="15">
        <f>Table3[[#This Row],[PrimaComercial Anual]]-Table3[[#This Row],[PrimaComercial Anual]]*SUM(Table3[[#This Row],[APS]:[IVA]])</f>
        <v>19412.683811399998</v>
      </c>
      <c r="W308" s="2">
        <v>1.4800000000000001E-2</v>
      </c>
      <c r="X308" s="2">
        <v>8.4501000000000007E-2</v>
      </c>
      <c r="Y308">
        <v>0.03</v>
      </c>
      <c r="Z308">
        <v>0.13</v>
      </c>
      <c r="AA308" s="20">
        <f>Table3[[#This Row],[APS]]*Table3[[#This Row],[PrimaComercial Anual]]</f>
        <v>387.88727999999998</v>
      </c>
      <c r="AB308" s="8">
        <f>Table3[[#This Row],[PrimaComercial Anual]]*Table3[[#This Row],[Recargo adicional]]</f>
        <v>2214.6529086</v>
      </c>
      <c r="AC308" s="8">
        <f>Table3[[#This Row],[PrimaComercial Anual]]*Table3[[#This Row],[IT]]</f>
        <v>786.25799999999992</v>
      </c>
      <c r="AD308" s="8">
        <f>Table3[[#This Row],[PrimaComercial Anual]]*Table3[[#This Row],[IVA]]</f>
        <v>3407.1179999999999</v>
      </c>
      <c r="AE308" s="15">
        <f>Table3[[#This Row],[PrimaComercial Anual Asistencia]]</f>
        <v>26208.6</v>
      </c>
      <c r="AG308">
        <v>26208.6</v>
      </c>
    </row>
    <row r="309" spans="1:33" x14ac:dyDescent="0.25">
      <c r="A309" t="s">
        <v>17</v>
      </c>
      <c r="B309">
        <v>140000</v>
      </c>
      <c r="C309">
        <v>76</v>
      </c>
      <c r="D309" s="2">
        <f>Table3[[#This Row],[PrimaTécnica]]-Table3[[#This Row],[PrimaTécnica]]*SUM(Table3[[#This Row],[Gastos Adm]:[Cobranza]])</f>
        <v>11956.378082313597</v>
      </c>
      <c r="E309">
        <v>0</v>
      </c>
      <c r="F309">
        <v>0.15</v>
      </c>
      <c r="G309">
        <v>0.05</v>
      </c>
      <c r="H309">
        <v>0.01</v>
      </c>
      <c r="I309">
        <v>0.01</v>
      </c>
      <c r="J309" s="8">
        <f>Table3[[#This Row],[PrimaTécnica]]*Table3[[#This Row],[Gastos Adm]]</f>
        <v>2299.3034773679997</v>
      </c>
      <c r="K309" s="8">
        <f>Table3[[#This Row],[PrimaTécnica]]*Table3[[#This Row],[Utilidad]]</f>
        <v>766.43449245599993</v>
      </c>
      <c r="L309" s="8">
        <f>Table3[[#This Row],[PrimaTécnica]]*Table3[[#This Row],[Marketing]]</f>
        <v>153.28689849119996</v>
      </c>
      <c r="M309" s="8">
        <f>Table3[[#This Row],[PrimaTécnica]]*Table3[[#This Row],[Cobranza]]</f>
        <v>153.28689849119996</v>
      </c>
      <c r="N30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09">
        <v>21.84</v>
      </c>
      <c r="P309">
        <v>54.6</v>
      </c>
      <c r="Q309">
        <v>80.64</v>
      </c>
      <c r="R309">
        <v>44.377200000000002</v>
      </c>
      <c r="S309">
        <v>0.2</v>
      </c>
      <c r="T309">
        <v>0.02</v>
      </c>
      <c r="U309" s="8">
        <f>Table3[[#This Row],[PrimaNeta]]*Table3[[#This Row],[Comisión]]</f>
        <v>3882.5367622799999</v>
      </c>
      <c r="V309" s="15">
        <f>Table3[[#This Row],[PrimaComercial Anual]]-Table3[[#This Row],[PrimaComercial Anual]]*SUM(Table3[[#This Row],[APS]:[IVA]])</f>
        <v>19412.683811399998</v>
      </c>
      <c r="W309" s="2">
        <v>1.4800000000000001E-2</v>
      </c>
      <c r="X309" s="2">
        <v>8.4501000000000007E-2</v>
      </c>
      <c r="Y309">
        <v>0.03</v>
      </c>
      <c r="Z309">
        <v>0.13</v>
      </c>
      <c r="AA309" s="20">
        <f>Table3[[#This Row],[APS]]*Table3[[#This Row],[PrimaComercial Anual]]</f>
        <v>387.88727999999998</v>
      </c>
      <c r="AB309" s="8">
        <f>Table3[[#This Row],[PrimaComercial Anual]]*Table3[[#This Row],[Recargo adicional]]</f>
        <v>2214.6529086</v>
      </c>
      <c r="AC309" s="8">
        <f>Table3[[#This Row],[PrimaComercial Anual]]*Table3[[#This Row],[IT]]</f>
        <v>786.25799999999992</v>
      </c>
      <c r="AD309" s="8">
        <f>Table3[[#This Row],[PrimaComercial Anual]]*Table3[[#This Row],[IVA]]</f>
        <v>3407.1179999999999</v>
      </c>
      <c r="AE309" s="15">
        <f>Table3[[#This Row],[PrimaComercial Anual Asistencia]]</f>
        <v>26208.6</v>
      </c>
      <c r="AG309">
        <v>26208.6</v>
      </c>
    </row>
    <row r="310" spans="1:33" x14ac:dyDescent="0.25">
      <c r="A310" t="s">
        <v>17</v>
      </c>
      <c r="B310">
        <v>140000</v>
      </c>
      <c r="C310">
        <v>77</v>
      </c>
      <c r="D310" s="2">
        <f>Table3[[#This Row],[PrimaTécnica]]-Table3[[#This Row],[PrimaTécnica]]*SUM(Table3[[#This Row],[Gastos Adm]:[Cobranza]])</f>
        <v>11956.378082313597</v>
      </c>
      <c r="E310">
        <v>0</v>
      </c>
      <c r="F310">
        <v>0.15</v>
      </c>
      <c r="G310">
        <v>0.05</v>
      </c>
      <c r="H310">
        <v>0.01</v>
      </c>
      <c r="I310">
        <v>0.01</v>
      </c>
      <c r="J310" s="8">
        <f>Table3[[#This Row],[PrimaTécnica]]*Table3[[#This Row],[Gastos Adm]]</f>
        <v>2299.3034773679997</v>
      </c>
      <c r="K310" s="8">
        <f>Table3[[#This Row],[PrimaTécnica]]*Table3[[#This Row],[Utilidad]]</f>
        <v>766.43449245599993</v>
      </c>
      <c r="L310" s="8">
        <f>Table3[[#This Row],[PrimaTécnica]]*Table3[[#This Row],[Marketing]]</f>
        <v>153.28689849119996</v>
      </c>
      <c r="M310" s="8">
        <f>Table3[[#This Row],[PrimaTécnica]]*Table3[[#This Row],[Cobranza]]</f>
        <v>153.28689849119996</v>
      </c>
      <c r="N31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10">
        <v>21.84</v>
      </c>
      <c r="P310">
        <v>54.6</v>
      </c>
      <c r="Q310">
        <v>80.64</v>
      </c>
      <c r="R310">
        <v>44.377200000000002</v>
      </c>
      <c r="S310">
        <v>0.2</v>
      </c>
      <c r="T310">
        <v>0.02</v>
      </c>
      <c r="U310" s="8">
        <f>Table3[[#This Row],[PrimaNeta]]*Table3[[#This Row],[Comisión]]</f>
        <v>3882.5367622799999</v>
      </c>
      <c r="V310" s="15">
        <f>Table3[[#This Row],[PrimaComercial Anual]]-Table3[[#This Row],[PrimaComercial Anual]]*SUM(Table3[[#This Row],[APS]:[IVA]])</f>
        <v>19412.683811399998</v>
      </c>
      <c r="W310" s="2">
        <v>1.4800000000000001E-2</v>
      </c>
      <c r="X310" s="2">
        <v>8.4501000000000007E-2</v>
      </c>
      <c r="Y310">
        <v>0.03</v>
      </c>
      <c r="Z310">
        <v>0.13</v>
      </c>
      <c r="AA310" s="20">
        <f>Table3[[#This Row],[APS]]*Table3[[#This Row],[PrimaComercial Anual]]</f>
        <v>387.88727999999998</v>
      </c>
      <c r="AB310" s="8">
        <f>Table3[[#This Row],[PrimaComercial Anual]]*Table3[[#This Row],[Recargo adicional]]</f>
        <v>2214.6529086</v>
      </c>
      <c r="AC310" s="8">
        <f>Table3[[#This Row],[PrimaComercial Anual]]*Table3[[#This Row],[IT]]</f>
        <v>786.25799999999992</v>
      </c>
      <c r="AD310" s="8">
        <f>Table3[[#This Row],[PrimaComercial Anual]]*Table3[[#This Row],[IVA]]</f>
        <v>3407.1179999999999</v>
      </c>
      <c r="AE310" s="15">
        <f>Table3[[#This Row],[PrimaComercial Anual Asistencia]]</f>
        <v>26208.6</v>
      </c>
      <c r="AG310">
        <v>26208.6</v>
      </c>
    </row>
    <row r="311" spans="1:33" x14ac:dyDescent="0.25">
      <c r="A311" t="s">
        <v>17</v>
      </c>
      <c r="B311">
        <v>140000</v>
      </c>
      <c r="C311">
        <v>78</v>
      </c>
      <c r="D311" s="2">
        <f>Table3[[#This Row],[PrimaTécnica]]-Table3[[#This Row],[PrimaTécnica]]*SUM(Table3[[#This Row],[Gastos Adm]:[Cobranza]])</f>
        <v>11956.378082313597</v>
      </c>
      <c r="E311">
        <v>0</v>
      </c>
      <c r="F311">
        <v>0.15</v>
      </c>
      <c r="G311">
        <v>0.05</v>
      </c>
      <c r="H311">
        <v>0.01</v>
      </c>
      <c r="I311">
        <v>0.01</v>
      </c>
      <c r="J311" s="8">
        <f>Table3[[#This Row],[PrimaTécnica]]*Table3[[#This Row],[Gastos Adm]]</f>
        <v>2299.3034773679997</v>
      </c>
      <c r="K311" s="8">
        <f>Table3[[#This Row],[PrimaTécnica]]*Table3[[#This Row],[Utilidad]]</f>
        <v>766.43449245599993</v>
      </c>
      <c r="L311" s="8">
        <f>Table3[[#This Row],[PrimaTécnica]]*Table3[[#This Row],[Marketing]]</f>
        <v>153.28689849119996</v>
      </c>
      <c r="M311" s="8">
        <f>Table3[[#This Row],[PrimaTécnica]]*Table3[[#This Row],[Cobranza]]</f>
        <v>153.28689849119996</v>
      </c>
      <c r="N31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11">
        <v>21.84</v>
      </c>
      <c r="P311">
        <v>54.6</v>
      </c>
      <c r="Q311">
        <v>80.64</v>
      </c>
      <c r="R311">
        <v>44.377200000000002</v>
      </c>
      <c r="S311">
        <v>0.2</v>
      </c>
      <c r="T311">
        <v>0.02</v>
      </c>
      <c r="U311" s="8">
        <f>Table3[[#This Row],[PrimaNeta]]*Table3[[#This Row],[Comisión]]</f>
        <v>3882.5367622799999</v>
      </c>
      <c r="V311" s="15">
        <f>Table3[[#This Row],[PrimaComercial Anual]]-Table3[[#This Row],[PrimaComercial Anual]]*SUM(Table3[[#This Row],[APS]:[IVA]])</f>
        <v>19412.683811399998</v>
      </c>
      <c r="W311" s="2">
        <v>1.4800000000000001E-2</v>
      </c>
      <c r="X311" s="2">
        <v>8.4501000000000007E-2</v>
      </c>
      <c r="Y311">
        <v>0.03</v>
      </c>
      <c r="Z311">
        <v>0.13</v>
      </c>
      <c r="AA311" s="20">
        <f>Table3[[#This Row],[APS]]*Table3[[#This Row],[PrimaComercial Anual]]</f>
        <v>387.88727999999998</v>
      </c>
      <c r="AB311" s="8">
        <f>Table3[[#This Row],[PrimaComercial Anual]]*Table3[[#This Row],[Recargo adicional]]</f>
        <v>2214.6529086</v>
      </c>
      <c r="AC311" s="8">
        <f>Table3[[#This Row],[PrimaComercial Anual]]*Table3[[#This Row],[IT]]</f>
        <v>786.25799999999992</v>
      </c>
      <c r="AD311" s="8">
        <f>Table3[[#This Row],[PrimaComercial Anual]]*Table3[[#This Row],[IVA]]</f>
        <v>3407.1179999999999</v>
      </c>
      <c r="AE311" s="15">
        <f>Table3[[#This Row],[PrimaComercial Anual Asistencia]]</f>
        <v>26208.6</v>
      </c>
      <c r="AG311">
        <v>26208.6</v>
      </c>
    </row>
    <row r="312" spans="1:33" x14ac:dyDescent="0.25">
      <c r="A312" t="s">
        <v>17</v>
      </c>
      <c r="B312">
        <v>140000</v>
      </c>
      <c r="C312">
        <v>79</v>
      </c>
      <c r="D312" s="2">
        <f>Table3[[#This Row],[PrimaTécnica]]-Table3[[#This Row],[PrimaTécnica]]*SUM(Table3[[#This Row],[Gastos Adm]:[Cobranza]])</f>
        <v>11956.378082313597</v>
      </c>
      <c r="E312">
        <v>0</v>
      </c>
      <c r="F312">
        <v>0.15</v>
      </c>
      <c r="G312">
        <v>0.05</v>
      </c>
      <c r="H312">
        <v>0.01</v>
      </c>
      <c r="I312">
        <v>0.01</v>
      </c>
      <c r="J312" s="8">
        <f>Table3[[#This Row],[PrimaTécnica]]*Table3[[#This Row],[Gastos Adm]]</f>
        <v>2299.3034773679997</v>
      </c>
      <c r="K312" s="8">
        <f>Table3[[#This Row],[PrimaTécnica]]*Table3[[#This Row],[Utilidad]]</f>
        <v>766.43449245599993</v>
      </c>
      <c r="L312" s="8">
        <f>Table3[[#This Row],[PrimaTécnica]]*Table3[[#This Row],[Marketing]]</f>
        <v>153.28689849119996</v>
      </c>
      <c r="M312" s="8">
        <f>Table3[[#This Row],[PrimaTécnica]]*Table3[[#This Row],[Cobranza]]</f>
        <v>153.28689849119996</v>
      </c>
      <c r="N31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12">
        <v>21.84</v>
      </c>
      <c r="P312">
        <v>54.6</v>
      </c>
      <c r="Q312">
        <v>80.64</v>
      </c>
      <c r="R312">
        <v>44.377200000000002</v>
      </c>
      <c r="S312">
        <v>0.2</v>
      </c>
      <c r="T312">
        <v>0.02</v>
      </c>
      <c r="U312" s="8">
        <f>Table3[[#This Row],[PrimaNeta]]*Table3[[#This Row],[Comisión]]</f>
        <v>3882.5367622799999</v>
      </c>
      <c r="V312" s="15">
        <f>Table3[[#This Row],[PrimaComercial Anual]]-Table3[[#This Row],[PrimaComercial Anual]]*SUM(Table3[[#This Row],[APS]:[IVA]])</f>
        <v>19412.683811399998</v>
      </c>
      <c r="W312" s="2">
        <v>1.4800000000000001E-2</v>
      </c>
      <c r="X312" s="2">
        <v>8.4501000000000007E-2</v>
      </c>
      <c r="Y312">
        <v>0.03</v>
      </c>
      <c r="Z312">
        <v>0.13</v>
      </c>
      <c r="AA312" s="20">
        <f>Table3[[#This Row],[APS]]*Table3[[#This Row],[PrimaComercial Anual]]</f>
        <v>387.88727999999998</v>
      </c>
      <c r="AB312" s="8">
        <f>Table3[[#This Row],[PrimaComercial Anual]]*Table3[[#This Row],[Recargo adicional]]</f>
        <v>2214.6529086</v>
      </c>
      <c r="AC312" s="8">
        <f>Table3[[#This Row],[PrimaComercial Anual]]*Table3[[#This Row],[IT]]</f>
        <v>786.25799999999992</v>
      </c>
      <c r="AD312" s="8">
        <f>Table3[[#This Row],[PrimaComercial Anual]]*Table3[[#This Row],[IVA]]</f>
        <v>3407.1179999999999</v>
      </c>
      <c r="AE312" s="15">
        <f>Table3[[#This Row],[PrimaComercial Anual Asistencia]]</f>
        <v>26208.6</v>
      </c>
      <c r="AG312">
        <v>26208.6</v>
      </c>
    </row>
    <row r="313" spans="1:33" x14ac:dyDescent="0.25">
      <c r="A313" t="s">
        <v>17</v>
      </c>
      <c r="B313">
        <v>140000</v>
      </c>
      <c r="C313">
        <v>80</v>
      </c>
      <c r="D313" s="2">
        <f>Table3[[#This Row],[PrimaTécnica]]-Table3[[#This Row],[PrimaTécnica]]*SUM(Table3[[#This Row],[Gastos Adm]:[Cobranza]])</f>
        <v>11956.378082313597</v>
      </c>
      <c r="E313">
        <v>0</v>
      </c>
      <c r="F313">
        <v>0.15</v>
      </c>
      <c r="G313">
        <v>0.05</v>
      </c>
      <c r="H313">
        <v>0.01</v>
      </c>
      <c r="I313">
        <v>0.01</v>
      </c>
      <c r="J313" s="8">
        <f>Table3[[#This Row],[PrimaTécnica]]*Table3[[#This Row],[Gastos Adm]]</f>
        <v>2299.3034773679997</v>
      </c>
      <c r="K313" s="8">
        <f>Table3[[#This Row],[PrimaTécnica]]*Table3[[#This Row],[Utilidad]]</f>
        <v>766.43449245599993</v>
      </c>
      <c r="L313" s="8">
        <f>Table3[[#This Row],[PrimaTécnica]]*Table3[[#This Row],[Marketing]]</f>
        <v>153.28689849119996</v>
      </c>
      <c r="M313" s="8">
        <f>Table3[[#This Row],[PrimaTécnica]]*Table3[[#This Row],[Cobranza]]</f>
        <v>153.28689849119996</v>
      </c>
      <c r="N31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13">
        <v>21.84</v>
      </c>
      <c r="P313">
        <v>54.6</v>
      </c>
      <c r="Q313">
        <v>80.64</v>
      </c>
      <c r="R313">
        <v>44.377200000000002</v>
      </c>
      <c r="S313">
        <v>0.2</v>
      </c>
      <c r="T313">
        <v>0.02</v>
      </c>
      <c r="U313" s="8">
        <f>Table3[[#This Row],[PrimaNeta]]*Table3[[#This Row],[Comisión]]</f>
        <v>3882.5367622799999</v>
      </c>
      <c r="V313" s="15">
        <f>Table3[[#This Row],[PrimaComercial Anual]]-Table3[[#This Row],[PrimaComercial Anual]]*SUM(Table3[[#This Row],[APS]:[IVA]])</f>
        <v>19412.683811399998</v>
      </c>
      <c r="W313" s="2">
        <v>1.4800000000000001E-2</v>
      </c>
      <c r="X313" s="2">
        <v>8.4501000000000007E-2</v>
      </c>
      <c r="Y313">
        <v>0.03</v>
      </c>
      <c r="Z313">
        <v>0.13</v>
      </c>
      <c r="AA313" s="20">
        <f>Table3[[#This Row],[APS]]*Table3[[#This Row],[PrimaComercial Anual]]</f>
        <v>387.88727999999998</v>
      </c>
      <c r="AB313" s="8">
        <f>Table3[[#This Row],[PrimaComercial Anual]]*Table3[[#This Row],[Recargo adicional]]</f>
        <v>2214.6529086</v>
      </c>
      <c r="AC313" s="8">
        <f>Table3[[#This Row],[PrimaComercial Anual]]*Table3[[#This Row],[IT]]</f>
        <v>786.25799999999992</v>
      </c>
      <c r="AD313" s="8">
        <f>Table3[[#This Row],[PrimaComercial Anual]]*Table3[[#This Row],[IVA]]</f>
        <v>3407.1179999999999</v>
      </c>
      <c r="AE313" s="15">
        <f>Table3[[#This Row],[PrimaComercial Anual Asistencia]]</f>
        <v>26208.6</v>
      </c>
      <c r="AG313">
        <v>26208.6</v>
      </c>
    </row>
    <row r="314" spans="1:33" x14ac:dyDescent="0.25">
      <c r="A314" t="s">
        <v>17</v>
      </c>
      <c r="B314">
        <v>140000</v>
      </c>
      <c r="C314">
        <v>81</v>
      </c>
      <c r="D314" s="2">
        <f>Table3[[#This Row],[PrimaTécnica]]-Table3[[#This Row],[PrimaTécnica]]*SUM(Table3[[#This Row],[Gastos Adm]:[Cobranza]])</f>
        <v>11956.378082313597</v>
      </c>
      <c r="E314">
        <v>0</v>
      </c>
      <c r="F314">
        <v>0.15</v>
      </c>
      <c r="G314">
        <v>0.05</v>
      </c>
      <c r="H314">
        <v>0.01</v>
      </c>
      <c r="I314">
        <v>0.01</v>
      </c>
      <c r="J314" s="8">
        <f>Table3[[#This Row],[PrimaTécnica]]*Table3[[#This Row],[Gastos Adm]]</f>
        <v>2299.3034773679997</v>
      </c>
      <c r="K314" s="8">
        <f>Table3[[#This Row],[PrimaTécnica]]*Table3[[#This Row],[Utilidad]]</f>
        <v>766.43449245599993</v>
      </c>
      <c r="L314" s="8">
        <f>Table3[[#This Row],[PrimaTécnica]]*Table3[[#This Row],[Marketing]]</f>
        <v>153.28689849119996</v>
      </c>
      <c r="M314" s="8">
        <f>Table3[[#This Row],[PrimaTécnica]]*Table3[[#This Row],[Cobranza]]</f>
        <v>153.28689849119996</v>
      </c>
      <c r="N31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14">
        <v>21.84</v>
      </c>
      <c r="P314">
        <v>54.6</v>
      </c>
      <c r="Q314">
        <v>80.64</v>
      </c>
      <c r="R314">
        <v>44.377200000000002</v>
      </c>
      <c r="S314">
        <v>0.2</v>
      </c>
      <c r="T314">
        <v>0.02</v>
      </c>
      <c r="U314" s="8">
        <f>Table3[[#This Row],[PrimaNeta]]*Table3[[#This Row],[Comisión]]</f>
        <v>3882.5367622799999</v>
      </c>
      <c r="V314" s="15">
        <f>Table3[[#This Row],[PrimaComercial Anual]]-Table3[[#This Row],[PrimaComercial Anual]]*SUM(Table3[[#This Row],[APS]:[IVA]])</f>
        <v>19412.683811399998</v>
      </c>
      <c r="W314" s="2">
        <v>1.4800000000000001E-2</v>
      </c>
      <c r="X314" s="2">
        <v>8.4501000000000007E-2</v>
      </c>
      <c r="Y314">
        <v>0.03</v>
      </c>
      <c r="Z314">
        <v>0.13</v>
      </c>
      <c r="AA314" s="20">
        <f>Table3[[#This Row],[APS]]*Table3[[#This Row],[PrimaComercial Anual]]</f>
        <v>387.88727999999998</v>
      </c>
      <c r="AB314" s="8">
        <f>Table3[[#This Row],[PrimaComercial Anual]]*Table3[[#This Row],[Recargo adicional]]</f>
        <v>2214.6529086</v>
      </c>
      <c r="AC314" s="8">
        <f>Table3[[#This Row],[PrimaComercial Anual]]*Table3[[#This Row],[IT]]</f>
        <v>786.25799999999992</v>
      </c>
      <c r="AD314" s="8">
        <f>Table3[[#This Row],[PrimaComercial Anual]]*Table3[[#This Row],[IVA]]</f>
        <v>3407.1179999999999</v>
      </c>
      <c r="AE314" s="15">
        <f>Table3[[#This Row],[PrimaComercial Anual Asistencia]]</f>
        <v>26208.6</v>
      </c>
      <c r="AG314">
        <v>26208.6</v>
      </c>
    </row>
    <row r="315" spans="1:33" x14ac:dyDescent="0.25">
      <c r="A315" t="s">
        <v>17</v>
      </c>
      <c r="B315">
        <v>140000</v>
      </c>
      <c r="C315">
        <v>82</v>
      </c>
      <c r="D315" s="2">
        <f>Table3[[#This Row],[PrimaTécnica]]-Table3[[#This Row],[PrimaTécnica]]*SUM(Table3[[#This Row],[Gastos Adm]:[Cobranza]])</f>
        <v>11956.378082313597</v>
      </c>
      <c r="E315">
        <v>0</v>
      </c>
      <c r="F315">
        <v>0.15</v>
      </c>
      <c r="G315">
        <v>0.05</v>
      </c>
      <c r="H315">
        <v>0.01</v>
      </c>
      <c r="I315">
        <v>0.01</v>
      </c>
      <c r="J315" s="8">
        <f>Table3[[#This Row],[PrimaTécnica]]*Table3[[#This Row],[Gastos Adm]]</f>
        <v>2299.3034773679997</v>
      </c>
      <c r="K315" s="8">
        <f>Table3[[#This Row],[PrimaTécnica]]*Table3[[#This Row],[Utilidad]]</f>
        <v>766.43449245599993</v>
      </c>
      <c r="L315" s="8">
        <f>Table3[[#This Row],[PrimaTécnica]]*Table3[[#This Row],[Marketing]]</f>
        <v>153.28689849119996</v>
      </c>
      <c r="M315" s="8">
        <f>Table3[[#This Row],[PrimaTécnica]]*Table3[[#This Row],[Cobranza]]</f>
        <v>153.28689849119996</v>
      </c>
      <c r="N31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15">
        <v>21.84</v>
      </c>
      <c r="P315">
        <v>54.6</v>
      </c>
      <c r="Q315">
        <v>80.64</v>
      </c>
      <c r="R315">
        <v>44.377200000000002</v>
      </c>
      <c r="S315">
        <v>0.2</v>
      </c>
      <c r="T315">
        <v>0.02</v>
      </c>
      <c r="U315" s="8">
        <f>Table3[[#This Row],[PrimaNeta]]*Table3[[#This Row],[Comisión]]</f>
        <v>3882.5367622799999</v>
      </c>
      <c r="V315" s="15">
        <f>Table3[[#This Row],[PrimaComercial Anual]]-Table3[[#This Row],[PrimaComercial Anual]]*SUM(Table3[[#This Row],[APS]:[IVA]])</f>
        <v>19412.683811399998</v>
      </c>
      <c r="W315" s="2">
        <v>1.4800000000000001E-2</v>
      </c>
      <c r="X315" s="2">
        <v>8.4501000000000007E-2</v>
      </c>
      <c r="Y315">
        <v>0.03</v>
      </c>
      <c r="Z315">
        <v>0.13</v>
      </c>
      <c r="AA315" s="20">
        <f>Table3[[#This Row],[APS]]*Table3[[#This Row],[PrimaComercial Anual]]</f>
        <v>387.88727999999998</v>
      </c>
      <c r="AB315" s="8">
        <f>Table3[[#This Row],[PrimaComercial Anual]]*Table3[[#This Row],[Recargo adicional]]</f>
        <v>2214.6529086</v>
      </c>
      <c r="AC315" s="8">
        <f>Table3[[#This Row],[PrimaComercial Anual]]*Table3[[#This Row],[IT]]</f>
        <v>786.25799999999992</v>
      </c>
      <c r="AD315" s="8">
        <f>Table3[[#This Row],[PrimaComercial Anual]]*Table3[[#This Row],[IVA]]</f>
        <v>3407.1179999999999</v>
      </c>
      <c r="AE315" s="15">
        <f>Table3[[#This Row],[PrimaComercial Anual Asistencia]]</f>
        <v>26208.6</v>
      </c>
      <c r="AG315">
        <v>26208.6</v>
      </c>
    </row>
    <row r="316" spans="1:33" x14ac:dyDescent="0.25">
      <c r="A316" t="s">
        <v>17</v>
      </c>
      <c r="B316">
        <v>140000</v>
      </c>
      <c r="C316">
        <v>83</v>
      </c>
      <c r="D316" s="2">
        <f>Table3[[#This Row],[PrimaTécnica]]-Table3[[#This Row],[PrimaTécnica]]*SUM(Table3[[#This Row],[Gastos Adm]:[Cobranza]])</f>
        <v>11956.378082313597</v>
      </c>
      <c r="E316">
        <v>0</v>
      </c>
      <c r="F316">
        <v>0.15</v>
      </c>
      <c r="G316">
        <v>0.05</v>
      </c>
      <c r="H316">
        <v>0.01</v>
      </c>
      <c r="I316">
        <v>0.01</v>
      </c>
      <c r="J316" s="8">
        <f>Table3[[#This Row],[PrimaTécnica]]*Table3[[#This Row],[Gastos Adm]]</f>
        <v>2299.3034773679997</v>
      </c>
      <c r="K316" s="8">
        <f>Table3[[#This Row],[PrimaTécnica]]*Table3[[#This Row],[Utilidad]]</f>
        <v>766.43449245599993</v>
      </c>
      <c r="L316" s="8">
        <f>Table3[[#This Row],[PrimaTécnica]]*Table3[[#This Row],[Marketing]]</f>
        <v>153.28689849119996</v>
      </c>
      <c r="M316" s="8">
        <f>Table3[[#This Row],[PrimaTécnica]]*Table3[[#This Row],[Cobranza]]</f>
        <v>153.28689849119996</v>
      </c>
      <c r="N31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16">
        <v>21.84</v>
      </c>
      <c r="P316">
        <v>54.6</v>
      </c>
      <c r="Q316">
        <v>80.64</v>
      </c>
      <c r="R316">
        <v>44.377200000000002</v>
      </c>
      <c r="S316">
        <v>0.2</v>
      </c>
      <c r="T316">
        <v>0.02</v>
      </c>
      <c r="U316" s="8">
        <f>Table3[[#This Row],[PrimaNeta]]*Table3[[#This Row],[Comisión]]</f>
        <v>3882.5367622799999</v>
      </c>
      <c r="V316" s="15">
        <f>Table3[[#This Row],[PrimaComercial Anual]]-Table3[[#This Row],[PrimaComercial Anual]]*SUM(Table3[[#This Row],[APS]:[IVA]])</f>
        <v>19412.683811399998</v>
      </c>
      <c r="W316" s="2">
        <v>1.4800000000000001E-2</v>
      </c>
      <c r="X316" s="2">
        <v>8.4501000000000007E-2</v>
      </c>
      <c r="Y316">
        <v>0.03</v>
      </c>
      <c r="Z316">
        <v>0.13</v>
      </c>
      <c r="AA316" s="20">
        <f>Table3[[#This Row],[APS]]*Table3[[#This Row],[PrimaComercial Anual]]</f>
        <v>387.88727999999998</v>
      </c>
      <c r="AB316" s="8">
        <f>Table3[[#This Row],[PrimaComercial Anual]]*Table3[[#This Row],[Recargo adicional]]</f>
        <v>2214.6529086</v>
      </c>
      <c r="AC316" s="8">
        <f>Table3[[#This Row],[PrimaComercial Anual]]*Table3[[#This Row],[IT]]</f>
        <v>786.25799999999992</v>
      </c>
      <c r="AD316" s="8">
        <f>Table3[[#This Row],[PrimaComercial Anual]]*Table3[[#This Row],[IVA]]</f>
        <v>3407.1179999999999</v>
      </c>
      <c r="AE316" s="15">
        <f>Table3[[#This Row],[PrimaComercial Anual Asistencia]]</f>
        <v>26208.6</v>
      </c>
      <c r="AG316">
        <v>26208.6</v>
      </c>
    </row>
    <row r="317" spans="1:33" x14ac:dyDescent="0.25">
      <c r="A317" t="s">
        <v>17</v>
      </c>
      <c r="B317">
        <v>140000</v>
      </c>
      <c r="C317">
        <v>84</v>
      </c>
      <c r="D317" s="2">
        <f>Table3[[#This Row],[PrimaTécnica]]-Table3[[#This Row],[PrimaTécnica]]*SUM(Table3[[#This Row],[Gastos Adm]:[Cobranza]])</f>
        <v>11956.378082313597</v>
      </c>
      <c r="E317">
        <v>0</v>
      </c>
      <c r="F317">
        <v>0.15</v>
      </c>
      <c r="G317">
        <v>0.05</v>
      </c>
      <c r="H317">
        <v>0.01</v>
      </c>
      <c r="I317">
        <v>0.01</v>
      </c>
      <c r="J317" s="8">
        <f>Table3[[#This Row],[PrimaTécnica]]*Table3[[#This Row],[Gastos Adm]]</f>
        <v>2299.3034773679997</v>
      </c>
      <c r="K317" s="8">
        <f>Table3[[#This Row],[PrimaTécnica]]*Table3[[#This Row],[Utilidad]]</f>
        <v>766.43449245599993</v>
      </c>
      <c r="L317" s="8">
        <f>Table3[[#This Row],[PrimaTécnica]]*Table3[[#This Row],[Marketing]]</f>
        <v>153.28689849119996</v>
      </c>
      <c r="M317" s="8">
        <f>Table3[[#This Row],[PrimaTécnica]]*Table3[[#This Row],[Cobranza]]</f>
        <v>153.28689849119996</v>
      </c>
      <c r="N31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17">
        <v>21.84</v>
      </c>
      <c r="P317">
        <v>54.6</v>
      </c>
      <c r="Q317">
        <v>80.64</v>
      </c>
      <c r="R317">
        <v>44.377200000000002</v>
      </c>
      <c r="S317">
        <v>0.2</v>
      </c>
      <c r="T317">
        <v>0.02</v>
      </c>
      <c r="U317" s="8">
        <f>Table3[[#This Row],[PrimaNeta]]*Table3[[#This Row],[Comisión]]</f>
        <v>3882.5367622799999</v>
      </c>
      <c r="V317" s="15">
        <f>Table3[[#This Row],[PrimaComercial Anual]]-Table3[[#This Row],[PrimaComercial Anual]]*SUM(Table3[[#This Row],[APS]:[IVA]])</f>
        <v>19412.683811399998</v>
      </c>
      <c r="W317" s="2">
        <v>1.4800000000000001E-2</v>
      </c>
      <c r="X317" s="2">
        <v>8.4501000000000007E-2</v>
      </c>
      <c r="Y317">
        <v>0.03</v>
      </c>
      <c r="Z317">
        <v>0.13</v>
      </c>
      <c r="AA317" s="20">
        <f>Table3[[#This Row],[APS]]*Table3[[#This Row],[PrimaComercial Anual]]</f>
        <v>387.88727999999998</v>
      </c>
      <c r="AB317" s="8">
        <f>Table3[[#This Row],[PrimaComercial Anual]]*Table3[[#This Row],[Recargo adicional]]</f>
        <v>2214.6529086</v>
      </c>
      <c r="AC317" s="8">
        <f>Table3[[#This Row],[PrimaComercial Anual]]*Table3[[#This Row],[IT]]</f>
        <v>786.25799999999992</v>
      </c>
      <c r="AD317" s="8">
        <f>Table3[[#This Row],[PrimaComercial Anual]]*Table3[[#This Row],[IVA]]</f>
        <v>3407.1179999999999</v>
      </c>
      <c r="AE317" s="15">
        <f>Table3[[#This Row],[PrimaComercial Anual Asistencia]]</f>
        <v>26208.6</v>
      </c>
      <c r="AG317">
        <v>26208.6</v>
      </c>
    </row>
    <row r="318" spans="1:33" x14ac:dyDescent="0.25">
      <c r="A318" t="s">
        <v>17</v>
      </c>
      <c r="B318">
        <v>140000</v>
      </c>
      <c r="C318">
        <v>85</v>
      </c>
      <c r="D318" s="2">
        <f>Table3[[#This Row],[PrimaTécnica]]-Table3[[#This Row],[PrimaTécnica]]*SUM(Table3[[#This Row],[Gastos Adm]:[Cobranza]])</f>
        <v>11956.378082313597</v>
      </c>
      <c r="E318">
        <v>0</v>
      </c>
      <c r="F318">
        <v>0.15</v>
      </c>
      <c r="G318">
        <v>0.05</v>
      </c>
      <c r="H318">
        <v>0.01</v>
      </c>
      <c r="I318">
        <v>0.01</v>
      </c>
      <c r="J318" s="8">
        <f>Table3[[#This Row],[PrimaTécnica]]*Table3[[#This Row],[Gastos Adm]]</f>
        <v>2299.3034773679997</v>
      </c>
      <c r="K318" s="8">
        <f>Table3[[#This Row],[PrimaTécnica]]*Table3[[#This Row],[Utilidad]]</f>
        <v>766.43449245599993</v>
      </c>
      <c r="L318" s="8">
        <f>Table3[[#This Row],[PrimaTécnica]]*Table3[[#This Row],[Marketing]]</f>
        <v>153.28689849119996</v>
      </c>
      <c r="M318" s="8">
        <f>Table3[[#This Row],[PrimaTécnica]]*Table3[[#This Row],[Cobranza]]</f>
        <v>153.28689849119996</v>
      </c>
      <c r="N31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18">
        <v>21.84</v>
      </c>
      <c r="P318">
        <v>54.6</v>
      </c>
      <c r="Q318">
        <v>80.64</v>
      </c>
      <c r="R318">
        <v>44.377200000000002</v>
      </c>
      <c r="S318">
        <v>0.2</v>
      </c>
      <c r="T318">
        <v>0.02</v>
      </c>
      <c r="U318" s="8">
        <f>Table3[[#This Row],[PrimaNeta]]*Table3[[#This Row],[Comisión]]</f>
        <v>3882.5367622799999</v>
      </c>
      <c r="V318" s="15">
        <f>Table3[[#This Row],[PrimaComercial Anual]]-Table3[[#This Row],[PrimaComercial Anual]]*SUM(Table3[[#This Row],[APS]:[IVA]])</f>
        <v>19412.683811399998</v>
      </c>
      <c r="W318" s="2">
        <v>1.4800000000000001E-2</v>
      </c>
      <c r="X318" s="2">
        <v>8.4501000000000007E-2</v>
      </c>
      <c r="Y318">
        <v>0.03</v>
      </c>
      <c r="Z318">
        <v>0.13</v>
      </c>
      <c r="AA318" s="20">
        <f>Table3[[#This Row],[APS]]*Table3[[#This Row],[PrimaComercial Anual]]</f>
        <v>387.88727999999998</v>
      </c>
      <c r="AB318" s="8">
        <f>Table3[[#This Row],[PrimaComercial Anual]]*Table3[[#This Row],[Recargo adicional]]</f>
        <v>2214.6529086</v>
      </c>
      <c r="AC318" s="8">
        <f>Table3[[#This Row],[PrimaComercial Anual]]*Table3[[#This Row],[IT]]</f>
        <v>786.25799999999992</v>
      </c>
      <c r="AD318" s="8">
        <f>Table3[[#This Row],[PrimaComercial Anual]]*Table3[[#This Row],[IVA]]</f>
        <v>3407.1179999999999</v>
      </c>
      <c r="AE318" s="15">
        <f>Table3[[#This Row],[PrimaComercial Anual Asistencia]]</f>
        <v>26208.6</v>
      </c>
      <c r="AG318">
        <v>26208.6</v>
      </c>
    </row>
    <row r="319" spans="1:33" x14ac:dyDescent="0.25">
      <c r="A319" t="s">
        <v>17</v>
      </c>
      <c r="B319">
        <v>140000</v>
      </c>
      <c r="C319">
        <v>86</v>
      </c>
      <c r="D319" s="2">
        <f>Table3[[#This Row],[PrimaTécnica]]-Table3[[#This Row],[PrimaTécnica]]*SUM(Table3[[#This Row],[Gastos Adm]:[Cobranza]])</f>
        <v>11956.378082313597</v>
      </c>
      <c r="E319">
        <v>0</v>
      </c>
      <c r="F319">
        <v>0.15</v>
      </c>
      <c r="G319">
        <v>0.05</v>
      </c>
      <c r="H319">
        <v>0.01</v>
      </c>
      <c r="I319">
        <v>0.01</v>
      </c>
      <c r="J319" s="8">
        <f>Table3[[#This Row],[PrimaTécnica]]*Table3[[#This Row],[Gastos Adm]]</f>
        <v>2299.3034773679997</v>
      </c>
      <c r="K319" s="8">
        <f>Table3[[#This Row],[PrimaTécnica]]*Table3[[#This Row],[Utilidad]]</f>
        <v>766.43449245599993</v>
      </c>
      <c r="L319" s="8">
        <f>Table3[[#This Row],[PrimaTécnica]]*Table3[[#This Row],[Marketing]]</f>
        <v>153.28689849119996</v>
      </c>
      <c r="M319" s="8">
        <f>Table3[[#This Row],[PrimaTécnica]]*Table3[[#This Row],[Cobranza]]</f>
        <v>153.28689849119996</v>
      </c>
      <c r="N31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19">
        <v>21.84</v>
      </c>
      <c r="P319">
        <v>54.6</v>
      </c>
      <c r="Q319">
        <v>80.64</v>
      </c>
      <c r="R319">
        <v>44.377200000000002</v>
      </c>
      <c r="S319">
        <v>0.2</v>
      </c>
      <c r="T319">
        <v>0.02</v>
      </c>
      <c r="U319" s="8">
        <f>Table3[[#This Row],[PrimaNeta]]*Table3[[#This Row],[Comisión]]</f>
        <v>3882.5367622799999</v>
      </c>
      <c r="V319" s="15">
        <f>Table3[[#This Row],[PrimaComercial Anual]]-Table3[[#This Row],[PrimaComercial Anual]]*SUM(Table3[[#This Row],[APS]:[IVA]])</f>
        <v>19412.683811399998</v>
      </c>
      <c r="W319" s="2">
        <v>1.4800000000000001E-2</v>
      </c>
      <c r="X319" s="2">
        <v>8.4501000000000007E-2</v>
      </c>
      <c r="Y319">
        <v>0.03</v>
      </c>
      <c r="Z319">
        <v>0.13</v>
      </c>
      <c r="AA319" s="20">
        <f>Table3[[#This Row],[APS]]*Table3[[#This Row],[PrimaComercial Anual]]</f>
        <v>387.88727999999998</v>
      </c>
      <c r="AB319" s="8">
        <f>Table3[[#This Row],[PrimaComercial Anual]]*Table3[[#This Row],[Recargo adicional]]</f>
        <v>2214.6529086</v>
      </c>
      <c r="AC319" s="8">
        <f>Table3[[#This Row],[PrimaComercial Anual]]*Table3[[#This Row],[IT]]</f>
        <v>786.25799999999992</v>
      </c>
      <c r="AD319" s="8">
        <f>Table3[[#This Row],[PrimaComercial Anual]]*Table3[[#This Row],[IVA]]</f>
        <v>3407.1179999999999</v>
      </c>
      <c r="AE319" s="15">
        <f>Table3[[#This Row],[PrimaComercial Anual Asistencia]]</f>
        <v>26208.6</v>
      </c>
      <c r="AG319">
        <v>26208.6</v>
      </c>
    </row>
    <row r="320" spans="1:33" x14ac:dyDescent="0.25">
      <c r="A320" t="s">
        <v>17</v>
      </c>
      <c r="B320">
        <v>140000</v>
      </c>
      <c r="C320">
        <v>87</v>
      </c>
      <c r="D320" s="2">
        <f>Table3[[#This Row],[PrimaTécnica]]-Table3[[#This Row],[PrimaTécnica]]*SUM(Table3[[#This Row],[Gastos Adm]:[Cobranza]])</f>
        <v>11956.378082313597</v>
      </c>
      <c r="E320">
        <v>0</v>
      </c>
      <c r="F320">
        <v>0.15</v>
      </c>
      <c r="G320">
        <v>0.05</v>
      </c>
      <c r="H320">
        <v>0.01</v>
      </c>
      <c r="I320">
        <v>0.01</v>
      </c>
      <c r="J320" s="8">
        <f>Table3[[#This Row],[PrimaTécnica]]*Table3[[#This Row],[Gastos Adm]]</f>
        <v>2299.3034773679997</v>
      </c>
      <c r="K320" s="8">
        <f>Table3[[#This Row],[PrimaTécnica]]*Table3[[#This Row],[Utilidad]]</f>
        <v>766.43449245599993</v>
      </c>
      <c r="L320" s="8">
        <f>Table3[[#This Row],[PrimaTécnica]]*Table3[[#This Row],[Marketing]]</f>
        <v>153.28689849119996</v>
      </c>
      <c r="M320" s="8">
        <f>Table3[[#This Row],[PrimaTécnica]]*Table3[[#This Row],[Cobranza]]</f>
        <v>153.28689849119996</v>
      </c>
      <c r="N32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20">
        <v>21.84</v>
      </c>
      <c r="P320">
        <v>54.6</v>
      </c>
      <c r="Q320">
        <v>80.64</v>
      </c>
      <c r="R320">
        <v>44.377200000000002</v>
      </c>
      <c r="S320">
        <v>0.2</v>
      </c>
      <c r="T320">
        <v>0.02</v>
      </c>
      <c r="U320" s="8">
        <f>Table3[[#This Row],[PrimaNeta]]*Table3[[#This Row],[Comisión]]</f>
        <v>3882.5367622799999</v>
      </c>
      <c r="V320" s="15">
        <f>Table3[[#This Row],[PrimaComercial Anual]]-Table3[[#This Row],[PrimaComercial Anual]]*SUM(Table3[[#This Row],[APS]:[IVA]])</f>
        <v>19412.683811399998</v>
      </c>
      <c r="W320" s="2">
        <v>1.4800000000000001E-2</v>
      </c>
      <c r="X320" s="2">
        <v>8.4501000000000007E-2</v>
      </c>
      <c r="Y320">
        <v>0.03</v>
      </c>
      <c r="Z320">
        <v>0.13</v>
      </c>
      <c r="AA320" s="20">
        <f>Table3[[#This Row],[APS]]*Table3[[#This Row],[PrimaComercial Anual]]</f>
        <v>387.88727999999998</v>
      </c>
      <c r="AB320" s="8">
        <f>Table3[[#This Row],[PrimaComercial Anual]]*Table3[[#This Row],[Recargo adicional]]</f>
        <v>2214.6529086</v>
      </c>
      <c r="AC320" s="8">
        <f>Table3[[#This Row],[PrimaComercial Anual]]*Table3[[#This Row],[IT]]</f>
        <v>786.25799999999992</v>
      </c>
      <c r="AD320" s="8">
        <f>Table3[[#This Row],[PrimaComercial Anual]]*Table3[[#This Row],[IVA]]</f>
        <v>3407.1179999999999</v>
      </c>
      <c r="AE320" s="15">
        <f>Table3[[#This Row],[PrimaComercial Anual Asistencia]]</f>
        <v>26208.6</v>
      </c>
      <c r="AG320">
        <v>26208.6</v>
      </c>
    </row>
    <row r="321" spans="1:33" x14ac:dyDescent="0.25">
      <c r="A321" t="s">
        <v>17</v>
      </c>
      <c r="B321">
        <v>140000</v>
      </c>
      <c r="C321">
        <v>88</v>
      </c>
      <c r="D321" s="2">
        <f>Table3[[#This Row],[PrimaTécnica]]-Table3[[#This Row],[PrimaTécnica]]*SUM(Table3[[#This Row],[Gastos Adm]:[Cobranza]])</f>
        <v>11956.378082313597</v>
      </c>
      <c r="E321">
        <v>0</v>
      </c>
      <c r="F321">
        <v>0.15</v>
      </c>
      <c r="G321">
        <v>0.05</v>
      </c>
      <c r="H321">
        <v>0.01</v>
      </c>
      <c r="I321">
        <v>0.01</v>
      </c>
      <c r="J321" s="8">
        <f>Table3[[#This Row],[PrimaTécnica]]*Table3[[#This Row],[Gastos Adm]]</f>
        <v>2299.3034773679997</v>
      </c>
      <c r="K321" s="8">
        <f>Table3[[#This Row],[PrimaTécnica]]*Table3[[#This Row],[Utilidad]]</f>
        <v>766.43449245599993</v>
      </c>
      <c r="L321" s="8">
        <f>Table3[[#This Row],[PrimaTécnica]]*Table3[[#This Row],[Marketing]]</f>
        <v>153.28689849119996</v>
      </c>
      <c r="M321" s="8">
        <f>Table3[[#This Row],[PrimaTécnica]]*Table3[[#This Row],[Cobranza]]</f>
        <v>153.28689849119996</v>
      </c>
      <c r="N32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21">
        <v>21.84</v>
      </c>
      <c r="P321">
        <v>54.6</v>
      </c>
      <c r="Q321">
        <v>80.64</v>
      </c>
      <c r="R321">
        <v>44.377200000000002</v>
      </c>
      <c r="S321">
        <v>0.2</v>
      </c>
      <c r="T321">
        <v>0.02</v>
      </c>
      <c r="U321" s="8">
        <f>Table3[[#This Row],[PrimaNeta]]*Table3[[#This Row],[Comisión]]</f>
        <v>3882.5367622799999</v>
      </c>
      <c r="V321" s="15">
        <f>Table3[[#This Row],[PrimaComercial Anual]]-Table3[[#This Row],[PrimaComercial Anual]]*SUM(Table3[[#This Row],[APS]:[IVA]])</f>
        <v>19412.683811399998</v>
      </c>
      <c r="W321" s="2">
        <v>1.4800000000000001E-2</v>
      </c>
      <c r="X321" s="2">
        <v>8.4501000000000007E-2</v>
      </c>
      <c r="Y321">
        <v>0.03</v>
      </c>
      <c r="Z321">
        <v>0.13</v>
      </c>
      <c r="AA321" s="20">
        <f>Table3[[#This Row],[APS]]*Table3[[#This Row],[PrimaComercial Anual]]</f>
        <v>387.88727999999998</v>
      </c>
      <c r="AB321" s="8">
        <f>Table3[[#This Row],[PrimaComercial Anual]]*Table3[[#This Row],[Recargo adicional]]</f>
        <v>2214.6529086</v>
      </c>
      <c r="AC321" s="8">
        <f>Table3[[#This Row],[PrimaComercial Anual]]*Table3[[#This Row],[IT]]</f>
        <v>786.25799999999992</v>
      </c>
      <c r="AD321" s="8">
        <f>Table3[[#This Row],[PrimaComercial Anual]]*Table3[[#This Row],[IVA]]</f>
        <v>3407.1179999999999</v>
      </c>
      <c r="AE321" s="15">
        <f>Table3[[#This Row],[PrimaComercial Anual Asistencia]]</f>
        <v>26208.6</v>
      </c>
      <c r="AG321">
        <v>26208.6</v>
      </c>
    </row>
    <row r="322" spans="1:33" x14ac:dyDescent="0.25">
      <c r="A322" t="s">
        <v>17</v>
      </c>
      <c r="B322">
        <v>140000</v>
      </c>
      <c r="C322">
        <v>89</v>
      </c>
      <c r="D322" s="2">
        <f>Table3[[#This Row],[PrimaTécnica]]-Table3[[#This Row],[PrimaTécnica]]*SUM(Table3[[#This Row],[Gastos Adm]:[Cobranza]])</f>
        <v>11956.378082313597</v>
      </c>
      <c r="E322">
        <v>0</v>
      </c>
      <c r="F322">
        <v>0.15</v>
      </c>
      <c r="G322">
        <v>0.05</v>
      </c>
      <c r="H322">
        <v>0.01</v>
      </c>
      <c r="I322">
        <v>0.01</v>
      </c>
      <c r="J322" s="8">
        <f>Table3[[#This Row],[PrimaTécnica]]*Table3[[#This Row],[Gastos Adm]]</f>
        <v>2299.3034773679997</v>
      </c>
      <c r="K322" s="8">
        <f>Table3[[#This Row],[PrimaTécnica]]*Table3[[#This Row],[Utilidad]]</f>
        <v>766.43449245599993</v>
      </c>
      <c r="L322" s="8">
        <f>Table3[[#This Row],[PrimaTécnica]]*Table3[[#This Row],[Marketing]]</f>
        <v>153.28689849119996</v>
      </c>
      <c r="M322" s="8">
        <f>Table3[[#This Row],[PrimaTécnica]]*Table3[[#This Row],[Cobranza]]</f>
        <v>153.28689849119996</v>
      </c>
      <c r="N32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22">
        <v>21.84</v>
      </c>
      <c r="P322">
        <v>54.6</v>
      </c>
      <c r="Q322">
        <v>80.64</v>
      </c>
      <c r="R322">
        <v>44.377200000000002</v>
      </c>
      <c r="S322">
        <v>0.2</v>
      </c>
      <c r="T322">
        <v>0.02</v>
      </c>
      <c r="U322" s="8">
        <f>Table3[[#This Row],[PrimaNeta]]*Table3[[#This Row],[Comisión]]</f>
        <v>3882.5367622799999</v>
      </c>
      <c r="V322" s="15">
        <f>Table3[[#This Row],[PrimaComercial Anual]]-Table3[[#This Row],[PrimaComercial Anual]]*SUM(Table3[[#This Row],[APS]:[IVA]])</f>
        <v>19412.683811399998</v>
      </c>
      <c r="W322" s="2">
        <v>1.4800000000000001E-2</v>
      </c>
      <c r="X322" s="2">
        <v>8.4501000000000007E-2</v>
      </c>
      <c r="Y322">
        <v>0.03</v>
      </c>
      <c r="Z322">
        <v>0.13</v>
      </c>
      <c r="AA322" s="20">
        <f>Table3[[#This Row],[APS]]*Table3[[#This Row],[PrimaComercial Anual]]</f>
        <v>387.88727999999998</v>
      </c>
      <c r="AB322" s="8">
        <f>Table3[[#This Row],[PrimaComercial Anual]]*Table3[[#This Row],[Recargo adicional]]</f>
        <v>2214.6529086</v>
      </c>
      <c r="AC322" s="8">
        <f>Table3[[#This Row],[PrimaComercial Anual]]*Table3[[#This Row],[IT]]</f>
        <v>786.25799999999992</v>
      </c>
      <c r="AD322" s="8">
        <f>Table3[[#This Row],[PrimaComercial Anual]]*Table3[[#This Row],[IVA]]</f>
        <v>3407.1179999999999</v>
      </c>
      <c r="AE322" s="15">
        <f>Table3[[#This Row],[PrimaComercial Anual Asistencia]]</f>
        <v>26208.6</v>
      </c>
      <c r="AG322">
        <v>26208.6</v>
      </c>
    </row>
    <row r="323" spans="1:33" x14ac:dyDescent="0.25">
      <c r="A323" t="s">
        <v>17</v>
      </c>
      <c r="B323">
        <v>140000</v>
      </c>
      <c r="C323">
        <v>90</v>
      </c>
      <c r="D323" s="2">
        <f>Table3[[#This Row],[PrimaTécnica]]-Table3[[#This Row],[PrimaTécnica]]*SUM(Table3[[#This Row],[Gastos Adm]:[Cobranza]])</f>
        <v>11956.378082313597</v>
      </c>
      <c r="E323">
        <v>0</v>
      </c>
      <c r="F323">
        <v>0.15</v>
      </c>
      <c r="G323">
        <v>0.05</v>
      </c>
      <c r="H323">
        <v>0.01</v>
      </c>
      <c r="I323">
        <v>0.01</v>
      </c>
      <c r="J323" s="8">
        <f>Table3[[#This Row],[PrimaTécnica]]*Table3[[#This Row],[Gastos Adm]]</f>
        <v>2299.3034773679997</v>
      </c>
      <c r="K323" s="8">
        <f>Table3[[#This Row],[PrimaTécnica]]*Table3[[#This Row],[Utilidad]]</f>
        <v>766.43449245599993</v>
      </c>
      <c r="L323" s="8">
        <f>Table3[[#This Row],[PrimaTécnica]]*Table3[[#This Row],[Marketing]]</f>
        <v>153.28689849119996</v>
      </c>
      <c r="M323" s="8">
        <f>Table3[[#This Row],[PrimaTécnica]]*Table3[[#This Row],[Cobranza]]</f>
        <v>153.28689849119996</v>
      </c>
      <c r="N32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23">
        <v>21.84</v>
      </c>
      <c r="P323">
        <v>54.6</v>
      </c>
      <c r="Q323">
        <v>80.64</v>
      </c>
      <c r="R323">
        <v>44.377200000000002</v>
      </c>
      <c r="S323">
        <v>0.2</v>
      </c>
      <c r="T323">
        <v>0.02</v>
      </c>
      <c r="U323" s="8">
        <f>Table3[[#This Row],[PrimaNeta]]*Table3[[#This Row],[Comisión]]</f>
        <v>3882.5367622799999</v>
      </c>
      <c r="V323" s="15">
        <f>Table3[[#This Row],[PrimaComercial Anual]]-Table3[[#This Row],[PrimaComercial Anual]]*SUM(Table3[[#This Row],[APS]:[IVA]])</f>
        <v>19412.683811399998</v>
      </c>
      <c r="W323" s="2">
        <v>1.4800000000000001E-2</v>
      </c>
      <c r="X323" s="2">
        <v>8.4501000000000007E-2</v>
      </c>
      <c r="Y323">
        <v>0.03</v>
      </c>
      <c r="Z323">
        <v>0.13</v>
      </c>
      <c r="AA323" s="20">
        <f>Table3[[#This Row],[APS]]*Table3[[#This Row],[PrimaComercial Anual]]</f>
        <v>387.88727999999998</v>
      </c>
      <c r="AB323" s="8">
        <f>Table3[[#This Row],[PrimaComercial Anual]]*Table3[[#This Row],[Recargo adicional]]</f>
        <v>2214.6529086</v>
      </c>
      <c r="AC323" s="8">
        <f>Table3[[#This Row],[PrimaComercial Anual]]*Table3[[#This Row],[IT]]</f>
        <v>786.25799999999992</v>
      </c>
      <c r="AD323" s="8">
        <f>Table3[[#This Row],[PrimaComercial Anual]]*Table3[[#This Row],[IVA]]</f>
        <v>3407.1179999999999</v>
      </c>
      <c r="AE323" s="15">
        <f>Table3[[#This Row],[PrimaComercial Anual Asistencia]]</f>
        <v>26208.6</v>
      </c>
      <c r="AG323">
        <v>26208.6</v>
      </c>
    </row>
    <row r="324" spans="1:33" x14ac:dyDescent="0.25">
      <c r="A324" t="s">
        <v>17</v>
      </c>
      <c r="B324">
        <v>140000</v>
      </c>
      <c r="C324">
        <v>91</v>
      </c>
      <c r="D324" s="2">
        <f>Table3[[#This Row],[PrimaTécnica]]-Table3[[#This Row],[PrimaTécnica]]*SUM(Table3[[#This Row],[Gastos Adm]:[Cobranza]])</f>
        <v>11956.378082313597</v>
      </c>
      <c r="E324">
        <v>0</v>
      </c>
      <c r="F324">
        <v>0.15</v>
      </c>
      <c r="G324">
        <v>0.05</v>
      </c>
      <c r="H324">
        <v>0.01</v>
      </c>
      <c r="I324">
        <v>0.01</v>
      </c>
      <c r="J324" s="8">
        <f>Table3[[#This Row],[PrimaTécnica]]*Table3[[#This Row],[Gastos Adm]]</f>
        <v>2299.3034773679997</v>
      </c>
      <c r="K324" s="8">
        <f>Table3[[#This Row],[PrimaTécnica]]*Table3[[#This Row],[Utilidad]]</f>
        <v>766.43449245599993</v>
      </c>
      <c r="L324" s="8">
        <f>Table3[[#This Row],[PrimaTécnica]]*Table3[[#This Row],[Marketing]]</f>
        <v>153.28689849119996</v>
      </c>
      <c r="M324" s="8">
        <f>Table3[[#This Row],[PrimaTécnica]]*Table3[[#This Row],[Cobranza]]</f>
        <v>153.28689849119996</v>
      </c>
      <c r="N32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24">
        <v>21.84</v>
      </c>
      <c r="P324">
        <v>54.6</v>
      </c>
      <c r="Q324">
        <v>80.64</v>
      </c>
      <c r="R324">
        <v>44.377200000000002</v>
      </c>
      <c r="S324">
        <v>0.2</v>
      </c>
      <c r="T324">
        <v>0.02</v>
      </c>
      <c r="U324" s="8">
        <f>Table3[[#This Row],[PrimaNeta]]*Table3[[#This Row],[Comisión]]</f>
        <v>3882.5367622799999</v>
      </c>
      <c r="V324" s="15">
        <f>Table3[[#This Row],[PrimaComercial Anual]]-Table3[[#This Row],[PrimaComercial Anual]]*SUM(Table3[[#This Row],[APS]:[IVA]])</f>
        <v>19412.683811399998</v>
      </c>
      <c r="W324" s="2">
        <v>1.4800000000000001E-2</v>
      </c>
      <c r="X324" s="2">
        <v>8.4501000000000007E-2</v>
      </c>
      <c r="Y324">
        <v>0.03</v>
      </c>
      <c r="Z324">
        <v>0.13</v>
      </c>
      <c r="AA324" s="20">
        <f>Table3[[#This Row],[APS]]*Table3[[#This Row],[PrimaComercial Anual]]</f>
        <v>387.88727999999998</v>
      </c>
      <c r="AB324" s="8">
        <f>Table3[[#This Row],[PrimaComercial Anual]]*Table3[[#This Row],[Recargo adicional]]</f>
        <v>2214.6529086</v>
      </c>
      <c r="AC324" s="8">
        <f>Table3[[#This Row],[PrimaComercial Anual]]*Table3[[#This Row],[IT]]</f>
        <v>786.25799999999992</v>
      </c>
      <c r="AD324" s="8">
        <f>Table3[[#This Row],[PrimaComercial Anual]]*Table3[[#This Row],[IVA]]</f>
        <v>3407.1179999999999</v>
      </c>
      <c r="AE324" s="15">
        <f>Table3[[#This Row],[PrimaComercial Anual Asistencia]]</f>
        <v>26208.6</v>
      </c>
      <c r="AG324">
        <v>26208.6</v>
      </c>
    </row>
    <row r="325" spans="1:33" x14ac:dyDescent="0.25">
      <c r="A325" t="s">
        <v>17</v>
      </c>
      <c r="B325">
        <v>140000</v>
      </c>
      <c r="C325">
        <v>92</v>
      </c>
      <c r="D325" s="2">
        <f>Table3[[#This Row],[PrimaTécnica]]-Table3[[#This Row],[PrimaTécnica]]*SUM(Table3[[#This Row],[Gastos Adm]:[Cobranza]])</f>
        <v>11956.378082313597</v>
      </c>
      <c r="E325">
        <v>0</v>
      </c>
      <c r="F325">
        <v>0.15</v>
      </c>
      <c r="G325">
        <v>0.05</v>
      </c>
      <c r="H325">
        <v>0.01</v>
      </c>
      <c r="I325">
        <v>0.01</v>
      </c>
      <c r="J325" s="8">
        <f>Table3[[#This Row],[PrimaTécnica]]*Table3[[#This Row],[Gastos Adm]]</f>
        <v>2299.3034773679997</v>
      </c>
      <c r="K325" s="8">
        <f>Table3[[#This Row],[PrimaTécnica]]*Table3[[#This Row],[Utilidad]]</f>
        <v>766.43449245599993</v>
      </c>
      <c r="L325" s="8">
        <f>Table3[[#This Row],[PrimaTécnica]]*Table3[[#This Row],[Marketing]]</f>
        <v>153.28689849119996</v>
      </c>
      <c r="M325" s="8">
        <f>Table3[[#This Row],[PrimaTécnica]]*Table3[[#This Row],[Cobranza]]</f>
        <v>153.28689849119996</v>
      </c>
      <c r="N32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25">
        <v>21.84</v>
      </c>
      <c r="P325">
        <v>54.6</v>
      </c>
      <c r="Q325">
        <v>80.64</v>
      </c>
      <c r="R325">
        <v>44.377200000000002</v>
      </c>
      <c r="S325">
        <v>0.2</v>
      </c>
      <c r="T325">
        <v>0.02</v>
      </c>
      <c r="U325" s="8">
        <f>Table3[[#This Row],[PrimaNeta]]*Table3[[#This Row],[Comisión]]</f>
        <v>3882.5367622799999</v>
      </c>
      <c r="V325" s="15">
        <f>Table3[[#This Row],[PrimaComercial Anual]]-Table3[[#This Row],[PrimaComercial Anual]]*SUM(Table3[[#This Row],[APS]:[IVA]])</f>
        <v>19412.683811399998</v>
      </c>
      <c r="W325" s="2">
        <v>1.4800000000000001E-2</v>
      </c>
      <c r="X325" s="2">
        <v>8.4501000000000007E-2</v>
      </c>
      <c r="Y325">
        <v>0.03</v>
      </c>
      <c r="Z325">
        <v>0.13</v>
      </c>
      <c r="AA325" s="20">
        <f>Table3[[#This Row],[APS]]*Table3[[#This Row],[PrimaComercial Anual]]</f>
        <v>387.88727999999998</v>
      </c>
      <c r="AB325" s="8">
        <f>Table3[[#This Row],[PrimaComercial Anual]]*Table3[[#This Row],[Recargo adicional]]</f>
        <v>2214.6529086</v>
      </c>
      <c r="AC325" s="8">
        <f>Table3[[#This Row],[PrimaComercial Anual]]*Table3[[#This Row],[IT]]</f>
        <v>786.25799999999992</v>
      </c>
      <c r="AD325" s="8">
        <f>Table3[[#This Row],[PrimaComercial Anual]]*Table3[[#This Row],[IVA]]</f>
        <v>3407.1179999999999</v>
      </c>
      <c r="AE325" s="15">
        <f>Table3[[#This Row],[PrimaComercial Anual Asistencia]]</f>
        <v>26208.6</v>
      </c>
      <c r="AG325">
        <v>26208.6</v>
      </c>
    </row>
    <row r="326" spans="1:33" x14ac:dyDescent="0.25">
      <c r="A326" t="s">
        <v>17</v>
      </c>
      <c r="B326">
        <v>140000</v>
      </c>
      <c r="C326">
        <v>93</v>
      </c>
      <c r="D326" s="2">
        <f>Table3[[#This Row],[PrimaTécnica]]-Table3[[#This Row],[PrimaTécnica]]*SUM(Table3[[#This Row],[Gastos Adm]:[Cobranza]])</f>
        <v>11956.378082313597</v>
      </c>
      <c r="E326">
        <v>0</v>
      </c>
      <c r="F326">
        <v>0.15</v>
      </c>
      <c r="G326">
        <v>0.05</v>
      </c>
      <c r="H326">
        <v>0.01</v>
      </c>
      <c r="I326">
        <v>0.01</v>
      </c>
      <c r="J326" s="8">
        <f>Table3[[#This Row],[PrimaTécnica]]*Table3[[#This Row],[Gastos Adm]]</f>
        <v>2299.3034773679997</v>
      </c>
      <c r="K326" s="8">
        <f>Table3[[#This Row],[PrimaTécnica]]*Table3[[#This Row],[Utilidad]]</f>
        <v>766.43449245599993</v>
      </c>
      <c r="L326" s="8">
        <f>Table3[[#This Row],[PrimaTécnica]]*Table3[[#This Row],[Marketing]]</f>
        <v>153.28689849119996</v>
      </c>
      <c r="M326" s="8">
        <f>Table3[[#This Row],[PrimaTécnica]]*Table3[[#This Row],[Cobranza]]</f>
        <v>153.28689849119996</v>
      </c>
      <c r="N32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26">
        <v>21.84</v>
      </c>
      <c r="P326">
        <v>54.6</v>
      </c>
      <c r="Q326">
        <v>80.64</v>
      </c>
      <c r="R326">
        <v>44.377200000000002</v>
      </c>
      <c r="S326">
        <v>0.2</v>
      </c>
      <c r="T326">
        <v>0.02</v>
      </c>
      <c r="U326" s="8">
        <f>Table3[[#This Row],[PrimaNeta]]*Table3[[#This Row],[Comisión]]</f>
        <v>3882.5367622799999</v>
      </c>
      <c r="V326" s="15">
        <f>Table3[[#This Row],[PrimaComercial Anual]]-Table3[[#This Row],[PrimaComercial Anual]]*SUM(Table3[[#This Row],[APS]:[IVA]])</f>
        <v>19412.683811399998</v>
      </c>
      <c r="W326" s="2">
        <v>1.4800000000000001E-2</v>
      </c>
      <c r="X326" s="2">
        <v>8.4501000000000007E-2</v>
      </c>
      <c r="Y326">
        <v>0.03</v>
      </c>
      <c r="Z326">
        <v>0.13</v>
      </c>
      <c r="AA326" s="20">
        <f>Table3[[#This Row],[APS]]*Table3[[#This Row],[PrimaComercial Anual]]</f>
        <v>387.88727999999998</v>
      </c>
      <c r="AB326" s="8">
        <f>Table3[[#This Row],[PrimaComercial Anual]]*Table3[[#This Row],[Recargo adicional]]</f>
        <v>2214.6529086</v>
      </c>
      <c r="AC326" s="8">
        <f>Table3[[#This Row],[PrimaComercial Anual]]*Table3[[#This Row],[IT]]</f>
        <v>786.25799999999992</v>
      </c>
      <c r="AD326" s="8">
        <f>Table3[[#This Row],[PrimaComercial Anual]]*Table3[[#This Row],[IVA]]</f>
        <v>3407.1179999999999</v>
      </c>
      <c r="AE326" s="15">
        <f>Table3[[#This Row],[PrimaComercial Anual Asistencia]]</f>
        <v>26208.6</v>
      </c>
      <c r="AG326">
        <v>26208.6</v>
      </c>
    </row>
    <row r="327" spans="1:33" x14ac:dyDescent="0.25">
      <c r="A327" t="s">
        <v>17</v>
      </c>
      <c r="B327">
        <v>140000</v>
      </c>
      <c r="C327">
        <v>94</v>
      </c>
      <c r="D327" s="2">
        <f>Table3[[#This Row],[PrimaTécnica]]-Table3[[#This Row],[PrimaTécnica]]*SUM(Table3[[#This Row],[Gastos Adm]:[Cobranza]])</f>
        <v>11956.378082313597</v>
      </c>
      <c r="E327">
        <v>0</v>
      </c>
      <c r="F327">
        <v>0.15</v>
      </c>
      <c r="G327">
        <v>0.05</v>
      </c>
      <c r="H327">
        <v>0.01</v>
      </c>
      <c r="I327">
        <v>0.01</v>
      </c>
      <c r="J327" s="8">
        <f>Table3[[#This Row],[PrimaTécnica]]*Table3[[#This Row],[Gastos Adm]]</f>
        <v>2299.3034773679997</v>
      </c>
      <c r="K327" s="8">
        <f>Table3[[#This Row],[PrimaTécnica]]*Table3[[#This Row],[Utilidad]]</f>
        <v>766.43449245599993</v>
      </c>
      <c r="L327" s="8">
        <f>Table3[[#This Row],[PrimaTécnica]]*Table3[[#This Row],[Marketing]]</f>
        <v>153.28689849119996</v>
      </c>
      <c r="M327" s="8">
        <f>Table3[[#This Row],[PrimaTécnica]]*Table3[[#This Row],[Cobranza]]</f>
        <v>153.28689849119996</v>
      </c>
      <c r="N32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27">
        <v>21.84</v>
      </c>
      <c r="P327">
        <v>54.6</v>
      </c>
      <c r="Q327">
        <v>80.64</v>
      </c>
      <c r="R327">
        <v>44.377200000000002</v>
      </c>
      <c r="S327">
        <v>0.2</v>
      </c>
      <c r="T327">
        <v>0.02</v>
      </c>
      <c r="U327" s="8">
        <f>Table3[[#This Row],[PrimaNeta]]*Table3[[#This Row],[Comisión]]</f>
        <v>3882.5367622799999</v>
      </c>
      <c r="V327" s="15">
        <f>Table3[[#This Row],[PrimaComercial Anual]]-Table3[[#This Row],[PrimaComercial Anual]]*SUM(Table3[[#This Row],[APS]:[IVA]])</f>
        <v>19412.683811399998</v>
      </c>
      <c r="W327" s="2">
        <v>1.4800000000000001E-2</v>
      </c>
      <c r="X327" s="2">
        <v>8.4501000000000007E-2</v>
      </c>
      <c r="Y327">
        <v>0.03</v>
      </c>
      <c r="Z327">
        <v>0.13</v>
      </c>
      <c r="AA327" s="20">
        <f>Table3[[#This Row],[APS]]*Table3[[#This Row],[PrimaComercial Anual]]</f>
        <v>387.88727999999998</v>
      </c>
      <c r="AB327" s="8">
        <f>Table3[[#This Row],[PrimaComercial Anual]]*Table3[[#This Row],[Recargo adicional]]</f>
        <v>2214.6529086</v>
      </c>
      <c r="AC327" s="8">
        <f>Table3[[#This Row],[PrimaComercial Anual]]*Table3[[#This Row],[IT]]</f>
        <v>786.25799999999992</v>
      </c>
      <c r="AD327" s="8">
        <f>Table3[[#This Row],[PrimaComercial Anual]]*Table3[[#This Row],[IVA]]</f>
        <v>3407.1179999999999</v>
      </c>
      <c r="AE327" s="15">
        <f>Table3[[#This Row],[PrimaComercial Anual Asistencia]]</f>
        <v>26208.6</v>
      </c>
      <c r="AG327">
        <v>26208.6</v>
      </c>
    </row>
    <row r="328" spans="1:33" x14ac:dyDescent="0.25">
      <c r="A328" t="s">
        <v>17</v>
      </c>
      <c r="B328">
        <v>140000</v>
      </c>
      <c r="C328">
        <v>95</v>
      </c>
      <c r="D328" s="2">
        <f>Table3[[#This Row],[PrimaTécnica]]-Table3[[#This Row],[PrimaTécnica]]*SUM(Table3[[#This Row],[Gastos Adm]:[Cobranza]])</f>
        <v>11956.378082313597</v>
      </c>
      <c r="E328">
        <v>0</v>
      </c>
      <c r="F328">
        <v>0.15</v>
      </c>
      <c r="G328">
        <v>0.05</v>
      </c>
      <c r="H328">
        <v>0.01</v>
      </c>
      <c r="I328">
        <v>0.01</v>
      </c>
      <c r="J328" s="8">
        <f>Table3[[#This Row],[PrimaTécnica]]*Table3[[#This Row],[Gastos Adm]]</f>
        <v>2299.3034773679997</v>
      </c>
      <c r="K328" s="8">
        <f>Table3[[#This Row],[PrimaTécnica]]*Table3[[#This Row],[Utilidad]]</f>
        <v>766.43449245599993</v>
      </c>
      <c r="L328" s="8">
        <f>Table3[[#This Row],[PrimaTécnica]]*Table3[[#This Row],[Marketing]]</f>
        <v>153.28689849119996</v>
      </c>
      <c r="M328" s="8">
        <f>Table3[[#This Row],[PrimaTécnica]]*Table3[[#This Row],[Cobranza]]</f>
        <v>153.28689849119996</v>
      </c>
      <c r="N32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28">
        <v>21.84</v>
      </c>
      <c r="P328">
        <v>54.6</v>
      </c>
      <c r="Q328">
        <v>80.64</v>
      </c>
      <c r="R328">
        <v>44.377200000000002</v>
      </c>
      <c r="S328">
        <v>0.2</v>
      </c>
      <c r="T328">
        <v>0.02</v>
      </c>
      <c r="U328" s="8">
        <f>Table3[[#This Row],[PrimaNeta]]*Table3[[#This Row],[Comisión]]</f>
        <v>3882.5367622799999</v>
      </c>
      <c r="V328" s="15">
        <f>Table3[[#This Row],[PrimaComercial Anual]]-Table3[[#This Row],[PrimaComercial Anual]]*SUM(Table3[[#This Row],[APS]:[IVA]])</f>
        <v>19412.683811399998</v>
      </c>
      <c r="W328" s="2">
        <v>1.4800000000000001E-2</v>
      </c>
      <c r="X328" s="2">
        <v>8.4501000000000007E-2</v>
      </c>
      <c r="Y328">
        <v>0.03</v>
      </c>
      <c r="Z328">
        <v>0.13</v>
      </c>
      <c r="AA328" s="20">
        <f>Table3[[#This Row],[APS]]*Table3[[#This Row],[PrimaComercial Anual]]</f>
        <v>387.88727999999998</v>
      </c>
      <c r="AB328" s="8">
        <f>Table3[[#This Row],[PrimaComercial Anual]]*Table3[[#This Row],[Recargo adicional]]</f>
        <v>2214.6529086</v>
      </c>
      <c r="AC328" s="8">
        <f>Table3[[#This Row],[PrimaComercial Anual]]*Table3[[#This Row],[IT]]</f>
        <v>786.25799999999992</v>
      </c>
      <c r="AD328" s="8">
        <f>Table3[[#This Row],[PrimaComercial Anual]]*Table3[[#This Row],[IVA]]</f>
        <v>3407.1179999999999</v>
      </c>
      <c r="AE328" s="15">
        <f>Table3[[#This Row],[PrimaComercial Anual Asistencia]]</f>
        <v>26208.6</v>
      </c>
      <c r="AG328">
        <v>26208.6</v>
      </c>
    </row>
    <row r="329" spans="1:33" x14ac:dyDescent="0.25">
      <c r="A329" t="s">
        <v>17</v>
      </c>
      <c r="B329">
        <v>140000</v>
      </c>
      <c r="C329">
        <v>96</v>
      </c>
      <c r="D329" s="2">
        <f>Table3[[#This Row],[PrimaTécnica]]-Table3[[#This Row],[PrimaTécnica]]*SUM(Table3[[#This Row],[Gastos Adm]:[Cobranza]])</f>
        <v>11956.378082313597</v>
      </c>
      <c r="E329">
        <v>0</v>
      </c>
      <c r="F329">
        <v>0.15</v>
      </c>
      <c r="G329">
        <v>0.05</v>
      </c>
      <c r="H329">
        <v>0.01</v>
      </c>
      <c r="I329">
        <v>0.01</v>
      </c>
      <c r="J329" s="8">
        <f>Table3[[#This Row],[PrimaTécnica]]*Table3[[#This Row],[Gastos Adm]]</f>
        <v>2299.3034773679997</v>
      </c>
      <c r="K329" s="8">
        <f>Table3[[#This Row],[PrimaTécnica]]*Table3[[#This Row],[Utilidad]]</f>
        <v>766.43449245599993</v>
      </c>
      <c r="L329" s="8">
        <f>Table3[[#This Row],[PrimaTécnica]]*Table3[[#This Row],[Marketing]]</f>
        <v>153.28689849119996</v>
      </c>
      <c r="M329" s="8">
        <f>Table3[[#This Row],[PrimaTécnica]]*Table3[[#This Row],[Cobranza]]</f>
        <v>153.28689849119996</v>
      </c>
      <c r="N32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29">
        <v>21.84</v>
      </c>
      <c r="P329">
        <v>54.6</v>
      </c>
      <c r="Q329">
        <v>80.64</v>
      </c>
      <c r="R329">
        <v>44.377200000000002</v>
      </c>
      <c r="S329">
        <v>0.2</v>
      </c>
      <c r="T329">
        <v>0.02</v>
      </c>
      <c r="U329" s="8">
        <f>Table3[[#This Row],[PrimaNeta]]*Table3[[#This Row],[Comisión]]</f>
        <v>3882.5367622799999</v>
      </c>
      <c r="V329" s="15">
        <f>Table3[[#This Row],[PrimaComercial Anual]]-Table3[[#This Row],[PrimaComercial Anual]]*SUM(Table3[[#This Row],[APS]:[IVA]])</f>
        <v>19412.683811399998</v>
      </c>
      <c r="W329" s="2">
        <v>1.4800000000000001E-2</v>
      </c>
      <c r="X329" s="2">
        <v>8.4501000000000007E-2</v>
      </c>
      <c r="Y329">
        <v>0.03</v>
      </c>
      <c r="Z329">
        <v>0.13</v>
      </c>
      <c r="AA329" s="20">
        <f>Table3[[#This Row],[APS]]*Table3[[#This Row],[PrimaComercial Anual]]</f>
        <v>387.88727999999998</v>
      </c>
      <c r="AB329" s="8">
        <f>Table3[[#This Row],[PrimaComercial Anual]]*Table3[[#This Row],[Recargo adicional]]</f>
        <v>2214.6529086</v>
      </c>
      <c r="AC329" s="8">
        <f>Table3[[#This Row],[PrimaComercial Anual]]*Table3[[#This Row],[IT]]</f>
        <v>786.25799999999992</v>
      </c>
      <c r="AD329" s="8">
        <f>Table3[[#This Row],[PrimaComercial Anual]]*Table3[[#This Row],[IVA]]</f>
        <v>3407.1179999999999</v>
      </c>
      <c r="AE329" s="15">
        <f>Table3[[#This Row],[PrimaComercial Anual Asistencia]]</f>
        <v>26208.6</v>
      </c>
      <c r="AG329">
        <v>26208.6</v>
      </c>
    </row>
    <row r="330" spans="1:33" x14ac:dyDescent="0.25">
      <c r="A330" t="s">
        <v>17</v>
      </c>
      <c r="B330">
        <v>140000</v>
      </c>
      <c r="C330">
        <v>97</v>
      </c>
      <c r="D330" s="2">
        <f>Table3[[#This Row],[PrimaTécnica]]-Table3[[#This Row],[PrimaTécnica]]*SUM(Table3[[#This Row],[Gastos Adm]:[Cobranza]])</f>
        <v>11956.378082313597</v>
      </c>
      <c r="E330">
        <v>0</v>
      </c>
      <c r="F330">
        <v>0.15</v>
      </c>
      <c r="G330">
        <v>0.05</v>
      </c>
      <c r="H330">
        <v>0.01</v>
      </c>
      <c r="I330">
        <v>0.01</v>
      </c>
      <c r="J330" s="8">
        <f>Table3[[#This Row],[PrimaTécnica]]*Table3[[#This Row],[Gastos Adm]]</f>
        <v>2299.3034773679997</v>
      </c>
      <c r="K330" s="8">
        <f>Table3[[#This Row],[PrimaTécnica]]*Table3[[#This Row],[Utilidad]]</f>
        <v>766.43449245599993</v>
      </c>
      <c r="L330" s="8">
        <f>Table3[[#This Row],[PrimaTécnica]]*Table3[[#This Row],[Marketing]]</f>
        <v>153.28689849119996</v>
      </c>
      <c r="M330" s="8">
        <f>Table3[[#This Row],[PrimaTécnica]]*Table3[[#This Row],[Cobranza]]</f>
        <v>153.28689849119996</v>
      </c>
      <c r="N33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30">
        <v>21.84</v>
      </c>
      <c r="P330">
        <v>54.6</v>
      </c>
      <c r="Q330">
        <v>80.64</v>
      </c>
      <c r="R330">
        <v>44.377200000000002</v>
      </c>
      <c r="S330">
        <v>0.2</v>
      </c>
      <c r="T330">
        <v>0.02</v>
      </c>
      <c r="U330" s="8">
        <f>Table3[[#This Row],[PrimaNeta]]*Table3[[#This Row],[Comisión]]</f>
        <v>3882.5367622799999</v>
      </c>
      <c r="V330" s="15">
        <f>Table3[[#This Row],[PrimaComercial Anual]]-Table3[[#This Row],[PrimaComercial Anual]]*SUM(Table3[[#This Row],[APS]:[IVA]])</f>
        <v>19412.683811399998</v>
      </c>
      <c r="W330" s="2">
        <v>1.4800000000000001E-2</v>
      </c>
      <c r="X330" s="2">
        <v>8.4501000000000007E-2</v>
      </c>
      <c r="Y330">
        <v>0.03</v>
      </c>
      <c r="Z330">
        <v>0.13</v>
      </c>
      <c r="AA330" s="20">
        <f>Table3[[#This Row],[APS]]*Table3[[#This Row],[PrimaComercial Anual]]</f>
        <v>387.88727999999998</v>
      </c>
      <c r="AB330" s="8">
        <f>Table3[[#This Row],[PrimaComercial Anual]]*Table3[[#This Row],[Recargo adicional]]</f>
        <v>2214.6529086</v>
      </c>
      <c r="AC330" s="8">
        <f>Table3[[#This Row],[PrimaComercial Anual]]*Table3[[#This Row],[IT]]</f>
        <v>786.25799999999992</v>
      </c>
      <c r="AD330" s="8">
        <f>Table3[[#This Row],[PrimaComercial Anual]]*Table3[[#This Row],[IVA]]</f>
        <v>3407.1179999999999</v>
      </c>
      <c r="AE330" s="15">
        <f>Table3[[#This Row],[PrimaComercial Anual Asistencia]]</f>
        <v>26208.6</v>
      </c>
      <c r="AG330">
        <v>26208.6</v>
      </c>
    </row>
    <row r="331" spans="1:33" x14ac:dyDescent="0.25">
      <c r="A331" t="s">
        <v>17</v>
      </c>
      <c r="B331">
        <v>140000</v>
      </c>
      <c r="C331">
        <v>98</v>
      </c>
      <c r="D331" s="2">
        <f>Table3[[#This Row],[PrimaTécnica]]-Table3[[#This Row],[PrimaTécnica]]*SUM(Table3[[#This Row],[Gastos Adm]:[Cobranza]])</f>
        <v>11956.378082313597</v>
      </c>
      <c r="E331">
        <v>0</v>
      </c>
      <c r="F331">
        <v>0.15</v>
      </c>
      <c r="G331">
        <v>0.05</v>
      </c>
      <c r="H331">
        <v>0.01</v>
      </c>
      <c r="I331">
        <v>0.01</v>
      </c>
      <c r="J331" s="8">
        <f>Table3[[#This Row],[PrimaTécnica]]*Table3[[#This Row],[Gastos Adm]]</f>
        <v>2299.3034773679997</v>
      </c>
      <c r="K331" s="8">
        <f>Table3[[#This Row],[PrimaTécnica]]*Table3[[#This Row],[Utilidad]]</f>
        <v>766.43449245599993</v>
      </c>
      <c r="L331" s="8">
        <f>Table3[[#This Row],[PrimaTécnica]]*Table3[[#This Row],[Marketing]]</f>
        <v>153.28689849119996</v>
      </c>
      <c r="M331" s="8">
        <f>Table3[[#This Row],[PrimaTécnica]]*Table3[[#This Row],[Cobranza]]</f>
        <v>153.28689849119996</v>
      </c>
      <c r="N33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31">
        <v>21.84</v>
      </c>
      <c r="P331">
        <v>54.6</v>
      </c>
      <c r="Q331">
        <v>80.64</v>
      </c>
      <c r="R331">
        <v>44.377200000000002</v>
      </c>
      <c r="S331">
        <v>0.2</v>
      </c>
      <c r="T331">
        <v>0.02</v>
      </c>
      <c r="U331" s="8">
        <f>Table3[[#This Row],[PrimaNeta]]*Table3[[#This Row],[Comisión]]</f>
        <v>3882.5367622799999</v>
      </c>
      <c r="V331" s="15">
        <f>Table3[[#This Row],[PrimaComercial Anual]]-Table3[[#This Row],[PrimaComercial Anual]]*SUM(Table3[[#This Row],[APS]:[IVA]])</f>
        <v>19412.683811399998</v>
      </c>
      <c r="W331" s="2">
        <v>1.4800000000000001E-2</v>
      </c>
      <c r="X331" s="2">
        <v>8.4501000000000007E-2</v>
      </c>
      <c r="Y331">
        <v>0.03</v>
      </c>
      <c r="Z331">
        <v>0.13</v>
      </c>
      <c r="AA331" s="20">
        <f>Table3[[#This Row],[APS]]*Table3[[#This Row],[PrimaComercial Anual]]</f>
        <v>387.88727999999998</v>
      </c>
      <c r="AB331" s="8">
        <f>Table3[[#This Row],[PrimaComercial Anual]]*Table3[[#This Row],[Recargo adicional]]</f>
        <v>2214.6529086</v>
      </c>
      <c r="AC331" s="8">
        <f>Table3[[#This Row],[PrimaComercial Anual]]*Table3[[#This Row],[IT]]</f>
        <v>786.25799999999992</v>
      </c>
      <c r="AD331" s="8">
        <f>Table3[[#This Row],[PrimaComercial Anual]]*Table3[[#This Row],[IVA]]</f>
        <v>3407.1179999999999</v>
      </c>
      <c r="AE331" s="15">
        <f>Table3[[#This Row],[PrimaComercial Anual Asistencia]]</f>
        <v>26208.6</v>
      </c>
      <c r="AG331">
        <v>26208.6</v>
      </c>
    </row>
    <row r="332" spans="1:33" x14ac:dyDescent="0.25">
      <c r="A332" t="s">
        <v>17</v>
      </c>
      <c r="B332">
        <v>140000</v>
      </c>
      <c r="C332">
        <v>99</v>
      </c>
      <c r="D332" s="2">
        <f>Table3[[#This Row],[PrimaTécnica]]-Table3[[#This Row],[PrimaTécnica]]*SUM(Table3[[#This Row],[Gastos Adm]:[Cobranza]])</f>
        <v>11956.378082313597</v>
      </c>
      <c r="E332">
        <v>0</v>
      </c>
      <c r="F332">
        <v>0.15</v>
      </c>
      <c r="G332">
        <v>0.05</v>
      </c>
      <c r="H332">
        <v>0.01</v>
      </c>
      <c r="I332">
        <v>0.01</v>
      </c>
      <c r="J332" s="8">
        <f>Table3[[#This Row],[PrimaTécnica]]*Table3[[#This Row],[Gastos Adm]]</f>
        <v>2299.3034773679997</v>
      </c>
      <c r="K332" s="8">
        <f>Table3[[#This Row],[PrimaTécnica]]*Table3[[#This Row],[Utilidad]]</f>
        <v>766.43449245599993</v>
      </c>
      <c r="L332" s="8">
        <f>Table3[[#This Row],[PrimaTécnica]]*Table3[[#This Row],[Marketing]]</f>
        <v>153.28689849119996</v>
      </c>
      <c r="M332" s="8">
        <f>Table3[[#This Row],[PrimaTécnica]]*Table3[[#This Row],[Cobranza]]</f>
        <v>153.28689849119996</v>
      </c>
      <c r="N33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332">
        <v>21.84</v>
      </c>
      <c r="P332">
        <v>54.6</v>
      </c>
      <c r="Q332">
        <v>80.64</v>
      </c>
      <c r="R332">
        <v>44.377200000000002</v>
      </c>
      <c r="S332">
        <v>0.2</v>
      </c>
      <c r="T332">
        <v>0.02</v>
      </c>
      <c r="U332" s="8">
        <f>Table3[[#This Row],[PrimaNeta]]*Table3[[#This Row],[Comisión]]</f>
        <v>3882.5367622799999</v>
      </c>
      <c r="V332" s="15">
        <f>Table3[[#This Row],[PrimaComercial Anual]]-Table3[[#This Row],[PrimaComercial Anual]]*SUM(Table3[[#This Row],[APS]:[IVA]])</f>
        <v>19412.683811399998</v>
      </c>
      <c r="W332" s="2">
        <v>1.4800000000000001E-2</v>
      </c>
      <c r="X332" s="2">
        <v>8.4501000000000007E-2</v>
      </c>
      <c r="Y332">
        <v>0.03</v>
      </c>
      <c r="Z332">
        <v>0.13</v>
      </c>
      <c r="AA332" s="20">
        <f>Table3[[#This Row],[APS]]*Table3[[#This Row],[PrimaComercial Anual]]</f>
        <v>387.88727999999998</v>
      </c>
      <c r="AB332" s="8">
        <f>Table3[[#This Row],[PrimaComercial Anual]]*Table3[[#This Row],[Recargo adicional]]</f>
        <v>2214.6529086</v>
      </c>
      <c r="AC332" s="8">
        <f>Table3[[#This Row],[PrimaComercial Anual]]*Table3[[#This Row],[IT]]</f>
        <v>786.25799999999992</v>
      </c>
      <c r="AD332" s="8">
        <f>Table3[[#This Row],[PrimaComercial Anual]]*Table3[[#This Row],[IVA]]</f>
        <v>3407.1179999999999</v>
      </c>
      <c r="AE332" s="15">
        <f>Table3[[#This Row],[PrimaComercial Anual Asistencia]]</f>
        <v>26208.6</v>
      </c>
      <c r="AG332">
        <v>26208.6</v>
      </c>
    </row>
    <row r="333" spans="1:33" x14ac:dyDescent="0.25">
      <c r="A333" t="s">
        <v>18</v>
      </c>
      <c r="B333">
        <v>140000</v>
      </c>
      <c r="C333">
        <v>0</v>
      </c>
      <c r="D333" s="2">
        <f>Table3[[#This Row],[PrimaTécnica]]-Table3[[#This Row],[PrimaTécnica]]*SUM(Table3[[#This Row],[Gastos Adm]:[Cobranza]])</f>
        <v>3030.6304098720002</v>
      </c>
      <c r="E333">
        <v>0</v>
      </c>
      <c r="F333">
        <v>0.15</v>
      </c>
      <c r="G333">
        <v>0.05</v>
      </c>
      <c r="H333">
        <v>0.01</v>
      </c>
      <c r="I333">
        <v>0.01</v>
      </c>
      <c r="J333" s="8">
        <f>Table3[[#This Row],[PrimaTécnica]]*Table3[[#This Row],[Gastos Adm]]</f>
        <v>582.81354036000005</v>
      </c>
      <c r="K333" s="8">
        <f>Table3[[#This Row],[PrimaTécnica]]*Table3[[#This Row],[Utilidad]]</f>
        <v>194.27118012000003</v>
      </c>
      <c r="L333" s="8">
        <f>Table3[[#This Row],[PrimaTécnica]]*Table3[[#This Row],[Marketing]]</f>
        <v>38.854236024000002</v>
      </c>
      <c r="M333" s="8">
        <f>Table3[[#This Row],[PrimaTécnica]]*Table3[[#This Row],[Cobranza]]</f>
        <v>38.854236024000002</v>
      </c>
      <c r="N33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3885.4236024000002</v>
      </c>
      <c r="O333">
        <v>21.84</v>
      </c>
      <c r="P333">
        <v>54.6</v>
      </c>
      <c r="Q333">
        <v>80.64</v>
      </c>
      <c r="R333">
        <v>44.377200000000002</v>
      </c>
      <c r="S333">
        <v>0.2</v>
      </c>
      <c r="T333">
        <v>0.02</v>
      </c>
      <c r="U333" s="8">
        <f>Table3[[#This Row],[PrimaNeta]]*Table3[[#This Row],[Comisión]]</f>
        <v>1021.7202006</v>
      </c>
      <c r="V333" s="15">
        <f>Table3[[#This Row],[PrimaComercial Anual]]-Table3[[#This Row],[PrimaComercial Anual]]*SUM(Table3[[#This Row],[APS]:[IVA]])</f>
        <v>5108.6010029999998</v>
      </c>
      <c r="W333" s="2">
        <v>1.4800000000000001E-2</v>
      </c>
      <c r="X333" s="2">
        <v>8.4501000000000007E-2</v>
      </c>
      <c r="Y333">
        <v>0.03</v>
      </c>
      <c r="Z333">
        <v>0.13</v>
      </c>
      <c r="AA333" s="20">
        <f>Table3[[#This Row],[APS]]*Table3[[#This Row],[PrimaComercial Anual]]</f>
        <v>102.07560000000001</v>
      </c>
      <c r="AB333" s="8">
        <f>Table3[[#This Row],[PrimaComercial Anual]]*Table3[[#This Row],[Recargo adicional]]</f>
        <v>582.80339700000002</v>
      </c>
      <c r="AC333" s="8">
        <f>Table3[[#This Row],[PrimaComercial Anual]]*Table3[[#This Row],[IT]]</f>
        <v>206.91</v>
      </c>
      <c r="AD333" s="8">
        <f>Table3[[#This Row],[PrimaComercial Anual]]*Table3[[#This Row],[IVA]]</f>
        <v>896.61</v>
      </c>
      <c r="AE333" s="15">
        <f>Table3[[#This Row],[PrimaComercial Anual Asistencia]]</f>
        <v>6897</v>
      </c>
      <c r="AG333">
        <v>6897</v>
      </c>
    </row>
    <row r="334" spans="1:33" x14ac:dyDescent="0.25">
      <c r="A334" t="s">
        <v>18</v>
      </c>
      <c r="B334">
        <v>140000</v>
      </c>
      <c r="C334">
        <v>1</v>
      </c>
      <c r="D334" s="2">
        <f>Table3[[#This Row],[PrimaTécnica]]-Table3[[#This Row],[PrimaTécnica]]*SUM(Table3[[#This Row],[Gastos Adm]:[Cobranza]])</f>
        <v>3030.6304098720002</v>
      </c>
      <c r="E334">
        <v>0</v>
      </c>
      <c r="F334">
        <v>0.15</v>
      </c>
      <c r="G334">
        <v>0.05</v>
      </c>
      <c r="H334">
        <v>0.01</v>
      </c>
      <c r="I334">
        <v>0.01</v>
      </c>
      <c r="J334" s="8">
        <f>Table3[[#This Row],[PrimaTécnica]]*Table3[[#This Row],[Gastos Adm]]</f>
        <v>582.81354036000005</v>
      </c>
      <c r="K334" s="8">
        <f>Table3[[#This Row],[PrimaTécnica]]*Table3[[#This Row],[Utilidad]]</f>
        <v>194.27118012000003</v>
      </c>
      <c r="L334" s="8">
        <f>Table3[[#This Row],[PrimaTécnica]]*Table3[[#This Row],[Marketing]]</f>
        <v>38.854236024000002</v>
      </c>
      <c r="M334" s="8">
        <f>Table3[[#This Row],[PrimaTécnica]]*Table3[[#This Row],[Cobranza]]</f>
        <v>38.854236024000002</v>
      </c>
      <c r="N33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3885.4236024000002</v>
      </c>
      <c r="O334">
        <v>21.84</v>
      </c>
      <c r="P334">
        <v>54.6</v>
      </c>
      <c r="Q334">
        <v>80.64</v>
      </c>
      <c r="R334">
        <v>44.377200000000002</v>
      </c>
      <c r="S334">
        <v>0.2</v>
      </c>
      <c r="T334">
        <v>0.02</v>
      </c>
      <c r="U334" s="8">
        <f>Table3[[#This Row],[PrimaNeta]]*Table3[[#This Row],[Comisión]]</f>
        <v>1021.7202006</v>
      </c>
      <c r="V334" s="15">
        <f>Table3[[#This Row],[PrimaComercial Anual]]-Table3[[#This Row],[PrimaComercial Anual]]*SUM(Table3[[#This Row],[APS]:[IVA]])</f>
        <v>5108.6010029999998</v>
      </c>
      <c r="W334" s="2">
        <v>1.4800000000000001E-2</v>
      </c>
      <c r="X334" s="2">
        <v>8.4501000000000007E-2</v>
      </c>
      <c r="Y334">
        <v>0.03</v>
      </c>
      <c r="Z334">
        <v>0.13</v>
      </c>
      <c r="AA334" s="20">
        <f>Table3[[#This Row],[APS]]*Table3[[#This Row],[PrimaComercial Anual]]</f>
        <v>102.07560000000001</v>
      </c>
      <c r="AB334" s="8">
        <f>Table3[[#This Row],[PrimaComercial Anual]]*Table3[[#This Row],[Recargo adicional]]</f>
        <v>582.80339700000002</v>
      </c>
      <c r="AC334" s="8">
        <f>Table3[[#This Row],[PrimaComercial Anual]]*Table3[[#This Row],[IT]]</f>
        <v>206.91</v>
      </c>
      <c r="AD334" s="8">
        <f>Table3[[#This Row],[PrimaComercial Anual]]*Table3[[#This Row],[IVA]]</f>
        <v>896.61</v>
      </c>
      <c r="AE334" s="15">
        <f>Table3[[#This Row],[PrimaComercial Anual Asistencia]]</f>
        <v>6897</v>
      </c>
      <c r="AG334">
        <v>6897</v>
      </c>
    </row>
    <row r="335" spans="1:33" x14ac:dyDescent="0.25">
      <c r="A335" t="s">
        <v>18</v>
      </c>
      <c r="B335">
        <v>140000</v>
      </c>
      <c r="C335">
        <v>2</v>
      </c>
      <c r="D335" s="2">
        <f>Table3[[#This Row],[PrimaTécnica]]-Table3[[#This Row],[PrimaTécnica]]*SUM(Table3[[#This Row],[Gastos Adm]:[Cobranza]])</f>
        <v>3030.6304098720002</v>
      </c>
      <c r="E335">
        <v>0</v>
      </c>
      <c r="F335">
        <v>0.15</v>
      </c>
      <c r="G335">
        <v>0.05</v>
      </c>
      <c r="H335">
        <v>0.01</v>
      </c>
      <c r="I335">
        <v>0.01</v>
      </c>
      <c r="J335" s="8">
        <f>Table3[[#This Row],[PrimaTécnica]]*Table3[[#This Row],[Gastos Adm]]</f>
        <v>582.81354036000005</v>
      </c>
      <c r="K335" s="8">
        <f>Table3[[#This Row],[PrimaTécnica]]*Table3[[#This Row],[Utilidad]]</f>
        <v>194.27118012000003</v>
      </c>
      <c r="L335" s="8">
        <f>Table3[[#This Row],[PrimaTécnica]]*Table3[[#This Row],[Marketing]]</f>
        <v>38.854236024000002</v>
      </c>
      <c r="M335" s="8">
        <f>Table3[[#This Row],[PrimaTécnica]]*Table3[[#This Row],[Cobranza]]</f>
        <v>38.854236024000002</v>
      </c>
      <c r="N33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3885.4236024000002</v>
      </c>
      <c r="O335">
        <v>21.84</v>
      </c>
      <c r="P335">
        <v>54.6</v>
      </c>
      <c r="Q335">
        <v>80.64</v>
      </c>
      <c r="R335">
        <v>44.377200000000002</v>
      </c>
      <c r="S335">
        <v>0.2</v>
      </c>
      <c r="T335">
        <v>0.02</v>
      </c>
      <c r="U335" s="8">
        <f>Table3[[#This Row],[PrimaNeta]]*Table3[[#This Row],[Comisión]]</f>
        <v>1021.7202006</v>
      </c>
      <c r="V335" s="15">
        <f>Table3[[#This Row],[PrimaComercial Anual]]-Table3[[#This Row],[PrimaComercial Anual]]*SUM(Table3[[#This Row],[APS]:[IVA]])</f>
        <v>5108.6010029999998</v>
      </c>
      <c r="W335" s="2">
        <v>1.4800000000000001E-2</v>
      </c>
      <c r="X335" s="2">
        <v>8.4501000000000007E-2</v>
      </c>
      <c r="Y335">
        <v>0.03</v>
      </c>
      <c r="Z335">
        <v>0.13</v>
      </c>
      <c r="AA335" s="20">
        <f>Table3[[#This Row],[APS]]*Table3[[#This Row],[PrimaComercial Anual]]</f>
        <v>102.07560000000001</v>
      </c>
      <c r="AB335" s="8">
        <f>Table3[[#This Row],[PrimaComercial Anual]]*Table3[[#This Row],[Recargo adicional]]</f>
        <v>582.80339700000002</v>
      </c>
      <c r="AC335" s="8">
        <f>Table3[[#This Row],[PrimaComercial Anual]]*Table3[[#This Row],[IT]]</f>
        <v>206.91</v>
      </c>
      <c r="AD335" s="8">
        <f>Table3[[#This Row],[PrimaComercial Anual]]*Table3[[#This Row],[IVA]]</f>
        <v>896.61</v>
      </c>
      <c r="AE335" s="15">
        <f>Table3[[#This Row],[PrimaComercial Anual Asistencia]]</f>
        <v>6897</v>
      </c>
      <c r="AG335">
        <v>6897</v>
      </c>
    </row>
    <row r="336" spans="1:33" x14ac:dyDescent="0.25">
      <c r="A336" t="s">
        <v>18</v>
      </c>
      <c r="B336">
        <v>140000</v>
      </c>
      <c r="C336">
        <v>3</v>
      </c>
      <c r="D336" s="2">
        <f>Table3[[#This Row],[PrimaTécnica]]-Table3[[#This Row],[PrimaTécnica]]*SUM(Table3[[#This Row],[Gastos Adm]:[Cobranza]])</f>
        <v>2108.5490387520003</v>
      </c>
      <c r="E336">
        <v>0</v>
      </c>
      <c r="F336">
        <v>0.15</v>
      </c>
      <c r="G336">
        <v>0.05</v>
      </c>
      <c r="H336">
        <v>0.01</v>
      </c>
      <c r="I336">
        <v>0.01</v>
      </c>
      <c r="J336" s="8">
        <f>Table3[[#This Row],[PrimaTécnica]]*Table3[[#This Row],[Gastos Adm]]</f>
        <v>405.49019976000005</v>
      </c>
      <c r="K336" s="8">
        <f>Table3[[#This Row],[PrimaTécnica]]*Table3[[#This Row],[Utilidad]]</f>
        <v>135.16339992000005</v>
      </c>
      <c r="L336" s="8">
        <f>Table3[[#This Row],[PrimaTécnica]]*Table3[[#This Row],[Marketing]]</f>
        <v>27.032679984000005</v>
      </c>
      <c r="M336" s="8">
        <f>Table3[[#This Row],[PrimaTécnica]]*Table3[[#This Row],[Cobranza]]</f>
        <v>27.032679984000005</v>
      </c>
      <c r="N33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336">
        <v>21.84</v>
      </c>
      <c r="P336">
        <v>54.6</v>
      </c>
      <c r="Q336">
        <v>80.64</v>
      </c>
      <c r="R336">
        <v>44.377200000000002</v>
      </c>
      <c r="S336">
        <v>0.2</v>
      </c>
      <c r="T336">
        <v>0.02</v>
      </c>
      <c r="U336" s="8">
        <f>Table3[[#This Row],[PrimaNeta]]*Table3[[#This Row],[Comisión]]</f>
        <v>726.1812996000001</v>
      </c>
      <c r="V336" s="15">
        <f>Table3[[#This Row],[PrimaComercial Anual]]-Table3[[#This Row],[PrimaComercial Anual]]*SUM(Table3[[#This Row],[APS]:[IVA]])</f>
        <v>3630.9064980000003</v>
      </c>
      <c r="W336" s="2">
        <v>1.4800000000000001E-2</v>
      </c>
      <c r="X336" s="2">
        <v>8.4501000000000007E-2</v>
      </c>
      <c r="Y336">
        <v>0.03</v>
      </c>
      <c r="Z336">
        <v>0.13</v>
      </c>
      <c r="AA336" s="20">
        <f>Table3[[#This Row],[APS]]*Table3[[#This Row],[PrimaComercial Anual]]</f>
        <v>72.549599999999998</v>
      </c>
      <c r="AB336" s="8">
        <f>Table3[[#This Row],[PrimaComercial Anual]]*Table3[[#This Row],[Recargo adicional]]</f>
        <v>414.22390200000001</v>
      </c>
      <c r="AC336" s="8">
        <f>Table3[[#This Row],[PrimaComercial Anual]]*Table3[[#This Row],[IT]]</f>
        <v>147.06</v>
      </c>
      <c r="AD336" s="8">
        <f>Table3[[#This Row],[PrimaComercial Anual]]*Table3[[#This Row],[IVA]]</f>
        <v>637.26</v>
      </c>
      <c r="AE336" s="15">
        <f>Table3[[#This Row],[PrimaComercial Anual Asistencia]]</f>
        <v>4902</v>
      </c>
      <c r="AG336">
        <v>4902</v>
      </c>
    </row>
    <row r="337" spans="1:33" x14ac:dyDescent="0.25">
      <c r="A337" t="s">
        <v>18</v>
      </c>
      <c r="B337">
        <v>140000</v>
      </c>
      <c r="C337">
        <v>4</v>
      </c>
      <c r="D337" s="2">
        <f>Table3[[#This Row],[PrimaTécnica]]-Table3[[#This Row],[PrimaTécnica]]*SUM(Table3[[#This Row],[Gastos Adm]:[Cobranza]])</f>
        <v>2108.5490387520003</v>
      </c>
      <c r="E337">
        <v>0</v>
      </c>
      <c r="F337">
        <v>0.15</v>
      </c>
      <c r="G337">
        <v>0.05</v>
      </c>
      <c r="H337">
        <v>0.01</v>
      </c>
      <c r="I337">
        <v>0.01</v>
      </c>
      <c r="J337" s="8">
        <f>Table3[[#This Row],[PrimaTécnica]]*Table3[[#This Row],[Gastos Adm]]</f>
        <v>405.49019976000005</v>
      </c>
      <c r="K337" s="8">
        <f>Table3[[#This Row],[PrimaTécnica]]*Table3[[#This Row],[Utilidad]]</f>
        <v>135.16339992000005</v>
      </c>
      <c r="L337" s="8">
        <f>Table3[[#This Row],[PrimaTécnica]]*Table3[[#This Row],[Marketing]]</f>
        <v>27.032679984000005</v>
      </c>
      <c r="M337" s="8">
        <f>Table3[[#This Row],[PrimaTécnica]]*Table3[[#This Row],[Cobranza]]</f>
        <v>27.032679984000005</v>
      </c>
      <c r="N33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337">
        <v>21.84</v>
      </c>
      <c r="P337">
        <v>54.6</v>
      </c>
      <c r="Q337">
        <v>80.64</v>
      </c>
      <c r="R337">
        <v>44.377200000000002</v>
      </c>
      <c r="S337">
        <v>0.2</v>
      </c>
      <c r="T337">
        <v>0.02</v>
      </c>
      <c r="U337" s="8">
        <f>Table3[[#This Row],[PrimaNeta]]*Table3[[#This Row],[Comisión]]</f>
        <v>726.1812996000001</v>
      </c>
      <c r="V337" s="15">
        <f>Table3[[#This Row],[PrimaComercial Anual]]-Table3[[#This Row],[PrimaComercial Anual]]*SUM(Table3[[#This Row],[APS]:[IVA]])</f>
        <v>3630.9064980000003</v>
      </c>
      <c r="W337" s="2">
        <v>1.4800000000000001E-2</v>
      </c>
      <c r="X337" s="2">
        <v>8.4501000000000007E-2</v>
      </c>
      <c r="Y337">
        <v>0.03</v>
      </c>
      <c r="Z337">
        <v>0.13</v>
      </c>
      <c r="AA337" s="20">
        <f>Table3[[#This Row],[APS]]*Table3[[#This Row],[PrimaComercial Anual]]</f>
        <v>72.549599999999998</v>
      </c>
      <c r="AB337" s="8">
        <f>Table3[[#This Row],[PrimaComercial Anual]]*Table3[[#This Row],[Recargo adicional]]</f>
        <v>414.22390200000001</v>
      </c>
      <c r="AC337" s="8">
        <f>Table3[[#This Row],[PrimaComercial Anual]]*Table3[[#This Row],[IT]]</f>
        <v>147.06</v>
      </c>
      <c r="AD337" s="8">
        <f>Table3[[#This Row],[PrimaComercial Anual]]*Table3[[#This Row],[IVA]]</f>
        <v>637.26</v>
      </c>
      <c r="AE337" s="15">
        <f>Table3[[#This Row],[PrimaComercial Anual Asistencia]]</f>
        <v>4902</v>
      </c>
      <c r="AG337">
        <v>4902</v>
      </c>
    </row>
    <row r="338" spans="1:33" x14ac:dyDescent="0.25">
      <c r="A338" t="s">
        <v>18</v>
      </c>
      <c r="B338">
        <v>140000</v>
      </c>
      <c r="C338">
        <v>5</v>
      </c>
      <c r="D338" s="2">
        <f>Table3[[#This Row],[PrimaTécnica]]-Table3[[#This Row],[PrimaTécnica]]*SUM(Table3[[#This Row],[Gastos Adm]:[Cobranza]])</f>
        <v>2108.5490387520003</v>
      </c>
      <c r="E338">
        <v>0</v>
      </c>
      <c r="F338">
        <v>0.15</v>
      </c>
      <c r="G338">
        <v>0.05</v>
      </c>
      <c r="H338">
        <v>0.01</v>
      </c>
      <c r="I338">
        <v>0.01</v>
      </c>
      <c r="J338" s="8">
        <f>Table3[[#This Row],[PrimaTécnica]]*Table3[[#This Row],[Gastos Adm]]</f>
        <v>405.49019976000005</v>
      </c>
      <c r="K338" s="8">
        <f>Table3[[#This Row],[PrimaTécnica]]*Table3[[#This Row],[Utilidad]]</f>
        <v>135.16339992000005</v>
      </c>
      <c r="L338" s="8">
        <f>Table3[[#This Row],[PrimaTécnica]]*Table3[[#This Row],[Marketing]]</f>
        <v>27.032679984000005</v>
      </c>
      <c r="M338" s="8">
        <f>Table3[[#This Row],[PrimaTécnica]]*Table3[[#This Row],[Cobranza]]</f>
        <v>27.032679984000005</v>
      </c>
      <c r="N33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338">
        <v>21.84</v>
      </c>
      <c r="P338">
        <v>54.6</v>
      </c>
      <c r="Q338">
        <v>80.64</v>
      </c>
      <c r="R338">
        <v>44.377200000000002</v>
      </c>
      <c r="S338">
        <v>0.2</v>
      </c>
      <c r="T338">
        <v>0.02</v>
      </c>
      <c r="U338" s="8">
        <f>Table3[[#This Row],[PrimaNeta]]*Table3[[#This Row],[Comisión]]</f>
        <v>726.1812996000001</v>
      </c>
      <c r="V338" s="15">
        <f>Table3[[#This Row],[PrimaComercial Anual]]-Table3[[#This Row],[PrimaComercial Anual]]*SUM(Table3[[#This Row],[APS]:[IVA]])</f>
        <v>3630.9064980000003</v>
      </c>
      <c r="W338" s="2">
        <v>1.4800000000000001E-2</v>
      </c>
      <c r="X338" s="2">
        <v>8.4501000000000007E-2</v>
      </c>
      <c r="Y338">
        <v>0.03</v>
      </c>
      <c r="Z338">
        <v>0.13</v>
      </c>
      <c r="AA338" s="20">
        <f>Table3[[#This Row],[APS]]*Table3[[#This Row],[PrimaComercial Anual]]</f>
        <v>72.549599999999998</v>
      </c>
      <c r="AB338" s="8">
        <f>Table3[[#This Row],[PrimaComercial Anual]]*Table3[[#This Row],[Recargo adicional]]</f>
        <v>414.22390200000001</v>
      </c>
      <c r="AC338" s="8">
        <f>Table3[[#This Row],[PrimaComercial Anual]]*Table3[[#This Row],[IT]]</f>
        <v>147.06</v>
      </c>
      <c r="AD338" s="8">
        <f>Table3[[#This Row],[PrimaComercial Anual]]*Table3[[#This Row],[IVA]]</f>
        <v>637.26</v>
      </c>
      <c r="AE338" s="15">
        <f>Table3[[#This Row],[PrimaComercial Anual Asistencia]]</f>
        <v>4902</v>
      </c>
      <c r="AG338">
        <v>4902</v>
      </c>
    </row>
    <row r="339" spans="1:33" x14ac:dyDescent="0.25">
      <c r="A339" t="s">
        <v>18</v>
      </c>
      <c r="B339">
        <v>140000</v>
      </c>
      <c r="C339">
        <v>6</v>
      </c>
      <c r="D339" s="2">
        <f>Table3[[#This Row],[PrimaTécnica]]-Table3[[#This Row],[PrimaTécnica]]*SUM(Table3[[#This Row],[Gastos Adm]:[Cobranza]])</f>
        <v>2108.5490387520003</v>
      </c>
      <c r="E339">
        <v>0</v>
      </c>
      <c r="F339">
        <v>0.15</v>
      </c>
      <c r="G339">
        <v>0.05</v>
      </c>
      <c r="H339">
        <v>0.01</v>
      </c>
      <c r="I339">
        <v>0.01</v>
      </c>
      <c r="J339" s="8">
        <f>Table3[[#This Row],[PrimaTécnica]]*Table3[[#This Row],[Gastos Adm]]</f>
        <v>405.49019976000005</v>
      </c>
      <c r="K339" s="8">
        <f>Table3[[#This Row],[PrimaTécnica]]*Table3[[#This Row],[Utilidad]]</f>
        <v>135.16339992000005</v>
      </c>
      <c r="L339" s="8">
        <f>Table3[[#This Row],[PrimaTécnica]]*Table3[[#This Row],[Marketing]]</f>
        <v>27.032679984000005</v>
      </c>
      <c r="M339" s="8">
        <f>Table3[[#This Row],[PrimaTécnica]]*Table3[[#This Row],[Cobranza]]</f>
        <v>27.032679984000005</v>
      </c>
      <c r="N33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339">
        <v>21.84</v>
      </c>
      <c r="P339">
        <v>54.6</v>
      </c>
      <c r="Q339">
        <v>80.64</v>
      </c>
      <c r="R339">
        <v>44.377200000000002</v>
      </c>
      <c r="S339">
        <v>0.2</v>
      </c>
      <c r="T339">
        <v>0.02</v>
      </c>
      <c r="U339" s="8">
        <f>Table3[[#This Row],[PrimaNeta]]*Table3[[#This Row],[Comisión]]</f>
        <v>726.1812996000001</v>
      </c>
      <c r="V339" s="15">
        <f>Table3[[#This Row],[PrimaComercial Anual]]-Table3[[#This Row],[PrimaComercial Anual]]*SUM(Table3[[#This Row],[APS]:[IVA]])</f>
        <v>3630.9064980000003</v>
      </c>
      <c r="W339" s="2">
        <v>1.4800000000000001E-2</v>
      </c>
      <c r="X339" s="2">
        <v>8.4501000000000007E-2</v>
      </c>
      <c r="Y339">
        <v>0.03</v>
      </c>
      <c r="Z339">
        <v>0.13</v>
      </c>
      <c r="AA339" s="20">
        <f>Table3[[#This Row],[APS]]*Table3[[#This Row],[PrimaComercial Anual]]</f>
        <v>72.549599999999998</v>
      </c>
      <c r="AB339" s="8">
        <f>Table3[[#This Row],[PrimaComercial Anual]]*Table3[[#This Row],[Recargo adicional]]</f>
        <v>414.22390200000001</v>
      </c>
      <c r="AC339" s="8">
        <f>Table3[[#This Row],[PrimaComercial Anual]]*Table3[[#This Row],[IT]]</f>
        <v>147.06</v>
      </c>
      <c r="AD339" s="8">
        <f>Table3[[#This Row],[PrimaComercial Anual]]*Table3[[#This Row],[IVA]]</f>
        <v>637.26</v>
      </c>
      <c r="AE339" s="15">
        <f>Table3[[#This Row],[PrimaComercial Anual Asistencia]]</f>
        <v>4902</v>
      </c>
      <c r="AG339">
        <v>4902</v>
      </c>
    </row>
    <row r="340" spans="1:33" x14ac:dyDescent="0.25">
      <c r="A340" t="s">
        <v>18</v>
      </c>
      <c r="B340">
        <v>140000</v>
      </c>
      <c r="C340">
        <v>7</v>
      </c>
      <c r="D340" s="2">
        <f>Table3[[#This Row],[PrimaTécnica]]-Table3[[#This Row],[PrimaTécnica]]*SUM(Table3[[#This Row],[Gastos Adm]:[Cobranza]])</f>
        <v>2108.5490387520003</v>
      </c>
      <c r="E340">
        <v>0</v>
      </c>
      <c r="F340">
        <v>0.15</v>
      </c>
      <c r="G340">
        <v>0.05</v>
      </c>
      <c r="H340">
        <v>0.01</v>
      </c>
      <c r="I340">
        <v>0.01</v>
      </c>
      <c r="J340" s="8">
        <f>Table3[[#This Row],[PrimaTécnica]]*Table3[[#This Row],[Gastos Adm]]</f>
        <v>405.49019976000005</v>
      </c>
      <c r="K340" s="8">
        <f>Table3[[#This Row],[PrimaTécnica]]*Table3[[#This Row],[Utilidad]]</f>
        <v>135.16339992000005</v>
      </c>
      <c r="L340" s="8">
        <f>Table3[[#This Row],[PrimaTécnica]]*Table3[[#This Row],[Marketing]]</f>
        <v>27.032679984000005</v>
      </c>
      <c r="M340" s="8">
        <f>Table3[[#This Row],[PrimaTécnica]]*Table3[[#This Row],[Cobranza]]</f>
        <v>27.032679984000005</v>
      </c>
      <c r="N34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340">
        <v>21.84</v>
      </c>
      <c r="P340">
        <v>54.6</v>
      </c>
      <c r="Q340">
        <v>80.64</v>
      </c>
      <c r="R340">
        <v>44.377200000000002</v>
      </c>
      <c r="S340">
        <v>0.2</v>
      </c>
      <c r="T340">
        <v>0.02</v>
      </c>
      <c r="U340" s="8">
        <f>Table3[[#This Row],[PrimaNeta]]*Table3[[#This Row],[Comisión]]</f>
        <v>726.1812996000001</v>
      </c>
      <c r="V340" s="15">
        <f>Table3[[#This Row],[PrimaComercial Anual]]-Table3[[#This Row],[PrimaComercial Anual]]*SUM(Table3[[#This Row],[APS]:[IVA]])</f>
        <v>3630.9064980000003</v>
      </c>
      <c r="W340" s="2">
        <v>1.4800000000000001E-2</v>
      </c>
      <c r="X340" s="2">
        <v>8.4501000000000007E-2</v>
      </c>
      <c r="Y340">
        <v>0.03</v>
      </c>
      <c r="Z340">
        <v>0.13</v>
      </c>
      <c r="AA340" s="20">
        <f>Table3[[#This Row],[APS]]*Table3[[#This Row],[PrimaComercial Anual]]</f>
        <v>72.549599999999998</v>
      </c>
      <c r="AB340" s="8">
        <f>Table3[[#This Row],[PrimaComercial Anual]]*Table3[[#This Row],[Recargo adicional]]</f>
        <v>414.22390200000001</v>
      </c>
      <c r="AC340" s="8">
        <f>Table3[[#This Row],[PrimaComercial Anual]]*Table3[[#This Row],[IT]]</f>
        <v>147.06</v>
      </c>
      <c r="AD340" s="8">
        <f>Table3[[#This Row],[PrimaComercial Anual]]*Table3[[#This Row],[IVA]]</f>
        <v>637.26</v>
      </c>
      <c r="AE340" s="15">
        <f>Table3[[#This Row],[PrimaComercial Anual Asistencia]]</f>
        <v>4902</v>
      </c>
      <c r="AG340">
        <v>4902</v>
      </c>
    </row>
    <row r="341" spans="1:33" x14ac:dyDescent="0.25">
      <c r="A341" t="s">
        <v>18</v>
      </c>
      <c r="B341">
        <v>140000</v>
      </c>
      <c r="C341">
        <v>8</v>
      </c>
      <c r="D341" s="2">
        <f>Table3[[#This Row],[PrimaTécnica]]-Table3[[#This Row],[PrimaTécnica]]*SUM(Table3[[#This Row],[Gastos Adm]:[Cobranza]])</f>
        <v>2108.5490387520003</v>
      </c>
      <c r="E341">
        <v>0</v>
      </c>
      <c r="F341">
        <v>0.15</v>
      </c>
      <c r="G341">
        <v>0.05</v>
      </c>
      <c r="H341">
        <v>0.01</v>
      </c>
      <c r="I341">
        <v>0.01</v>
      </c>
      <c r="J341" s="8">
        <f>Table3[[#This Row],[PrimaTécnica]]*Table3[[#This Row],[Gastos Adm]]</f>
        <v>405.49019976000005</v>
      </c>
      <c r="K341" s="8">
        <f>Table3[[#This Row],[PrimaTécnica]]*Table3[[#This Row],[Utilidad]]</f>
        <v>135.16339992000005</v>
      </c>
      <c r="L341" s="8">
        <f>Table3[[#This Row],[PrimaTécnica]]*Table3[[#This Row],[Marketing]]</f>
        <v>27.032679984000005</v>
      </c>
      <c r="M341" s="8">
        <f>Table3[[#This Row],[PrimaTécnica]]*Table3[[#This Row],[Cobranza]]</f>
        <v>27.032679984000005</v>
      </c>
      <c r="N34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341">
        <v>21.84</v>
      </c>
      <c r="P341">
        <v>54.6</v>
      </c>
      <c r="Q341">
        <v>80.64</v>
      </c>
      <c r="R341">
        <v>44.377200000000002</v>
      </c>
      <c r="S341">
        <v>0.2</v>
      </c>
      <c r="T341">
        <v>0.02</v>
      </c>
      <c r="U341" s="8">
        <f>Table3[[#This Row],[PrimaNeta]]*Table3[[#This Row],[Comisión]]</f>
        <v>726.1812996000001</v>
      </c>
      <c r="V341" s="15">
        <f>Table3[[#This Row],[PrimaComercial Anual]]-Table3[[#This Row],[PrimaComercial Anual]]*SUM(Table3[[#This Row],[APS]:[IVA]])</f>
        <v>3630.9064980000003</v>
      </c>
      <c r="W341" s="2">
        <v>1.4800000000000001E-2</v>
      </c>
      <c r="X341" s="2">
        <v>8.4501000000000007E-2</v>
      </c>
      <c r="Y341">
        <v>0.03</v>
      </c>
      <c r="Z341">
        <v>0.13</v>
      </c>
      <c r="AA341" s="20">
        <f>Table3[[#This Row],[APS]]*Table3[[#This Row],[PrimaComercial Anual]]</f>
        <v>72.549599999999998</v>
      </c>
      <c r="AB341" s="8">
        <f>Table3[[#This Row],[PrimaComercial Anual]]*Table3[[#This Row],[Recargo adicional]]</f>
        <v>414.22390200000001</v>
      </c>
      <c r="AC341" s="8">
        <f>Table3[[#This Row],[PrimaComercial Anual]]*Table3[[#This Row],[IT]]</f>
        <v>147.06</v>
      </c>
      <c r="AD341" s="8">
        <f>Table3[[#This Row],[PrimaComercial Anual]]*Table3[[#This Row],[IVA]]</f>
        <v>637.26</v>
      </c>
      <c r="AE341" s="15">
        <f>Table3[[#This Row],[PrimaComercial Anual Asistencia]]</f>
        <v>4902</v>
      </c>
      <c r="AG341">
        <v>4902</v>
      </c>
    </row>
    <row r="342" spans="1:33" x14ac:dyDescent="0.25">
      <c r="A342" t="s">
        <v>18</v>
      </c>
      <c r="B342">
        <v>140000</v>
      </c>
      <c r="C342">
        <v>9</v>
      </c>
      <c r="D342" s="2">
        <f>Table3[[#This Row],[PrimaTécnica]]-Table3[[#This Row],[PrimaTécnica]]*SUM(Table3[[#This Row],[Gastos Adm]:[Cobranza]])</f>
        <v>2108.5490387520003</v>
      </c>
      <c r="E342">
        <v>0</v>
      </c>
      <c r="F342">
        <v>0.15</v>
      </c>
      <c r="G342">
        <v>0.05</v>
      </c>
      <c r="H342">
        <v>0.01</v>
      </c>
      <c r="I342">
        <v>0.01</v>
      </c>
      <c r="J342" s="8">
        <f>Table3[[#This Row],[PrimaTécnica]]*Table3[[#This Row],[Gastos Adm]]</f>
        <v>405.49019976000005</v>
      </c>
      <c r="K342" s="8">
        <f>Table3[[#This Row],[PrimaTécnica]]*Table3[[#This Row],[Utilidad]]</f>
        <v>135.16339992000005</v>
      </c>
      <c r="L342" s="8">
        <f>Table3[[#This Row],[PrimaTécnica]]*Table3[[#This Row],[Marketing]]</f>
        <v>27.032679984000005</v>
      </c>
      <c r="M342" s="8">
        <f>Table3[[#This Row],[PrimaTécnica]]*Table3[[#This Row],[Cobranza]]</f>
        <v>27.032679984000005</v>
      </c>
      <c r="N34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342">
        <v>21.84</v>
      </c>
      <c r="P342">
        <v>54.6</v>
      </c>
      <c r="Q342">
        <v>80.64</v>
      </c>
      <c r="R342">
        <v>44.377200000000002</v>
      </c>
      <c r="S342">
        <v>0.2</v>
      </c>
      <c r="T342">
        <v>0.02</v>
      </c>
      <c r="U342" s="8">
        <f>Table3[[#This Row],[PrimaNeta]]*Table3[[#This Row],[Comisión]]</f>
        <v>726.1812996000001</v>
      </c>
      <c r="V342" s="15">
        <f>Table3[[#This Row],[PrimaComercial Anual]]-Table3[[#This Row],[PrimaComercial Anual]]*SUM(Table3[[#This Row],[APS]:[IVA]])</f>
        <v>3630.9064980000003</v>
      </c>
      <c r="W342" s="2">
        <v>1.4800000000000001E-2</v>
      </c>
      <c r="X342" s="2">
        <v>8.4501000000000007E-2</v>
      </c>
      <c r="Y342">
        <v>0.03</v>
      </c>
      <c r="Z342">
        <v>0.13</v>
      </c>
      <c r="AA342" s="20">
        <f>Table3[[#This Row],[APS]]*Table3[[#This Row],[PrimaComercial Anual]]</f>
        <v>72.549599999999998</v>
      </c>
      <c r="AB342" s="8">
        <f>Table3[[#This Row],[PrimaComercial Anual]]*Table3[[#This Row],[Recargo adicional]]</f>
        <v>414.22390200000001</v>
      </c>
      <c r="AC342" s="8">
        <f>Table3[[#This Row],[PrimaComercial Anual]]*Table3[[#This Row],[IT]]</f>
        <v>147.06</v>
      </c>
      <c r="AD342" s="8">
        <f>Table3[[#This Row],[PrimaComercial Anual]]*Table3[[#This Row],[IVA]]</f>
        <v>637.26</v>
      </c>
      <c r="AE342" s="15">
        <f>Table3[[#This Row],[PrimaComercial Anual Asistencia]]</f>
        <v>4902</v>
      </c>
      <c r="AG342">
        <v>4902</v>
      </c>
    </row>
    <row r="343" spans="1:33" x14ac:dyDescent="0.25">
      <c r="A343" t="s">
        <v>18</v>
      </c>
      <c r="B343">
        <v>140000</v>
      </c>
      <c r="C343">
        <v>10</v>
      </c>
      <c r="D343" s="2">
        <f>Table3[[#This Row],[PrimaTécnica]]-Table3[[#This Row],[PrimaTécnica]]*SUM(Table3[[#This Row],[Gastos Adm]:[Cobranza]])</f>
        <v>2108.5490387520003</v>
      </c>
      <c r="E343">
        <v>0</v>
      </c>
      <c r="F343">
        <v>0.15</v>
      </c>
      <c r="G343">
        <v>0.05</v>
      </c>
      <c r="H343">
        <v>0.01</v>
      </c>
      <c r="I343">
        <v>0.01</v>
      </c>
      <c r="J343" s="8">
        <f>Table3[[#This Row],[PrimaTécnica]]*Table3[[#This Row],[Gastos Adm]]</f>
        <v>405.49019976000005</v>
      </c>
      <c r="K343" s="8">
        <f>Table3[[#This Row],[PrimaTécnica]]*Table3[[#This Row],[Utilidad]]</f>
        <v>135.16339992000005</v>
      </c>
      <c r="L343" s="8">
        <f>Table3[[#This Row],[PrimaTécnica]]*Table3[[#This Row],[Marketing]]</f>
        <v>27.032679984000005</v>
      </c>
      <c r="M343" s="8">
        <f>Table3[[#This Row],[PrimaTécnica]]*Table3[[#This Row],[Cobranza]]</f>
        <v>27.032679984000005</v>
      </c>
      <c r="N34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343">
        <v>21.84</v>
      </c>
      <c r="P343">
        <v>54.6</v>
      </c>
      <c r="Q343">
        <v>80.64</v>
      </c>
      <c r="R343">
        <v>44.377200000000002</v>
      </c>
      <c r="S343">
        <v>0.2</v>
      </c>
      <c r="T343">
        <v>0.02</v>
      </c>
      <c r="U343" s="8">
        <f>Table3[[#This Row],[PrimaNeta]]*Table3[[#This Row],[Comisión]]</f>
        <v>726.1812996000001</v>
      </c>
      <c r="V343" s="15">
        <f>Table3[[#This Row],[PrimaComercial Anual]]-Table3[[#This Row],[PrimaComercial Anual]]*SUM(Table3[[#This Row],[APS]:[IVA]])</f>
        <v>3630.9064980000003</v>
      </c>
      <c r="W343" s="2">
        <v>1.4800000000000001E-2</v>
      </c>
      <c r="X343" s="2">
        <v>8.4501000000000007E-2</v>
      </c>
      <c r="Y343">
        <v>0.03</v>
      </c>
      <c r="Z343">
        <v>0.13</v>
      </c>
      <c r="AA343" s="20">
        <f>Table3[[#This Row],[APS]]*Table3[[#This Row],[PrimaComercial Anual]]</f>
        <v>72.549599999999998</v>
      </c>
      <c r="AB343" s="8">
        <f>Table3[[#This Row],[PrimaComercial Anual]]*Table3[[#This Row],[Recargo adicional]]</f>
        <v>414.22390200000001</v>
      </c>
      <c r="AC343" s="8">
        <f>Table3[[#This Row],[PrimaComercial Anual]]*Table3[[#This Row],[IT]]</f>
        <v>147.06</v>
      </c>
      <c r="AD343" s="8">
        <f>Table3[[#This Row],[PrimaComercial Anual]]*Table3[[#This Row],[IVA]]</f>
        <v>637.26</v>
      </c>
      <c r="AE343" s="15">
        <f>Table3[[#This Row],[PrimaComercial Anual Asistencia]]</f>
        <v>4902</v>
      </c>
      <c r="AG343">
        <v>4902</v>
      </c>
    </row>
    <row r="344" spans="1:33" x14ac:dyDescent="0.25">
      <c r="A344" t="s">
        <v>18</v>
      </c>
      <c r="B344">
        <v>140000</v>
      </c>
      <c r="C344">
        <v>11</v>
      </c>
      <c r="D344" s="2">
        <f>Table3[[#This Row],[PrimaTécnica]]-Table3[[#This Row],[PrimaTécnica]]*SUM(Table3[[#This Row],[Gastos Adm]:[Cobranza]])</f>
        <v>2108.5490387520003</v>
      </c>
      <c r="E344">
        <v>0</v>
      </c>
      <c r="F344">
        <v>0.15</v>
      </c>
      <c r="G344">
        <v>0.05</v>
      </c>
      <c r="H344">
        <v>0.01</v>
      </c>
      <c r="I344">
        <v>0.01</v>
      </c>
      <c r="J344" s="8">
        <f>Table3[[#This Row],[PrimaTécnica]]*Table3[[#This Row],[Gastos Adm]]</f>
        <v>405.49019976000005</v>
      </c>
      <c r="K344" s="8">
        <f>Table3[[#This Row],[PrimaTécnica]]*Table3[[#This Row],[Utilidad]]</f>
        <v>135.16339992000005</v>
      </c>
      <c r="L344" s="8">
        <f>Table3[[#This Row],[PrimaTécnica]]*Table3[[#This Row],[Marketing]]</f>
        <v>27.032679984000005</v>
      </c>
      <c r="M344" s="8">
        <f>Table3[[#This Row],[PrimaTécnica]]*Table3[[#This Row],[Cobranza]]</f>
        <v>27.032679984000005</v>
      </c>
      <c r="N34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344">
        <v>21.84</v>
      </c>
      <c r="P344">
        <v>54.6</v>
      </c>
      <c r="Q344">
        <v>80.64</v>
      </c>
      <c r="R344">
        <v>44.377200000000002</v>
      </c>
      <c r="S344">
        <v>0.2</v>
      </c>
      <c r="T344">
        <v>0.02</v>
      </c>
      <c r="U344" s="8">
        <f>Table3[[#This Row],[PrimaNeta]]*Table3[[#This Row],[Comisión]]</f>
        <v>726.1812996000001</v>
      </c>
      <c r="V344" s="15">
        <f>Table3[[#This Row],[PrimaComercial Anual]]-Table3[[#This Row],[PrimaComercial Anual]]*SUM(Table3[[#This Row],[APS]:[IVA]])</f>
        <v>3630.9064980000003</v>
      </c>
      <c r="W344" s="2">
        <v>1.4800000000000001E-2</v>
      </c>
      <c r="X344" s="2">
        <v>8.4501000000000007E-2</v>
      </c>
      <c r="Y344">
        <v>0.03</v>
      </c>
      <c r="Z344">
        <v>0.13</v>
      </c>
      <c r="AA344" s="20">
        <f>Table3[[#This Row],[APS]]*Table3[[#This Row],[PrimaComercial Anual]]</f>
        <v>72.549599999999998</v>
      </c>
      <c r="AB344" s="8">
        <f>Table3[[#This Row],[PrimaComercial Anual]]*Table3[[#This Row],[Recargo adicional]]</f>
        <v>414.22390200000001</v>
      </c>
      <c r="AC344" s="8">
        <f>Table3[[#This Row],[PrimaComercial Anual]]*Table3[[#This Row],[IT]]</f>
        <v>147.06</v>
      </c>
      <c r="AD344" s="8">
        <f>Table3[[#This Row],[PrimaComercial Anual]]*Table3[[#This Row],[IVA]]</f>
        <v>637.26</v>
      </c>
      <c r="AE344" s="15">
        <f>Table3[[#This Row],[PrimaComercial Anual Asistencia]]</f>
        <v>4902</v>
      </c>
      <c r="AG344">
        <v>4902</v>
      </c>
    </row>
    <row r="345" spans="1:33" x14ac:dyDescent="0.25">
      <c r="A345" t="s">
        <v>18</v>
      </c>
      <c r="B345">
        <v>140000</v>
      </c>
      <c r="C345">
        <v>12</v>
      </c>
      <c r="D345" s="2">
        <f>Table3[[#This Row],[PrimaTécnica]]-Table3[[#This Row],[PrimaTécnica]]*SUM(Table3[[#This Row],[Gastos Adm]:[Cobranza]])</f>
        <v>2108.5490387520003</v>
      </c>
      <c r="E345">
        <v>0</v>
      </c>
      <c r="F345">
        <v>0.15</v>
      </c>
      <c r="G345">
        <v>0.05</v>
      </c>
      <c r="H345">
        <v>0.01</v>
      </c>
      <c r="I345">
        <v>0.01</v>
      </c>
      <c r="J345" s="8">
        <f>Table3[[#This Row],[PrimaTécnica]]*Table3[[#This Row],[Gastos Adm]]</f>
        <v>405.49019976000005</v>
      </c>
      <c r="K345" s="8">
        <f>Table3[[#This Row],[PrimaTécnica]]*Table3[[#This Row],[Utilidad]]</f>
        <v>135.16339992000005</v>
      </c>
      <c r="L345" s="8">
        <f>Table3[[#This Row],[PrimaTécnica]]*Table3[[#This Row],[Marketing]]</f>
        <v>27.032679984000005</v>
      </c>
      <c r="M345" s="8">
        <f>Table3[[#This Row],[PrimaTécnica]]*Table3[[#This Row],[Cobranza]]</f>
        <v>27.032679984000005</v>
      </c>
      <c r="N34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345">
        <v>21.84</v>
      </c>
      <c r="P345">
        <v>54.6</v>
      </c>
      <c r="Q345">
        <v>80.64</v>
      </c>
      <c r="R345">
        <v>44.377200000000002</v>
      </c>
      <c r="S345">
        <v>0.2</v>
      </c>
      <c r="T345">
        <v>0.02</v>
      </c>
      <c r="U345" s="8">
        <f>Table3[[#This Row],[PrimaNeta]]*Table3[[#This Row],[Comisión]]</f>
        <v>726.1812996000001</v>
      </c>
      <c r="V345" s="15">
        <f>Table3[[#This Row],[PrimaComercial Anual]]-Table3[[#This Row],[PrimaComercial Anual]]*SUM(Table3[[#This Row],[APS]:[IVA]])</f>
        <v>3630.9064980000003</v>
      </c>
      <c r="W345" s="2">
        <v>1.4800000000000001E-2</v>
      </c>
      <c r="X345" s="2">
        <v>8.4501000000000007E-2</v>
      </c>
      <c r="Y345">
        <v>0.03</v>
      </c>
      <c r="Z345">
        <v>0.13</v>
      </c>
      <c r="AA345" s="20">
        <f>Table3[[#This Row],[APS]]*Table3[[#This Row],[PrimaComercial Anual]]</f>
        <v>72.549599999999998</v>
      </c>
      <c r="AB345" s="8">
        <f>Table3[[#This Row],[PrimaComercial Anual]]*Table3[[#This Row],[Recargo adicional]]</f>
        <v>414.22390200000001</v>
      </c>
      <c r="AC345" s="8">
        <f>Table3[[#This Row],[PrimaComercial Anual]]*Table3[[#This Row],[IT]]</f>
        <v>147.06</v>
      </c>
      <c r="AD345" s="8">
        <f>Table3[[#This Row],[PrimaComercial Anual]]*Table3[[#This Row],[IVA]]</f>
        <v>637.26</v>
      </c>
      <c r="AE345" s="15">
        <f>Table3[[#This Row],[PrimaComercial Anual Asistencia]]</f>
        <v>4902</v>
      </c>
      <c r="AG345">
        <v>4902</v>
      </c>
    </row>
    <row r="346" spans="1:33" x14ac:dyDescent="0.25">
      <c r="A346" t="s">
        <v>18</v>
      </c>
      <c r="B346">
        <v>140000</v>
      </c>
      <c r="C346">
        <v>13</v>
      </c>
      <c r="D346" s="2">
        <f>Table3[[#This Row],[PrimaTécnica]]-Table3[[#This Row],[PrimaTécnica]]*SUM(Table3[[#This Row],[Gastos Adm]:[Cobranza]])</f>
        <v>2108.5490387520003</v>
      </c>
      <c r="E346">
        <v>0</v>
      </c>
      <c r="F346">
        <v>0.15</v>
      </c>
      <c r="G346">
        <v>0.05</v>
      </c>
      <c r="H346">
        <v>0.01</v>
      </c>
      <c r="I346">
        <v>0.01</v>
      </c>
      <c r="J346" s="8">
        <f>Table3[[#This Row],[PrimaTécnica]]*Table3[[#This Row],[Gastos Adm]]</f>
        <v>405.49019976000005</v>
      </c>
      <c r="K346" s="8">
        <f>Table3[[#This Row],[PrimaTécnica]]*Table3[[#This Row],[Utilidad]]</f>
        <v>135.16339992000005</v>
      </c>
      <c r="L346" s="8">
        <f>Table3[[#This Row],[PrimaTécnica]]*Table3[[#This Row],[Marketing]]</f>
        <v>27.032679984000005</v>
      </c>
      <c r="M346" s="8">
        <f>Table3[[#This Row],[PrimaTécnica]]*Table3[[#This Row],[Cobranza]]</f>
        <v>27.032679984000005</v>
      </c>
      <c r="N34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346">
        <v>21.84</v>
      </c>
      <c r="P346">
        <v>54.6</v>
      </c>
      <c r="Q346">
        <v>80.64</v>
      </c>
      <c r="R346">
        <v>44.377200000000002</v>
      </c>
      <c r="S346">
        <v>0.2</v>
      </c>
      <c r="T346">
        <v>0.02</v>
      </c>
      <c r="U346" s="8">
        <f>Table3[[#This Row],[PrimaNeta]]*Table3[[#This Row],[Comisión]]</f>
        <v>726.1812996000001</v>
      </c>
      <c r="V346" s="15">
        <f>Table3[[#This Row],[PrimaComercial Anual]]-Table3[[#This Row],[PrimaComercial Anual]]*SUM(Table3[[#This Row],[APS]:[IVA]])</f>
        <v>3630.9064980000003</v>
      </c>
      <c r="W346" s="2">
        <v>1.4800000000000001E-2</v>
      </c>
      <c r="X346" s="2">
        <v>8.4501000000000007E-2</v>
      </c>
      <c r="Y346">
        <v>0.03</v>
      </c>
      <c r="Z346">
        <v>0.13</v>
      </c>
      <c r="AA346" s="20">
        <f>Table3[[#This Row],[APS]]*Table3[[#This Row],[PrimaComercial Anual]]</f>
        <v>72.549599999999998</v>
      </c>
      <c r="AB346" s="8">
        <f>Table3[[#This Row],[PrimaComercial Anual]]*Table3[[#This Row],[Recargo adicional]]</f>
        <v>414.22390200000001</v>
      </c>
      <c r="AC346" s="8">
        <f>Table3[[#This Row],[PrimaComercial Anual]]*Table3[[#This Row],[IT]]</f>
        <v>147.06</v>
      </c>
      <c r="AD346" s="8">
        <f>Table3[[#This Row],[PrimaComercial Anual]]*Table3[[#This Row],[IVA]]</f>
        <v>637.26</v>
      </c>
      <c r="AE346" s="15">
        <f>Table3[[#This Row],[PrimaComercial Anual Asistencia]]</f>
        <v>4902</v>
      </c>
      <c r="AG346">
        <v>4902</v>
      </c>
    </row>
    <row r="347" spans="1:33" x14ac:dyDescent="0.25">
      <c r="A347" t="s">
        <v>18</v>
      </c>
      <c r="B347">
        <v>140000</v>
      </c>
      <c r="C347">
        <v>14</v>
      </c>
      <c r="D347" s="2">
        <f>Table3[[#This Row],[PrimaTécnica]]-Table3[[#This Row],[PrimaTécnica]]*SUM(Table3[[#This Row],[Gastos Adm]:[Cobranza]])</f>
        <v>2108.5490387520003</v>
      </c>
      <c r="E347">
        <v>0</v>
      </c>
      <c r="F347">
        <v>0.15</v>
      </c>
      <c r="G347">
        <v>0.05</v>
      </c>
      <c r="H347">
        <v>0.01</v>
      </c>
      <c r="I347">
        <v>0.01</v>
      </c>
      <c r="J347" s="8">
        <f>Table3[[#This Row],[PrimaTécnica]]*Table3[[#This Row],[Gastos Adm]]</f>
        <v>405.49019976000005</v>
      </c>
      <c r="K347" s="8">
        <f>Table3[[#This Row],[PrimaTécnica]]*Table3[[#This Row],[Utilidad]]</f>
        <v>135.16339992000005</v>
      </c>
      <c r="L347" s="8">
        <f>Table3[[#This Row],[PrimaTécnica]]*Table3[[#This Row],[Marketing]]</f>
        <v>27.032679984000005</v>
      </c>
      <c r="M347" s="8">
        <f>Table3[[#This Row],[PrimaTécnica]]*Table3[[#This Row],[Cobranza]]</f>
        <v>27.032679984000005</v>
      </c>
      <c r="N34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347">
        <v>21.84</v>
      </c>
      <c r="P347">
        <v>54.6</v>
      </c>
      <c r="Q347">
        <v>80.64</v>
      </c>
      <c r="R347">
        <v>44.377200000000002</v>
      </c>
      <c r="S347">
        <v>0.2</v>
      </c>
      <c r="T347">
        <v>0.02</v>
      </c>
      <c r="U347" s="8">
        <f>Table3[[#This Row],[PrimaNeta]]*Table3[[#This Row],[Comisión]]</f>
        <v>726.1812996000001</v>
      </c>
      <c r="V347" s="15">
        <f>Table3[[#This Row],[PrimaComercial Anual]]-Table3[[#This Row],[PrimaComercial Anual]]*SUM(Table3[[#This Row],[APS]:[IVA]])</f>
        <v>3630.9064980000003</v>
      </c>
      <c r="W347" s="2">
        <v>1.4800000000000001E-2</v>
      </c>
      <c r="X347" s="2">
        <v>8.4501000000000007E-2</v>
      </c>
      <c r="Y347">
        <v>0.03</v>
      </c>
      <c r="Z347">
        <v>0.13</v>
      </c>
      <c r="AA347" s="20">
        <f>Table3[[#This Row],[APS]]*Table3[[#This Row],[PrimaComercial Anual]]</f>
        <v>72.549599999999998</v>
      </c>
      <c r="AB347" s="8">
        <f>Table3[[#This Row],[PrimaComercial Anual]]*Table3[[#This Row],[Recargo adicional]]</f>
        <v>414.22390200000001</v>
      </c>
      <c r="AC347" s="8">
        <f>Table3[[#This Row],[PrimaComercial Anual]]*Table3[[#This Row],[IT]]</f>
        <v>147.06</v>
      </c>
      <c r="AD347" s="8">
        <f>Table3[[#This Row],[PrimaComercial Anual]]*Table3[[#This Row],[IVA]]</f>
        <v>637.26</v>
      </c>
      <c r="AE347" s="15">
        <f>Table3[[#This Row],[PrimaComercial Anual Asistencia]]</f>
        <v>4902</v>
      </c>
      <c r="AG347">
        <v>4902</v>
      </c>
    </row>
    <row r="348" spans="1:33" x14ac:dyDescent="0.25">
      <c r="A348" t="s">
        <v>18</v>
      </c>
      <c r="B348">
        <v>140000</v>
      </c>
      <c r="C348">
        <v>15</v>
      </c>
      <c r="D348" s="2">
        <f>Table3[[#This Row],[PrimaTécnica]]-Table3[[#This Row],[PrimaTécnica]]*SUM(Table3[[#This Row],[Gastos Adm]:[Cobranza]])</f>
        <v>2108.5490387520003</v>
      </c>
      <c r="E348">
        <v>0</v>
      </c>
      <c r="F348">
        <v>0.15</v>
      </c>
      <c r="G348">
        <v>0.05</v>
      </c>
      <c r="H348">
        <v>0.01</v>
      </c>
      <c r="I348">
        <v>0.01</v>
      </c>
      <c r="J348" s="8">
        <f>Table3[[#This Row],[PrimaTécnica]]*Table3[[#This Row],[Gastos Adm]]</f>
        <v>405.49019976000005</v>
      </c>
      <c r="K348" s="8">
        <f>Table3[[#This Row],[PrimaTécnica]]*Table3[[#This Row],[Utilidad]]</f>
        <v>135.16339992000005</v>
      </c>
      <c r="L348" s="8">
        <f>Table3[[#This Row],[PrimaTécnica]]*Table3[[#This Row],[Marketing]]</f>
        <v>27.032679984000005</v>
      </c>
      <c r="M348" s="8">
        <f>Table3[[#This Row],[PrimaTécnica]]*Table3[[#This Row],[Cobranza]]</f>
        <v>27.032679984000005</v>
      </c>
      <c r="N34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348">
        <v>21.84</v>
      </c>
      <c r="P348">
        <v>54.6</v>
      </c>
      <c r="Q348">
        <v>80.64</v>
      </c>
      <c r="R348">
        <v>44.377200000000002</v>
      </c>
      <c r="S348">
        <v>0.2</v>
      </c>
      <c r="T348">
        <v>0.02</v>
      </c>
      <c r="U348" s="8">
        <f>Table3[[#This Row],[PrimaNeta]]*Table3[[#This Row],[Comisión]]</f>
        <v>726.1812996000001</v>
      </c>
      <c r="V348" s="15">
        <f>Table3[[#This Row],[PrimaComercial Anual]]-Table3[[#This Row],[PrimaComercial Anual]]*SUM(Table3[[#This Row],[APS]:[IVA]])</f>
        <v>3630.9064980000003</v>
      </c>
      <c r="W348" s="2">
        <v>1.4800000000000001E-2</v>
      </c>
      <c r="X348" s="2">
        <v>8.4501000000000007E-2</v>
      </c>
      <c r="Y348">
        <v>0.03</v>
      </c>
      <c r="Z348">
        <v>0.13</v>
      </c>
      <c r="AA348" s="20">
        <f>Table3[[#This Row],[APS]]*Table3[[#This Row],[PrimaComercial Anual]]</f>
        <v>72.549599999999998</v>
      </c>
      <c r="AB348" s="8">
        <f>Table3[[#This Row],[PrimaComercial Anual]]*Table3[[#This Row],[Recargo adicional]]</f>
        <v>414.22390200000001</v>
      </c>
      <c r="AC348" s="8">
        <f>Table3[[#This Row],[PrimaComercial Anual]]*Table3[[#This Row],[IT]]</f>
        <v>147.06</v>
      </c>
      <c r="AD348" s="8">
        <f>Table3[[#This Row],[PrimaComercial Anual]]*Table3[[#This Row],[IVA]]</f>
        <v>637.26</v>
      </c>
      <c r="AE348" s="15">
        <f>Table3[[#This Row],[PrimaComercial Anual Asistencia]]</f>
        <v>4902</v>
      </c>
      <c r="AG348">
        <v>4902</v>
      </c>
    </row>
    <row r="349" spans="1:33" x14ac:dyDescent="0.25">
      <c r="A349" t="s">
        <v>18</v>
      </c>
      <c r="B349">
        <v>140000</v>
      </c>
      <c r="C349">
        <v>16</v>
      </c>
      <c r="D349" s="2">
        <f>Table3[[#This Row],[PrimaTécnica]]-Table3[[#This Row],[PrimaTécnica]]*SUM(Table3[[#This Row],[Gastos Adm]:[Cobranza]])</f>
        <v>2108.5490387520003</v>
      </c>
      <c r="E349">
        <v>0</v>
      </c>
      <c r="F349">
        <v>0.15</v>
      </c>
      <c r="G349">
        <v>0.05</v>
      </c>
      <c r="H349">
        <v>0.01</v>
      </c>
      <c r="I349">
        <v>0.01</v>
      </c>
      <c r="J349" s="8">
        <f>Table3[[#This Row],[PrimaTécnica]]*Table3[[#This Row],[Gastos Adm]]</f>
        <v>405.49019976000005</v>
      </c>
      <c r="K349" s="8">
        <f>Table3[[#This Row],[PrimaTécnica]]*Table3[[#This Row],[Utilidad]]</f>
        <v>135.16339992000005</v>
      </c>
      <c r="L349" s="8">
        <f>Table3[[#This Row],[PrimaTécnica]]*Table3[[#This Row],[Marketing]]</f>
        <v>27.032679984000005</v>
      </c>
      <c r="M349" s="8">
        <f>Table3[[#This Row],[PrimaTécnica]]*Table3[[#This Row],[Cobranza]]</f>
        <v>27.032679984000005</v>
      </c>
      <c r="N34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349">
        <v>21.84</v>
      </c>
      <c r="P349">
        <v>54.6</v>
      </c>
      <c r="Q349">
        <v>80.64</v>
      </c>
      <c r="R349">
        <v>44.377200000000002</v>
      </c>
      <c r="S349">
        <v>0.2</v>
      </c>
      <c r="T349">
        <v>0.02</v>
      </c>
      <c r="U349" s="8">
        <f>Table3[[#This Row],[PrimaNeta]]*Table3[[#This Row],[Comisión]]</f>
        <v>726.1812996000001</v>
      </c>
      <c r="V349" s="15">
        <f>Table3[[#This Row],[PrimaComercial Anual]]-Table3[[#This Row],[PrimaComercial Anual]]*SUM(Table3[[#This Row],[APS]:[IVA]])</f>
        <v>3630.9064980000003</v>
      </c>
      <c r="W349" s="2">
        <v>1.4800000000000001E-2</v>
      </c>
      <c r="X349" s="2">
        <v>8.4501000000000007E-2</v>
      </c>
      <c r="Y349">
        <v>0.03</v>
      </c>
      <c r="Z349">
        <v>0.13</v>
      </c>
      <c r="AA349" s="20">
        <f>Table3[[#This Row],[APS]]*Table3[[#This Row],[PrimaComercial Anual]]</f>
        <v>72.549599999999998</v>
      </c>
      <c r="AB349" s="8">
        <f>Table3[[#This Row],[PrimaComercial Anual]]*Table3[[#This Row],[Recargo adicional]]</f>
        <v>414.22390200000001</v>
      </c>
      <c r="AC349" s="8">
        <f>Table3[[#This Row],[PrimaComercial Anual]]*Table3[[#This Row],[IT]]</f>
        <v>147.06</v>
      </c>
      <c r="AD349" s="8">
        <f>Table3[[#This Row],[PrimaComercial Anual]]*Table3[[#This Row],[IVA]]</f>
        <v>637.26</v>
      </c>
      <c r="AE349" s="15">
        <f>Table3[[#This Row],[PrimaComercial Anual Asistencia]]</f>
        <v>4902</v>
      </c>
      <c r="AG349">
        <v>4902</v>
      </c>
    </row>
    <row r="350" spans="1:33" x14ac:dyDescent="0.25">
      <c r="A350" t="s">
        <v>18</v>
      </c>
      <c r="B350">
        <v>140000</v>
      </c>
      <c r="C350">
        <v>17</v>
      </c>
      <c r="D350" s="2">
        <f>Table3[[#This Row],[PrimaTécnica]]-Table3[[#This Row],[PrimaTécnica]]*SUM(Table3[[#This Row],[Gastos Adm]:[Cobranza]])</f>
        <v>2108.5490387520003</v>
      </c>
      <c r="E350">
        <v>0</v>
      </c>
      <c r="F350">
        <v>0.15</v>
      </c>
      <c r="G350">
        <v>0.05</v>
      </c>
      <c r="H350">
        <v>0.01</v>
      </c>
      <c r="I350">
        <v>0.01</v>
      </c>
      <c r="J350" s="8">
        <f>Table3[[#This Row],[PrimaTécnica]]*Table3[[#This Row],[Gastos Adm]]</f>
        <v>405.49019976000005</v>
      </c>
      <c r="K350" s="8">
        <f>Table3[[#This Row],[PrimaTécnica]]*Table3[[#This Row],[Utilidad]]</f>
        <v>135.16339992000005</v>
      </c>
      <c r="L350" s="8">
        <f>Table3[[#This Row],[PrimaTécnica]]*Table3[[#This Row],[Marketing]]</f>
        <v>27.032679984000005</v>
      </c>
      <c r="M350" s="8">
        <f>Table3[[#This Row],[PrimaTécnica]]*Table3[[#This Row],[Cobranza]]</f>
        <v>27.032679984000005</v>
      </c>
      <c r="N35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350">
        <v>21.84</v>
      </c>
      <c r="P350">
        <v>54.6</v>
      </c>
      <c r="Q350">
        <v>80.64</v>
      </c>
      <c r="R350">
        <v>44.377200000000002</v>
      </c>
      <c r="S350">
        <v>0.2</v>
      </c>
      <c r="T350">
        <v>0.02</v>
      </c>
      <c r="U350" s="8">
        <f>Table3[[#This Row],[PrimaNeta]]*Table3[[#This Row],[Comisión]]</f>
        <v>726.1812996000001</v>
      </c>
      <c r="V350" s="15">
        <f>Table3[[#This Row],[PrimaComercial Anual]]-Table3[[#This Row],[PrimaComercial Anual]]*SUM(Table3[[#This Row],[APS]:[IVA]])</f>
        <v>3630.9064980000003</v>
      </c>
      <c r="W350" s="2">
        <v>1.4800000000000001E-2</v>
      </c>
      <c r="X350" s="2">
        <v>8.4501000000000007E-2</v>
      </c>
      <c r="Y350">
        <v>0.03</v>
      </c>
      <c r="Z350">
        <v>0.13</v>
      </c>
      <c r="AA350" s="20">
        <f>Table3[[#This Row],[APS]]*Table3[[#This Row],[PrimaComercial Anual]]</f>
        <v>72.549599999999998</v>
      </c>
      <c r="AB350" s="8">
        <f>Table3[[#This Row],[PrimaComercial Anual]]*Table3[[#This Row],[Recargo adicional]]</f>
        <v>414.22390200000001</v>
      </c>
      <c r="AC350" s="8">
        <f>Table3[[#This Row],[PrimaComercial Anual]]*Table3[[#This Row],[IT]]</f>
        <v>147.06</v>
      </c>
      <c r="AD350" s="8">
        <f>Table3[[#This Row],[PrimaComercial Anual]]*Table3[[#This Row],[IVA]]</f>
        <v>637.26</v>
      </c>
      <c r="AE350" s="15">
        <f>Table3[[#This Row],[PrimaComercial Anual Asistencia]]</f>
        <v>4902</v>
      </c>
      <c r="AG350">
        <v>4902</v>
      </c>
    </row>
    <row r="351" spans="1:33" x14ac:dyDescent="0.25">
      <c r="A351" t="s">
        <v>18</v>
      </c>
      <c r="B351">
        <v>140000</v>
      </c>
      <c r="C351">
        <v>18</v>
      </c>
      <c r="D351" s="2">
        <f>Table3[[#This Row],[PrimaTécnica]]-Table3[[#This Row],[PrimaTécnica]]*SUM(Table3[[#This Row],[Gastos Adm]:[Cobranza]])</f>
        <v>2108.5490387520003</v>
      </c>
      <c r="E351">
        <v>0</v>
      </c>
      <c r="F351">
        <v>0.15</v>
      </c>
      <c r="G351">
        <v>0.05</v>
      </c>
      <c r="H351">
        <v>0.01</v>
      </c>
      <c r="I351">
        <v>0.01</v>
      </c>
      <c r="J351" s="8">
        <f>Table3[[#This Row],[PrimaTécnica]]*Table3[[#This Row],[Gastos Adm]]</f>
        <v>405.49019976000005</v>
      </c>
      <c r="K351" s="8">
        <f>Table3[[#This Row],[PrimaTécnica]]*Table3[[#This Row],[Utilidad]]</f>
        <v>135.16339992000005</v>
      </c>
      <c r="L351" s="8">
        <f>Table3[[#This Row],[PrimaTécnica]]*Table3[[#This Row],[Marketing]]</f>
        <v>27.032679984000005</v>
      </c>
      <c r="M351" s="8">
        <f>Table3[[#This Row],[PrimaTécnica]]*Table3[[#This Row],[Cobranza]]</f>
        <v>27.032679984000005</v>
      </c>
      <c r="N35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351">
        <v>21.84</v>
      </c>
      <c r="P351">
        <v>54.6</v>
      </c>
      <c r="Q351">
        <v>80.64</v>
      </c>
      <c r="R351">
        <v>44.377200000000002</v>
      </c>
      <c r="S351">
        <v>0.2</v>
      </c>
      <c r="T351">
        <v>0.02</v>
      </c>
      <c r="U351" s="8">
        <f>Table3[[#This Row],[PrimaNeta]]*Table3[[#This Row],[Comisión]]</f>
        <v>726.1812996000001</v>
      </c>
      <c r="V351" s="15">
        <f>Table3[[#This Row],[PrimaComercial Anual]]-Table3[[#This Row],[PrimaComercial Anual]]*SUM(Table3[[#This Row],[APS]:[IVA]])</f>
        <v>3630.9064980000003</v>
      </c>
      <c r="W351" s="2">
        <v>1.4800000000000001E-2</v>
      </c>
      <c r="X351" s="2">
        <v>8.4501000000000007E-2</v>
      </c>
      <c r="Y351">
        <v>0.03</v>
      </c>
      <c r="Z351">
        <v>0.13</v>
      </c>
      <c r="AA351" s="20">
        <f>Table3[[#This Row],[APS]]*Table3[[#This Row],[PrimaComercial Anual]]</f>
        <v>72.549599999999998</v>
      </c>
      <c r="AB351" s="8">
        <f>Table3[[#This Row],[PrimaComercial Anual]]*Table3[[#This Row],[Recargo adicional]]</f>
        <v>414.22390200000001</v>
      </c>
      <c r="AC351" s="8">
        <f>Table3[[#This Row],[PrimaComercial Anual]]*Table3[[#This Row],[IT]]</f>
        <v>147.06</v>
      </c>
      <c r="AD351" s="8">
        <f>Table3[[#This Row],[PrimaComercial Anual]]*Table3[[#This Row],[IVA]]</f>
        <v>637.26</v>
      </c>
      <c r="AE351" s="15">
        <f>Table3[[#This Row],[PrimaComercial Anual Asistencia]]</f>
        <v>4902</v>
      </c>
      <c r="AG351">
        <v>4902</v>
      </c>
    </row>
    <row r="352" spans="1:33" x14ac:dyDescent="0.25">
      <c r="A352" t="s">
        <v>18</v>
      </c>
      <c r="B352">
        <v>140000</v>
      </c>
      <c r="C352">
        <v>19</v>
      </c>
      <c r="D352" s="2">
        <f>Table3[[#This Row],[PrimaTécnica]]-Table3[[#This Row],[PrimaTécnica]]*SUM(Table3[[#This Row],[Gastos Adm]:[Cobranza]])</f>
        <v>2256.0820581312</v>
      </c>
      <c r="E352">
        <v>0</v>
      </c>
      <c r="F352">
        <v>0.15</v>
      </c>
      <c r="G352">
        <v>0.05</v>
      </c>
      <c r="H352">
        <v>0.01</v>
      </c>
      <c r="I352">
        <v>0.01</v>
      </c>
      <c r="J352" s="8">
        <f>Table3[[#This Row],[PrimaTécnica]]*Table3[[#This Row],[Gastos Adm]]</f>
        <v>433.86193425599998</v>
      </c>
      <c r="K352" s="8">
        <f>Table3[[#This Row],[PrimaTécnica]]*Table3[[#This Row],[Utilidad]]</f>
        <v>144.620644752</v>
      </c>
      <c r="L352" s="8">
        <f>Table3[[#This Row],[PrimaTécnica]]*Table3[[#This Row],[Marketing]]</f>
        <v>28.9241289504</v>
      </c>
      <c r="M352" s="8">
        <f>Table3[[#This Row],[PrimaTécnica]]*Table3[[#This Row],[Cobranza]]</f>
        <v>28.9241289504</v>
      </c>
      <c r="N35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352">
        <v>21.84</v>
      </c>
      <c r="P352">
        <v>54.6</v>
      </c>
      <c r="Q352">
        <v>80.64</v>
      </c>
      <c r="R352">
        <v>44.377200000000002</v>
      </c>
      <c r="S352">
        <v>0.2</v>
      </c>
      <c r="T352">
        <v>0.02</v>
      </c>
      <c r="U352" s="8">
        <f>Table3[[#This Row],[PrimaNeta]]*Table3[[#This Row],[Comisión]]</f>
        <v>773.46752375999995</v>
      </c>
      <c r="V352" s="15">
        <f>Table3[[#This Row],[PrimaComercial Anual]]-Table3[[#This Row],[PrimaComercial Anual]]*SUM(Table3[[#This Row],[APS]:[IVA]])</f>
        <v>3867.3376187999997</v>
      </c>
      <c r="W352" s="2">
        <v>1.4800000000000001E-2</v>
      </c>
      <c r="X352" s="2">
        <v>8.4501000000000007E-2</v>
      </c>
      <c r="Y352">
        <v>0.03</v>
      </c>
      <c r="Z352">
        <v>0.13</v>
      </c>
      <c r="AA352" s="20">
        <f>Table3[[#This Row],[APS]]*Table3[[#This Row],[PrimaComercial Anual]]</f>
        <v>77.273759999999996</v>
      </c>
      <c r="AB352" s="8">
        <f>Table3[[#This Row],[PrimaComercial Anual]]*Table3[[#This Row],[Recargo adicional]]</f>
        <v>441.19662120000004</v>
      </c>
      <c r="AC352" s="8">
        <f>Table3[[#This Row],[PrimaComercial Anual]]*Table3[[#This Row],[IT]]</f>
        <v>156.636</v>
      </c>
      <c r="AD352" s="8">
        <f>Table3[[#This Row],[PrimaComercial Anual]]*Table3[[#This Row],[IVA]]</f>
        <v>678.75599999999997</v>
      </c>
      <c r="AE352" s="15">
        <f>Table3[[#This Row],[PrimaComercial Anual Asistencia]]</f>
        <v>5221.2</v>
      </c>
      <c r="AG352">
        <v>5221.2</v>
      </c>
    </row>
    <row r="353" spans="1:33" x14ac:dyDescent="0.25">
      <c r="A353" t="s">
        <v>18</v>
      </c>
      <c r="B353">
        <v>140000</v>
      </c>
      <c r="C353">
        <v>20</v>
      </c>
      <c r="D353" s="2">
        <f>Table3[[#This Row],[PrimaTécnica]]-Table3[[#This Row],[PrimaTécnica]]*SUM(Table3[[#This Row],[Gastos Adm]:[Cobranza]])</f>
        <v>2256.0820581312</v>
      </c>
      <c r="E353">
        <v>0</v>
      </c>
      <c r="F353">
        <v>0.15</v>
      </c>
      <c r="G353">
        <v>0.05</v>
      </c>
      <c r="H353">
        <v>0.01</v>
      </c>
      <c r="I353">
        <v>0.01</v>
      </c>
      <c r="J353" s="8">
        <f>Table3[[#This Row],[PrimaTécnica]]*Table3[[#This Row],[Gastos Adm]]</f>
        <v>433.86193425599998</v>
      </c>
      <c r="K353" s="8">
        <f>Table3[[#This Row],[PrimaTécnica]]*Table3[[#This Row],[Utilidad]]</f>
        <v>144.620644752</v>
      </c>
      <c r="L353" s="8">
        <f>Table3[[#This Row],[PrimaTécnica]]*Table3[[#This Row],[Marketing]]</f>
        <v>28.9241289504</v>
      </c>
      <c r="M353" s="8">
        <f>Table3[[#This Row],[PrimaTécnica]]*Table3[[#This Row],[Cobranza]]</f>
        <v>28.9241289504</v>
      </c>
      <c r="N35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353">
        <v>21.84</v>
      </c>
      <c r="P353">
        <v>54.6</v>
      </c>
      <c r="Q353">
        <v>80.64</v>
      </c>
      <c r="R353">
        <v>44.377200000000002</v>
      </c>
      <c r="S353">
        <v>0.2</v>
      </c>
      <c r="T353">
        <v>0.02</v>
      </c>
      <c r="U353" s="8">
        <f>Table3[[#This Row],[PrimaNeta]]*Table3[[#This Row],[Comisión]]</f>
        <v>773.46752375999995</v>
      </c>
      <c r="V353" s="15">
        <f>Table3[[#This Row],[PrimaComercial Anual]]-Table3[[#This Row],[PrimaComercial Anual]]*SUM(Table3[[#This Row],[APS]:[IVA]])</f>
        <v>3867.3376187999997</v>
      </c>
      <c r="W353" s="2">
        <v>1.4800000000000001E-2</v>
      </c>
      <c r="X353" s="2">
        <v>8.4501000000000007E-2</v>
      </c>
      <c r="Y353">
        <v>0.03</v>
      </c>
      <c r="Z353">
        <v>0.13</v>
      </c>
      <c r="AA353" s="20">
        <f>Table3[[#This Row],[APS]]*Table3[[#This Row],[PrimaComercial Anual]]</f>
        <v>77.273759999999996</v>
      </c>
      <c r="AB353" s="8">
        <f>Table3[[#This Row],[PrimaComercial Anual]]*Table3[[#This Row],[Recargo adicional]]</f>
        <v>441.19662120000004</v>
      </c>
      <c r="AC353" s="8">
        <f>Table3[[#This Row],[PrimaComercial Anual]]*Table3[[#This Row],[IT]]</f>
        <v>156.636</v>
      </c>
      <c r="AD353" s="8">
        <f>Table3[[#This Row],[PrimaComercial Anual]]*Table3[[#This Row],[IVA]]</f>
        <v>678.75599999999997</v>
      </c>
      <c r="AE353" s="15">
        <f>Table3[[#This Row],[PrimaComercial Anual Asistencia]]</f>
        <v>5221.2</v>
      </c>
      <c r="AG353">
        <v>5221.2</v>
      </c>
    </row>
    <row r="354" spans="1:33" x14ac:dyDescent="0.25">
      <c r="A354" t="s">
        <v>18</v>
      </c>
      <c r="B354">
        <v>140000</v>
      </c>
      <c r="C354">
        <v>21</v>
      </c>
      <c r="D354" s="2">
        <f>Table3[[#This Row],[PrimaTécnica]]-Table3[[#This Row],[PrimaTécnica]]*SUM(Table3[[#This Row],[Gastos Adm]:[Cobranza]])</f>
        <v>2256.0820581312</v>
      </c>
      <c r="E354">
        <v>0</v>
      </c>
      <c r="F354">
        <v>0.15</v>
      </c>
      <c r="G354">
        <v>0.05</v>
      </c>
      <c r="H354">
        <v>0.01</v>
      </c>
      <c r="I354">
        <v>0.01</v>
      </c>
      <c r="J354" s="8">
        <f>Table3[[#This Row],[PrimaTécnica]]*Table3[[#This Row],[Gastos Adm]]</f>
        <v>433.86193425599998</v>
      </c>
      <c r="K354" s="8">
        <f>Table3[[#This Row],[PrimaTécnica]]*Table3[[#This Row],[Utilidad]]</f>
        <v>144.620644752</v>
      </c>
      <c r="L354" s="8">
        <f>Table3[[#This Row],[PrimaTécnica]]*Table3[[#This Row],[Marketing]]</f>
        <v>28.9241289504</v>
      </c>
      <c r="M354" s="8">
        <f>Table3[[#This Row],[PrimaTécnica]]*Table3[[#This Row],[Cobranza]]</f>
        <v>28.9241289504</v>
      </c>
      <c r="N35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354">
        <v>21.84</v>
      </c>
      <c r="P354">
        <v>54.6</v>
      </c>
      <c r="Q354">
        <v>80.64</v>
      </c>
      <c r="R354">
        <v>44.377200000000002</v>
      </c>
      <c r="S354">
        <v>0.2</v>
      </c>
      <c r="T354">
        <v>0.02</v>
      </c>
      <c r="U354" s="8">
        <f>Table3[[#This Row],[PrimaNeta]]*Table3[[#This Row],[Comisión]]</f>
        <v>773.46752375999995</v>
      </c>
      <c r="V354" s="15">
        <f>Table3[[#This Row],[PrimaComercial Anual]]-Table3[[#This Row],[PrimaComercial Anual]]*SUM(Table3[[#This Row],[APS]:[IVA]])</f>
        <v>3867.3376187999997</v>
      </c>
      <c r="W354" s="2">
        <v>1.4800000000000001E-2</v>
      </c>
      <c r="X354" s="2">
        <v>8.4501000000000007E-2</v>
      </c>
      <c r="Y354">
        <v>0.03</v>
      </c>
      <c r="Z354">
        <v>0.13</v>
      </c>
      <c r="AA354" s="20">
        <f>Table3[[#This Row],[APS]]*Table3[[#This Row],[PrimaComercial Anual]]</f>
        <v>77.273759999999996</v>
      </c>
      <c r="AB354" s="8">
        <f>Table3[[#This Row],[PrimaComercial Anual]]*Table3[[#This Row],[Recargo adicional]]</f>
        <v>441.19662120000004</v>
      </c>
      <c r="AC354" s="8">
        <f>Table3[[#This Row],[PrimaComercial Anual]]*Table3[[#This Row],[IT]]</f>
        <v>156.636</v>
      </c>
      <c r="AD354" s="8">
        <f>Table3[[#This Row],[PrimaComercial Anual]]*Table3[[#This Row],[IVA]]</f>
        <v>678.75599999999997</v>
      </c>
      <c r="AE354" s="15">
        <f>Table3[[#This Row],[PrimaComercial Anual Asistencia]]</f>
        <v>5221.2</v>
      </c>
      <c r="AG354">
        <v>5221.2</v>
      </c>
    </row>
    <row r="355" spans="1:33" x14ac:dyDescent="0.25">
      <c r="A355" t="s">
        <v>18</v>
      </c>
      <c r="B355">
        <v>140000</v>
      </c>
      <c r="C355">
        <v>22</v>
      </c>
      <c r="D355" s="2">
        <f>Table3[[#This Row],[PrimaTécnica]]-Table3[[#This Row],[PrimaTécnica]]*SUM(Table3[[#This Row],[Gastos Adm]:[Cobranza]])</f>
        <v>2256.0820581312</v>
      </c>
      <c r="E355">
        <v>0</v>
      </c>
      <c r="F355">
        <v>0.15</v>
      </c>
      <c r="G355">
        <v>0.05</v>
      </c>
      <c r="H355">
        <v>0.01</v>
      </c>
      <c r="I355">
        <v>0.01</v>
      </c>
      <c r="J355" s="8">
        <f>Table3[[#This Row],[PrimaTécnica]]*Table3[[#This Row],[Gastos Adm]]</f>
        <v>433.86193425599998</v>
      </c>
      <c r="K355" s="8">
        <f>Table3[[#This Row],[PrimaTécnica]]*Table3[[#This Row],[Utilidad]]</f>
        <v>144.620644752</v>
      </c>
      <c r="L355" s="8">
        <f>Table3[[#This Row],[PrimaTécnica]]*Table3[[#This Row],[Marketing]]</f>
        <v>28.9241289504</v>
      </c>
      <c r="M355" s="8">
        <f>Table3[[#This Row],[PrimaTécnica]]*Table3[[#This Row],[Cobranza]]</f>
        <v>28.9241289504</v>
      </c>
      <c r="N35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355">
        <v>21.84</v>
      </c>
      <c r="P355">
        <v>54.6</v>
      </c>
      <c r="Q355">
        <v>80.64</v>
      </c>
      <c r="R355">
        <v>44.377200000000002</v>
      </c>
      <c r="S355">
        <v>0.2</v>
      </c>
      <c r="T355">
        <v>0.02</v>
      </c>
      <c r="U355" s="8">
        <f>Table3[[#This Row],[PrimaNeta]]*Table3[[#This Row],[Comisión]]</f>
        <v>773.46752375999995</v>
      </c>
      <c r="V355" s="15">
        <f>Table3[[#This Row],[PrimaComercial Anual]]-Table3[[#This Row],[PrimaComercial Anual]]*SUM(Table3[[#This Row],[APS]:[IVA]])</f>
        <v>3867.3376187999997</v>
      </c>
      <c r="W355" s="2">
        <v>1.4800000000000001E-2</v>
      </c>
      <c r="X355" s="2">
        <v>8.4501000000000007E-2</v>
      </c>
      <c r="Y355">
        <v>0.03</v>
      </c>
      <c r="Z355">
        <v>0.13</v>
      </c>
      <c r="AA355" s="20">
        <f>Table3[[#This Row],[APS]]*Table3[[#This Row],[PrimaComercial Anual]]</f>
        <v>77.273759999999996</v>
      </c>
      <c r="AB355" s="8">
        <f>Table3[[#This Row],[PrimaComercial Anual]]*Table3[[#This Row],[Recargo adicional]]</f>
        <v>441.19662120000004</v>
      </c>
      <c r="AC355" s="8">
        <f>Table3[[#This Row],[PrimaComercial Anual]]*Table3[[#This Row],[IT]]</f>
        <v>156.636</v>
      </c>
      <c r="AD355" s="8">
        <f>Table3[[#This Row],[PrimaComercial Anual]]*Table3[[#This Row],[IVA]]</f>
        <v>678.75599999999997</v>
      </c>
      <c r="AE355" s="15">
        <f>Table3[[#This Row],[PrimaComercial Anual Asistencia]]</f>
        <v>5221.2</v>
      </c>
      <c r="AG355">
        <v>5221.2</v>
      </c>
    </row>
    <row r="356" spans="1:33" x14ac:dyDescent="0.25">
      <c r="A356" t="s">
        <v>18</v>
      </c>
      <c r="B356">
        <v>140000</v>
      </c>
      <c r="C356">
        <v>23</v>
      </c>
      <c r="D356" s="2">
        <f>Table3[[#This Row],[PrimaTécnica]]-Table3[[#This Row],[PrimaTécnica]]*SUM(Table3[[#This Row],[Gastos Adm]:[Cobranza]])</f>
        <v>2256.0820581312</v>
      </c>
      <c r="E356">
        <v>0</v>
      </c>
      <c r="F356">
        <v>0.15</v>
      </c>
      <c r="G356">
        <v>0.05</v>
      </c>
      <c r="H356">
        <v>0.01</v>
      </c>
      <c r="I356">
        <v>0.01</v>
      </c>
      <c r="J356" s="8">
        <f>Table3[[#This Row],[PrimaTécnica]]*Table3[[#This Row],[Gastos Adm]]</f>
        <v>433.86193425599998</v>
      </c>
      <c r="K356" s="8">
        <f>Table3[[#This Row],[PrimaTécnica]]*Table3[[#This Row],[Utilidad]]</f>
        <v>144.620644752</v>
      </c>
      <c r="L356" s="8">
        <f>Table3[[#This Row],[PrimaTécnica]]*Table3[[#This Row],[Marketing]]</f>
        <v>28.9241289504</v>
      </c>
      <c r="M356" s="8">
        <f>Table3[[#This Row],[PrimaTécnica]]*Table3[[#This Row],[Cobranza]]</f>
        <v>28.9241289504</v>
      </c>
      <c r="N35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356">
        <v>21.84</v>
      </c>
      <c r="P356">
        <v>54.6</v>
      </c>
      <c r="Q356">
        <v>80.64</v>
      </c>
      <c r="R356">
        <v>44.377200000000002</v>
      </c>
      <c r="S356">
        <v>0.2</v>
      </c>
      <c r="T356">
        <v>0.02</v>
      </c>
      <c r="U356" s="8">
        <f>Table3[[#This Row],[PrimaNeta]]*Table3[[#This Row],[Comisión]]</f>
        <v>773.46752375999995</v>
      </c>
      <c r="V356" s="15">
        <f>Table3[[#This Row],[PrimaComercial Anual]]-Table3[[#This Row],[PrimaComercial Anual]]*SUM(Table3[[#This Row],[APS]:[IVA]])</f>
        <v>3867.3376187999997</v>
      </c>
      <c r="W356" s="2">
        <v>1.4800000000000001E-2</v>
      </c>
      <c r="X356" s="2">
        <v>8.4501000000000007E-2</v>
      </c>
      <c r="Y356">
        <v>0.03</v>
      </c>
      <c r="Z356">
        <v>0.13</v>
      </c>
      <c r="AA356" s="20">
        <f>Table3[[#This Row],[APS]]*Table3[[#This Row],[PrimaComercial Anual]]</f>
        <v>77.273759999999996</v>
      </c>
      <c r="AB356" s="8">
        <f>Table3[[#This Row],[PrimaComercial Anual]]*Table3[[#This Row],[Recargo adicional]]</f>
        <v>441.19662120000004</v>
      </c>
      <c r="AC356" s="8">
        <f>Table3[[#This Row],[PrimaComercial Anual]]*Table3[[#This Row],[IT]]</f>
        <v>156.636</v>
      </c>
      <c r="AD356" s="8">
        <f>Table3[[#This Row],[PrimaComercial Anual]]*Table3[[#This Row],[IVA]]</f>
        <v>678.75599999999997</v>
      </c>
      <c r="AE356" s="15">
        <f>Table3[[#This Row],[PrimaComercial Anual Asistencia]]</f>
        <v>5221.2</v>
      </c>
      <c r="AG356">
        <v>5221.2</v>
      </c>
    </row>
    <row r="357" spans="1:33" x14ac:dyDescent="0.25">
      <c r="A357" t="s">
        <v>18</v>
      </c>
      <c r="B357">
        <v>140000</v>
      </c>
      <c r="C357">
        <v>24</v>
      </c>
      <c r="D357" s="2">
        <f>Table3[[#This Row],[PrimaTécnica]]-Table3[[#This Row],[PrimaTécnica]]*SUM(Table3[[#This Row],[Gastos Adm]:[Cobranza]])</f>
        <v>2256.0820581312</v>
      </c>
      <c r="E357">
        <v>0</v>
      </c>
      <c r="F357">
        <v>0.15</v>
      </c>
      <c r="G357">
        <v>0.05</v>
      </c>
      <c r="H357">
        <v>0.01</v>
      </c>
      <c r="I357">
        <v>0.01</v>
      </c>
      <c r="J357" s="8">
        <f>Table3[[#This Row],[PrimaTécnica]]*Table3[[#This Row],[Gastos Adm]]</f>
        <v>433.86193425599998</v>
      </c>
      <c r="K357" s="8">
        <f>Table3[[#This Row],[PrimaTécnica]]*Table3[[#This Row],[Utilidad]]</f>
        <v>144.620644752</v>
      </c>
      <c r="L357" s="8">
        <f>Table3[[#This Row],[PrimaTécnica]]*Table3[[#This Row],[Marketing]]</f>
        <v>28.9241289504</v>
      </c>
      <c r="M357" s="8">
        <f>Table3[[#This Row],[PrimaTécnica]]*Table3[[#This Row],[Cobranza]]</f>
        <v>28.9241289504</v>
      </c>
      <c r="N35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357">
        <v>21.84</v>
      </c>
      <c r="P357">
        <v>54.6</v>
      </c>
      <c r="Q357">
        <v>80.64</v>
      </c>
      <c r="R357">
        <v>44.377200000000002</v>
      </c>
      <c r="S357">
        <v>0.2</v>
      </c>
      <c r="T357">
        <v>0.02</v>
      </c>
      <c r="U357" s="8">
        <f>Table3[[#This Row],[PrimaNeta]]*Table3[[#This Row],[Comisión]]</f>
        <v>773.46752375999995</v>
      </c>
      <c r="V357" s="15">
        <f>Table3[[#This Row],[PrimaComercial Anual]]-Table3[[#This Row],[PrimaComercial Anual]]*SUM(Table3[[#This Row],[APS]:[IVA]])</f>
        <v>3867.3376187999997</v>
      </c>
      <c r="W357" s="2">
        <v>1.4800000000000001E-2</v>
      </c>
      <c r="X357" s="2">
        <v>8.4501000000000007E-2</v>
      </c>
      <c r="Y357">
        <v>0.03</v>
      </c>
      <c r="Z357">
        <v>0.13</v>
      </c>
      <c r="AA357" s="20">
        <f>Table3[[#This Row],[APS]]*Table3[[#This Row],[PrimaComercial Anual]]</f>
        <v>77.273759999999996</v>
      </c>
      <c r="AB357" s="8">
        <f>Table3[[#This Row],[PrimaComercial Anual]]*Table3[[#This Row],[Recargo adicional]]</f>
        <v>441.19662120000004</v>
      </c>
      <c r="AC357" s="8">
        <f>Table3[[#This Row],[PrimaComercial Anual]]*Table3[[#This Row],[IT]]</f>
        <v>156.636</v>
      </c>
      <c r="AD357" s="8">
        <f>Table3[[#This Row],[PrimaComercial Anual]]*Table3[[#This Row],[IVA]]</f>
        <v>678.75599999999997</v>
      </c>
      <c r="AE357" s="15">
        <f>Table3[[#This Row],[PrimaComercial Anual Asistencia]]</f>
        <v>5221.2</v>
      </c>
      <c r="AG357">
        <v>5221.2</v>
      </c>
    </row>
    <row r="358" spans="1:33" x14ac:dyDescent="0.25">
      <c r="A358" t="s">
        <v>18</v>
      </c>
      <c r="B358">
        <v>140000</v>
      </c>
      <c r="C358">
        <v>25</v>
      </c>
      <c r="D358" s="2">
        <f>Table3[[#This Row],[PrimaTécnica]]-Table3[[#This Row],[PrimaTécnica]]*SUM(Table3[[#This Row],[Gastos Adm]:[Cobranza]])</f>
        <v>2256.0820581312</v>
      </c>
      <c r="E358">
        <v>0</v>
      </c>
      <c r="F358">
        <v>0.15</v>
      </c>
      <c r="G358">
        <v>0.05</v>
      </c>
      <c r="H358">
        <v>0.01</v>
      </c>
      <c r="I358">
        <v>0.01</v>
      </c>
      <c r="J358" s="8">
        <f>Table3[[#This Row],[PrimaTécnica]]*Table3[[#This Row],[Gastos Adm]]</f>
        <v>433.86193425599998</v>
      </c>
      <c r="K358" s="8">
        <f>Table3[[#This Row],[PrimaTécnica]]*Table3[[#This Row],[Utilidad]]</f>
        <v>144.620644752</v>
      </c>
      <c r="L358" s="8">
        <f>Table3[[#This Row],[PrimaTécnica]]*Table3[[#This Row],[Marketing]]</f>
        <v>28.9241289504</v>
      </c>
      <c r="M358" s="8">
        <f>Table3[[#This Row],[PrimaTécnica]]*Table3[[#This Row],[Cobranza]]</f>
        <v>28.9241289504</v>
      </c>
      <c r="N35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358">
        <v>21.84</v>
      </c>
      <c r="P358">
        <v>54.6</v>
      </c>
      <c r="Q358">
        <v>80.64</v>
      </c>
      <c r="R358">
        <v>44.377200000000002</v>
      </c>
      <c r="S358">
        <v>0.2</v>
      </c>
      <c r="T358">
        <v>0.02</v>
      </c>
      <c r="U358" s="8">
        <f>Table3[[#This Row],[PrimaNeta]]*Table3[[#This Row],[Comisión]]</f>
        <v>773.46752375999995</v>
      </c>
      <c r="V358" s="15">
        <f>Table3[[#This Row],[PrimaComercial Anual]]-Table3[[#This Row],[PrimaComercial Anual]]*SUM(Table3[[#This Row],[APS]:[IVA]])</f>
        <v>3867.3376187999997</v>
      </c>
      <c r="W358" s="2">
        <v>1.4800000000000001E-2</v>
      </c>
      <c r="X358" s="2">
        <v>8.4501000000000007E-2</v>
      </c>
      <c r="Y358">
        <v>0.03</v>
      </c>
      <c r="Z358">
        <v>0.13</v>
      </c>
      <c r="AA358" s="20">
        <f>Table3[[#This Row],[APS]]*Table3[[#This Row],[PrimaComercial Anual]]</f>
        <v>77.273759999999996</v>
      </c>
      <c r="AB358" s="8">
        <f>Table3[[#This Row],[PrimaComercial Anual]]*Table3[[#This Row],[Recargo adicional]]</f>
        <v>441.19662120000004</v>
      </c>
      <c r="AC358" s="8">
        <f>Table3[[#This Row],[PrimaComercial Anual]]*Table3[[#This Row],[IT]]</f>
        <v>156.636</v>
      </c>
      <c r="AD358" s="8">
        <f>Table3[[#This Row],[PrimaComercial Anual]]*Table3[[#This Row],[IVA]]</f>
        <v>678.75599999999997</v>
      </c>
      <c r="AE358" s="15">
        <f>Table3[[#This Row],[PrimaComercial Anual Asistencia]]</f>
        <v>5221.2</v>
      </c>
      <c r="AG358">
        <v>5221.2</v>
      </c>
    </row>
    <row r="359" spans="1:33" x14ac:dyDescent="0.25">
      <c r="A359" t="s">
        <v>18</v>
      </c>
      <c r="B359">
        <v>140000</v>
      </c>
      <c r="C359">
        <v>26</v>
      </c>
      <c r="D359" s="2">
        <f>Table3[[#This Row],[PrimaTécnica]]-Table3[[#This Row],[PrimaTécnica]]*SUM(Table3[[#This Row],[Gastos Adm]:[Cobranza]])</f>
        <v>2256.0820581312</v>
      </c>
      <c r="E359">
        <v>0</v>
      </c>
      <c r="F359">
        <v>0.15</v>
      </c>
      <c r="G359">
        <v>0.05</v>
      </c>
      <c r="H359">
        <v>0.01</v>
      </c>
      <c r="I359">
        <v>0.01</v>
      </c>
      <c r="J359" s="8">
        <f>Table3[[#This Row],[PrimaTécnica]]*Table3[[#This Row],[Gastos Adm]]</f>
        <v>433.86193425599998</v>
      </c>
      <c r="K359" s="8">
        <f>Table3[[#This Row],[PrimaTécnica]]*Table3[[#This Row],[Utilidad]]</f>
        <v>144.620644752</v>
      </c>
      <c r="L359" s="8">
        <f>Table3[[#This Row],[PrimaTécnica]]*Table3[[#This Row],[Marketing]]</f>
        <v>28.9241289504</v>
      </c>
      <c r="M359" s="8">
        <f>Table3[[#This Row],[PrimaTécnica]]*Table3[[#This Row],[Cobranza]]</f>
        <v>28.9241289504</v>
      </c>
      <c r="N35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359">
        <v>21.84</v>
      </c>
      <c r="P359">
        <v>54.6</v>
      </c>
      <c r="Q359">
        <v>80.64</v>
      </c>
      <c r="R359">
        <v>44.377200000000002</v>
      </c>
      <c r="S359">
        <v>0.2</v>
      </c>
      <c r="T359">
        <v>0.02</v>
      </c>
      <c r="U359" s="8">
        <f>Table3[[#This Row],[PrimaNeta]]*Table3[[#This Row],[Comisión]]</f>
        <v>773.46752375999995</v>
      </c>
      <c r="V359" s="15">
        <f>Table3[[#This Row],[PrimaComercial Anual]]-Table3[[#This Row],[PrimaComercial Anual]]*SUM(Table3[[#This Row],[APS]:[IVA]])</f>
        <v>3867.3376187999997</v>
      </c>
      <c r="W359" s="2">
        <v>1.4800000000000001E-2</v>
      </c>
      <c r="X359" s="2">
        <v>8.4501000000000007E-2</v>
      </c>
      <c r="Y359">
        <v>0.03</v>
      </c>
      <c r="Z359">
        <v>0.13</v>
      </c>
      <c r="AA359" s="20">
        <f>Table3[[#This Row],[APS]]*Table3[[#This Row],[PrimaComercial Anual]]</f>
        <v>77.273759999999996</v>
      </c>
      <c r="AB359" s="8">
        <f>Table3[[#This Row],[PrimaComercial Anual]]*Table3[[#This Row],[Recargo adicional]]</f>
        <v>441.19662120000004</v>
      </c>
      <c r="AC359" s="8">
        <f>Table3[[#This Row],[PrimaComercial Anual]]*Table3[[#This Row],[IT]]</f>
        <v>156.636</v>
      </c>
      <c r="AD359" s="8">
        <f>Table3[[#This Row],[PrimaComercial Anual]]*Table3[[#This Row],[IVA]]</f>
        <v>678.75599999999997</v>
      </c>
      <c r="AE359" s="15">
        <f>Table3[[#This Row],[PrimaComercial Anual Asistencia]]</f>
        <v>5221.2</v>
      </c>
      <c r="AG359">
        <v>5221.2</v>
      </c>
    </row>
    <row r="360" spans="1:33" x14ac:dyDescent="0.25">
      <c r="A360" t="s">
        <v>18</v>
      </c>
      <c r="B360">
        <v>140000</v>
      </c>
      <c r="C360">
        <v>27</v>
      </c>
      <c r="D360" s="2">
        <f>Table3[[#This Row],[PrimaTécnica]]-Table3[[#This Row],[PrimaTécnica]]*SUM(Table3[[#This Row],[Gastos Adm]:[Cobranza]])</f>
        <v>2256.0820581312</v>
      </c>
      <c r="E360">
        <v>0</v>
      </c>
      <c r="F360">
        <v>0.15</v>
      </c>
      <c r="G360">
        <v>0.05</v>
      </c>
      <c r="H360">
        <v>0.01</v>
      </c>
      <c r="I360">
        <v>0.01</v>
      </c>
      <c r="J360" s="8">
        <f>Table3[[#This Row],[PrimaTécnica]]*Table3[[#This Row],[Gastos Adm]]</f>
        <v>433.86193425599998</v>
      </c>
      <c r="K360" s="8">
        <f>Table3[[#This Row],[PrimaTécnica]]*Table3[[#This Row],[Utilidad]]</f>
        <v>144.620644752</v>
      </c>
      <c r="L360" s="8">
        <f>Table3[[#This Row],[PrimaTécnica]]*Table3[[#This Row],[Marketing]]</f>
        <v>28.9241289504</v>
      </c>
      <c r="M360" s="8">
        <f>Table3[[#This Row],[PrimaTécnica]]*Table3[[#This Row],[Cobranza]]</f>
        <v>28.9241289504</v>
      </c>
      <c r="N36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360">
        <v>21.84</v>
      </c>
      <c r="P360">
        <v>54.6</v>
      </c>
      <c r="Q360">
        <v>80.64</v>
      </c>
      <c r="R360">
        <v>44.377200000000002</v>
      </c>
      <c r="S360">
        <v>0.2</v>
      </c>
      <c r="T360">
        <v>0.02</v>
      </c>
      <c r="U360" s="8">
        <f>Table3[[#This Row],[PrimaNeta]]*Table3[[#This Row],[Comisión]]</f>
        <v>773.46752375999995</v>
      </c>
      <c r="V360" s="15">
        <f>Table3[[#This Row],[PrimaComercial Anual]]-Table3[[#This Row],[PrimaComercial Anual]]*SUM(Table3[[#This Row],[APS]:[IVA]])</f>
        <v>3867.3376187999997</v>
      </c>
      <c r="W360" s="2">
        <v>1.4800000000000001E-2</v>
      </c>
      <c r="X360" s="2">
        <v>8.4501000000000007E-2</v>
      </c>
      <c r="Y360">
        <v>0.03</v>
      </c>
      <c r="Z360">
        <v>0.13</v>
      </c>
      <c r="AA360" s="20">
        <f>Table3[[#This Row],[APS]]*Table3[[#This Row],[PrimaComercial Anual]]</f>
        <v>77.273759999999996</v>
      </c>
      <c r="AB360" s="8">
        <f>Table3[[#This Row],[PrimaComercial Anual]]*Table3[[#This Row],[Recargo adicional]]</f>
        <v>441.19662120000004</v>
      </c>
      <c r="AC360" s="8">
        <f>Table3[[#This Row],[PrimaComercial Anual]]*Table3[[#This Row],[IT]]</f>
        <v>156.636</v>
      </c>
      <c r="AD360" s="8">
        <f>Table3[[#This Row],[PrimaComercial Anual]]*Table3[[#This Row],[IVA]]</f>
        <v>678.75599999999997</v>
      </c>
      <c r="AE360" s="15">
        <f>Table3[[#This Row],[PrimaComercial Anual Asistencia]]</f>
        <v>5221.2</v>
      </c>
      <c r="AG360">
        <v>5221.2</v>
      </c>
    </row>
    <row r="361" spans="1:33" x14ac:dyDescent="0.25">
      <c r="A361" t="s">
        <v>18</v>
      </c>
      <c r="B361">
        <v>140000</v>
      </c>
      <c r="C361">
        <v>28</v>
      </c>
      <c r="D361" s="2">
        <f>Table3[[#This Row],[PrimaTécnica]]-Table3[[#This Row],[PrimaTécnica]]*SUM(Table3[[#This Row],[Gastos Adm]:[Cobranza]])</f>
        <v>2256.0820581312</v>
      </c>
      <c r="E361">
        <v>0</v>
      </c>
      <c r="F361">
        <v>0.15</v>
      </c>
      <c r="G361">
        <v>0.05</v>
      </c>
      <c r="H361">
        <v>0.01</v>
      </c>
      <c r="I361">
        <v>0.01</v>
      </c>
      <c r="J361" s="8">
        <f>Table3[[#This Row],[PrimaTécnica]]*Table3[[#This Row],[Gastos Adm]]</f>
        <v>433.86193425599998</v>
      </c>
      <c r="K361" s="8">
        <f>Table3[[#This Row],[PrimaTécnica]]*Table3[[#This Row],[Utilidad]]</f>
        <v>144.620644752</v>
      </c>
      <c r="L361" s="8">
        <f>Table3[[#This Row],[PrimaTécnica]]*Table3[[#This Row],[Marketing]]</f>
        <v>28.9241289504</v>
      </c>
      <c r="M361" s="8">
        <f>Table3[[#This Row],[PrimaTécnica]]*Table3[[#This Row],[Cobranza]]</f>
        <v>28.9241289504</v>
      </c>
      <c r="N36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361">
        <v>21.84</v>
      </c>
      <c r="P361">
        <v>54.6</v>
      </c>
      <c r="Q361">
        <v>80.64</v>
      </c>
      <c r="R361">
        <v>44.377200000000002</v>
      </c>
      <c r="S361">
        <v>0.2</v>
      </c>
      <c r="T361">
        <v>0.02</v>
      </c>
      <c r="U361" s="8">
        <f>Table3[[#This Row],[PrimaNeta]]*Table3[[#This Row],[Comisión]]</f>
        <v>773.46752375999995</v>
      </c>
      <c r="V361" s="15">
        <f>Table3[[#This Row],[PrimaComercial Anual]]-Table3[[#This Row],[PrimaComercial Anual]]*SUM(Table3[[#This Row],[APS]:[IVA]])</f>
        <v>3867.3376187999997</v>
      </c>
      <c r="W361" s="2">
        <v>1.4800000000000001E-2</v>
      </c>
      <c r="X361" s="2">
        <v>8.4501000000000007E-2</v>
      </c>
      <c r="Y361">
        <v>0.03</v>
      </c>
      <c r="Z361">
        <v>0.13</v>
      </c>
      <c r="AA361" s="20">
        <f>Table3[[#This Row],[APS]]*Table3[[#This Row],[PrimaComercial Anual]]</f>
        <v>77.273759999999996</v>
      </c>
      <c r="AB361" s="8">
        <f>Table3[[#This Row],[PrimaComercial Anual]]*Table3[[#This Row],[Recargo adicional]]</f>
        <v>441.19662120000004</v>
      </c>
      <c r="AC361" s="8">
        <f>Table3[[#This Row],[PrimaComercial Anual]]*Table3[[#This Row],[IT]]</f>
        <v>156.636</v>
      </c>
      <c r="AD361" s="8">
        <f>Table3[[#This Row],[PrimaComercial Anual]]*Table3[[#This Row],[IVA]]</f>
        <v>678.75599999999997</v>
      </c>
      <c r="AE361" s="15">
        <f>Table3[[#This Row],[PrimaComercial Anual Asistencia]]</f>
        <v>5221.2</v>
      </c>
      <c r="AG361">
        <v>5221.2</v>
      </c>
    </row>
    <row r="362" spans="1:33" x14ac:dyDescent="0.25">
      <c r="A362" t="s">
        <v>18</v>
      </c>
      <c r="B362">
        <v>140000</v>
      </c>
      <c r="C362">
        <v>29</v>
      </c>
      <c r="D362" s="2">
        <f>Table3[[#This Row],[PrimaTécnica]]-Table3[[#This Row],[PrimaTécnica]]*SUM(Table3[[#This Row],[Gastos Adm]:[Cobranza]])</f>
        <v>2256.0820581312</v>
      </c>
      <c r="E362">
        <v>0</v>
      </c>
      <c r="F362">
        <v>0.15</v>
      </c>
      <c r="G362">
        <v>0.05</v>
      </c>
      <c r="H362">
        <v>0.01</v>
      </c>
      <c r="I362">
        <v>0.01</v>
      </c>
      <c r="J362" s="8">
        <f>Table3[[#This Row],[PrimaTécnica]]*Table3[[#This Row],[Gastos Adm]]</f>
        <v>433.86193425599998</v>
      </c>
      <c r="K362" s="8">
        <f>Table3[[#This Row],[PrimaTécnica]]*Table3[[#This Row],[Utilidad]]</f>
        <v>144.620644752</v>
      </c>
      <c r="L362" s="8">
        <f>Table3[[#This Row],[PrimaTécnica]]*Table3[[#This Row],[Marketing]]</f>
        <v>28.9241289504</v>
      </c>
      <c r="M362" s="8">
        <f>Table3[[#This Row],[PrimaTécnica]]*Table3[[#This Row],[Cobranza]]</f>
        <v>28.9241289504</v>
      </c>
      <c r="N36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362">
        <v>21.84</v>
      </c>
      <c r="P362">
        <v>54.6</v>
      </c>
      <c r="Q362">
        <v>80.64</v>
      </c>
      <c r="R362">
        <v>44.377200000000002</v>
      </c>
      <c r="S362">
        <v>0.2</v>
      </c>
      <c r="T362">
        <v>0.02</v>
      </c>
      <c r="U362" s="8">
        <f>Table3[[#This Row],[PrimaNeta]]*Table3[[#This Row],[Comisión]]</f>
        <v>773.46752375999995</v>
      </c>
      <c r="V362" s="15">
        <f>Table3[[#This Row],[PrimaComercial Anual]]-Table3[[#This Row],[PrimaComercial Anual]]*SUM(Table3[[#This Row],[APS]:[IVA]])</f>
        <v>3867.3376187999997</v>
      </c>
      <c r="W362" s="2">
        <v>1.4800000000000001E-2</v>
      </c>
      <c r="X362" s="2">
        <v>8.4501000000000007E-2</v>
      </c>
      <c r="Y362">
        <v>0.03</v>
      </c>
      <c r="Z362">
        <v>0.13</v>
      </c>
      <c r="AA362" s="20">
        <f>Table3[[#This Row],[APS]]*Table3[[#This Row],[PrimaComercial Anual]]</f>
        <v>77.273759999999996</v>
      </c>
      <c r="AB362" s="8">
        <f>Table3[[#This Row],[PrimaComercial Anual]]*Table3[[#This Row],[Recargo adicional]]</f>
        <v>441.19662120000004</v>
      </c>
      <c r="AC362" s="8">
        <f>Table3[[#This Row],[PrimaComercial Anual]]*Table3[[#This Row],[IT]]</f>
        <v>156.636</v>
      </c>
      <c r="AD362" s="8">
        <f>Table3[[#This Row],[PrimaComercial Anual]]*Table3[[#This Row],[IVA]]</f>
        <v>678.75599999999997</v>
      </c>
      <c r="AE362" s="15">
        <f>Table3[[#This Row],[PrimaComercial Anual Asistencia]]</f>
        <v>5221.2</v>
      </c>
      <c r="AG362">
        <v>5221.2</v>
      </c>
    </row>
    <row r="363" spans="1:33" x14ac:dyDescent="0.25">
      <c r="A363" t="s">
        <v>18</v>
      </c>
      <c r="B363">
        <v>140000</v>
      </c>
      <c r="C363">
        <v>30</v>
      </c>
      <c r="D363" s="2">
        <f>Table3[[#This Row],[PrimaTécnica]]-Table3[[#This Row],[PrimaTécnica]]*SUM(Table3[[#This Row],[Gastos Adm]:[Cobranza]])</f>
        <v>2329.8485678207999</v>
      </c>
      <c r="E363">
        <v>0</v>
      </c>
      <c r="F363">
        <v>0.15</v>
      </c>
      <c r="G363">
        <v>0.05</v>
      </c>
      <c r="H363">
        <v>0.01</v>
      </c>
      <c r="I363">
        <v>0.01</v>
      </c>
      <c r="J363" s="8">
        <f>Table3[[#This Row],[PrimaTécnica]]*Table3[[#This Row],[Gastos Adm]]</f>
        <v>448.04780150400001</v>
      </c>
      <c r="K363" s="8">
        <f>Table3[[#This Row],[PrimaTécnica]]*Table3[[#This Row],[Utilidad]]</f>
        <v>149.34926716800001</v>
      </c>
      <c r="L363" s="8">
        <f>Table3[[#This Row],[PrimaTécnica]]*Table3[[#This Row],[Marketing]]</f>
        <v>29.869853433600003</v>
      </c>
      <c r="M363" s="8">
        <f>Table3[[#This Row],[PrimaTécnica]]*Table3[[#This Row],[Cobranza]]</f>
        <v>29.869853433600003</v>
      </c>
      <c r="N36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363">
        <v>21.84</v>
      </c>
      <c r="P363">
        <v>54.6</v>
      </c>
      <c r="Q363">
        <v>80.64</v>
      </c>
      <c r="R363">
        <v>44.377200000000002</v>
      </c>
      <c r="S363">
        <v>0.2</v>
      </c>
      <c r="T363">
        <v>0.02</v>
      </c>
      <c r="U363" s="8">
        <f>Table3[[#This Row],[PrimaNeta]]*Table3[[#This Row],[Comisión]]</f>
        <v>797.1106358400001</v>
      </c>
      <c r="V363" s="15">
        <f>Table3[[#This Row],[PrimaComercial Anual]]-Table3[[#This Row],[PrimaComercial Anual]]*SUM(Table3[[#This Row],[APS]:[IVA]])</f>
        <v>3985.5531792000002</v>
      </c>
      <c r="W363" s="2">
        <v>1.4800000000000001E-2</v>
      </c>
      <c r="X363" s="2">
        <v>8.4501000000000007E-2</v>
      </c>
      <c r="Y363">
        <v>0.03</v>
      </c>
      <c r="Z363">
        <v>0.13</v>
      </c>
      <c r="AA363" s="20">
        <f>Table3[[#This Row],[APS]]*Table3[[#This Row],[PrimaComercial Anual]]</f>
        <v>79.635840000000002</v>
      </c>
      <c r="AB363" s="8">
        <f>Table3[[#This Row],[PrimaComercial Anual]]*Table3[[#This Row],[Recargo adicional]]</f>
        <v>454.68298080000005</v>
      </c>
      <c r="AC363" s="8">
        <f>Table3[[#This Row],[PrimaComercial Anual]]*Table3[[#This Row],[IT]]</f>
        <v>161.42400000000001</v>
      </c>
      <c r="AD363" s="8">
        <f>Table3[[#This Row],[PrimaComercial Anual]]*Table3[[#This Row],[IVA]]</f>
        <v>699.50400000000002</v>
      </c>
      <c r="AE363" s="15">
        <f>Table3[[#This Row],[PrimaComercial Anual Asistencia]]</f>
        <v>5380.8</v>
      </c>
      <c r="AG363">
        <v>5380.8</v>
      </c>
    </row>
    <row r="364" spans="1:33" x14ac:dyDescent="0.25">
      <c r="A364" t="s">
        <v>18</v>
      </c>
      <c r="B364">
        <v>140000</v>
      </c>
      <c r="C364">
        <v>31</v>
      </c>
      <c r="D364" s="2">
        <f>Table3[[#This Row],[PrimaTécnica]]-Table3[[#This Row],[PrimaTécnica]]*SUM(Table3[[#This Row],[Gastos Adm]:[Cobranza]])</f>
        <v>2329.8485678207999</v>
      </c>
      <c r="E364">
        <v>0</v>
      </c>
      <c r="F364">
        <v>0.15</v>
      </c>
      <c r="G364">
        <v>0.05</v>
      </c>
      <c r="H364">
        <v>0.01</v>
      </c>
      <c r="I364">
        <v>0.01</v>
      </c>
      <c r="J364" s="8">
        <f>Table3[[#This Row],[PrimaTécnica]]*Table3[[#This Row],[Gastos Adm]]</f>
        <v>448.04780150400001</v>
      </c>
      <c r="K364" s="8">
        <f>Table3[[#This Row],[PrimaTécnica]]*Table3[[#This Row],[Utilidad]]</f>
        <v>149.34926716800001</v>
      </c>
      <c r="L364" s="8">
        <f>Table3[[#This Row],[PrimaTécnica]]*Table3[[#This Row],[Marketing]]</f>
        <v>29.869853433600003</v>
      </c>
      <c r="M364" s="8">
        <f>Table3[[#This Row],[PrimaTécnica]]*Table3[[#This Row],[Cobranza]]</f>
        <v>29.869853433600003</v>
      </c>
      <c r="N36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364">
        <v>21.84</v>
      </c>
      <c r="P364">
        <v>54.6</v>
      </c>
      <c r="Q364">
        <v>80.64</v>
      </c>
      <c r="R364">
        <v>44.377200000000002</v>
      </c>
      <c r="S364">
        <v>0.2</v>
      </c>
      <c r="T364">
        <v>0.02</v>
      </c>
      <c r="U364" s="8">
        <f>Table3[[#This Row],[PrimaNeta]]*Table3[[#This Row],[Comisión]]</f>
        <v>797.1106358400001</v>
      </c>
      <c r="V364" s="15">
        <f>Table3[[#This Row],[PrimaComercial Anual]]-Table3[[#This Row],[PrimaComercial Anual]]*SUM(Table3[[#This Row],[APS]:[IVA]])</f>
        <v>3985.5531792000002</v>
      </c>
      <c r="W364" s="2">
        <v>1.4800000000000001E-2</v>
      </c>
      <c r="X364" s="2">
        <v>8.4501000000000007E-2</v>
      </c>
      <c r="Y364">
        <v>0.03</v>
      </c>
      <c r="Z364">
        <v>0.13</v>
      </c>
      <c r="AA364" s="20">
        <f>Table3[[#This Row],[APS]]*Table3[[#This Row],[PrimaComercial Anual]]</f>
        <v>79.635840000000002</v>
      </c>
      <c r="AB364" s="8">
        <f>Table3[[#This Row],[PrimaComercial Anual]]*Table3[[#This Row],[Recargo adicional]]</f>
        <v>454.68298080000005</v>
      </c>
      <c r="AC364" s="8">
        <f>Table3[[#This Row],[PrimaComercial Anual]]*Table3[[#This Row],[IT]]</f>
        <v>161.42400000000001</v>
      </c>
      <c r="AD364" s="8">
        <f>Table3[[#This Row],[PrimaComercial Anual]]*Table3[[#This Row],[IVA]]</f>
        <v>699.50400000000002</v>
      </c>
      <c r="AE364" s="15">
        <f>Table3[[#This Row],[PrimaComercial Anual Asistencia]]</f>
        <v>5380.8</v>
      </c>
      <c r="AG364">
        <v>5380.8</v>
      </c>
    </row>
    <row r="365" spans="1:33" x14ac:dyDescent="0.25">
      <c r="A365" t="s">
        <v>18</v>
      </c>
      <c r="B365">
        <v>140000</v>
      </c>
      <c r="C365">
        <v>32</v>
      </c>
      <c r="D365" s="2">
        <f>Table3[[#This Row],[PrimaTécnica]]-Table3[[#This Row],[PrimaTécnica]]*SUM(Table3[[#This Row],[Gastos Adm]:[Cobranza]])</f>
        <v>2329.8485678207999</v>
      </c>
      <c r="E365">
        <v>0</v>
      </c>
      <c r="F365">
        <v>0.15</v>
      </c>
      <c r="G365">
        <v>0.05</v>
      </c>
      <c r="H365">
        <v>0.01</v>
      </c>
      <c r="I365">
        <v>0.01</v>
      </c>
      <c r="J365" s="8">
        <f>Table3[[#This Row],[PrimaTécnica]]*Table3[[#This Row],[Gastos Adm]]</f>
        <v>448.04780150400001</v>
      </c>
      <c r="K365" s="8">
        <f>Table3[[#This Row],[PrimaTécnica]]*Table3[[#This Row],[Utilidad]]</f>
        <v>149.34926716800001</v>
      </c>
      <c r="L365" s="8">
        <f>Table3[[#This Row],[PrimaTécnica]]*Table3[[#This Row],[Marketing]]</f>
        <v>29.869853433600003</v>
      </c>
      <c r="M365" s="8">
        <f>Table3[[#This Row],[PrimaTécnica]]*Table3[[#This Row],[Cobranza]]</f>
        <v>29.869853433600003</v>
      </c>
      <c r="N36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365">
        <v>21.84</v>
      </c>
      <c r="P365">
        <v>54.6</v>
      </c>
      <c r="Q365">
        <v>80.64</v>
      </c>
      <c r="R365">
        <v>44.377200000000002</v>
      </c>
      <c r="S365">
        <v>0.2</v>
      </c>
      <c r="T365">
        <v>0.02</v>
      </c>
      <c r="U365" s="8">
        <f>Table3[[#This Row],[PrimaNeta]]*Table3[[#This Row],[Comisión]]</f>
        <v>797.1106358400001</v>
      </c>
      <c r="V365" s="15">
        <f>Table3[[#This Row],[PrimaComercial Anual]]-Table3[[#This Row],[PrimaComercial Anual]]*SUM(Table3[[#This Row],[APS]:[IVA]])</f>
        <v>3985.5531792000002</v>
      </c>
      <c r="W365" s="2">
        <v>1.4800000000000001E-2</v>
      </c>
      <c r="X365" s="2">
        <v>8.4501000000000007E-2</v>
      </c>
      <c r="Y365">
        <v>0.03</v>
      </c>
      <c r="Z365">
        <v>0.13</v>
      </c>
      <c r="AA365" s="20">
        <f>Table3[[#This Row],[APS]]*Table3[[#This Row],[PrimaComercial Anual]]</f>
        <v>79.635840000000002</v>
      </c>
      <c r="AB365" s="8">
        <f>Table3[[#This Row],[PrimaComercial Anual]]*Table3[[#This Row],[Recargo adicional]]</f>
        <v>454.68298080000005</v>
      </c>
      <c r="AC365" s="8">
        <f>Table3[[#This Row],[PrimaComercial Anual]]*Table3[[#This Row],[IT]]</f>
        <v>161.42400000000001</v>
      </c>
      <c r="AD365" s="8">
        <f>Table3[[#This Row],[PrimaComercial Anual]]*Table3[[#This Row],[IVA]]</f>
        <v>699.50400000000002</v>
      </c>
      <c r="AE365" s="15">
        <f>Table3[[#This Row],[PrimaComercial Anual Asistencia]]</f>
        <v>5380.8</v>
      </c>
      <c r="AG365">
        <v>5380.8</v>
      </c>
    </row>
    <row r="366" spans="1:33" x14ac:dyDescent="0.25">
      <c r="A366" t="s">
        <v>18</v>
      </c>
      <c r="B366">
        <v>140000</v>
      </c>
      <c r="C366">
        <v>33</v>
      </c>
      <c r="D366" s="2">
        <f>Table3[[#This Row],[PrimaTécnica]]-Table3[[#This Row],[PrimaTécnica]]*SUM(Table3[[#This Row],[Gastos Adm]:[Cobranza]])</f>
        <v>2329.8485678207999</v>
      </c>
      <c r="E366">
        <v>0</v>
      </c>
      <c r="F366">
        <v>0.15</v>
      </c>
      <c r="G366">
        <v>0.05</v>
      </c>
      <c r="H366">
        <v>0.01</v>
      </c>
      <c r="I366">
        <v>0.01</v>
      </c>
      <c r="J366" s="8">
        <f>Table3[[#This Row],[PrimaTécnica]]*Table3[[#This Row],[Gastos Adm]]</f>
        <v>448.04780150400001</v>
      </c>
      <c r="K366" s="8">
        <f>Table3[[#This Row],[PrimaTécnica]]*Table3[[#This Row],[Utilidad]]</f>
        <v>149.34926716800001</v>
      </c>
      <c r="L366" s="8">
        <f>Table3[[#This Row],[PrimaTécnica]]*Table3[[#This Row],[Marketing]]</f>
        <v>29.869853433600003</v>
      </c>
      <c r="M366" s="8">
        <f>Table3[[#This Row],[PrimaTécnica]]*Table3[[#This Row],[Cobranza]]</f>
        <v>29.869853433600003</v>
      </c>
      <c r="N36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366">
        <v>21.84</v>
      </c>
      <c r="P366">
        <v>54.6</v>
      </c>
      <c r="Q366">
        <v>80.64</v>
      </c>
      <c r="R366">
        <v>44.377200000000002</v>
      </c>
      <c r="S366">
        <v>0.2</v>
      </c>
      <c r="T366">
        <v>0.02</v>
      </c>
      <c r="U366" s="8">
        <f>Table3[[#This Row],[PrimaNeta]]*Table3[[#This Row],[Comisión]]</f>
        <v>797.1106358400001</v>
      </c>
      <c r="V366" s="15">
        <f>Table3[[#This Row],[PrimaComercial Anual]]-Table3[[#This Row],[PrimaComercial Anual]]*SUM(Table3[[#This Row],[APS]:[IVA]])</f>
        <v>3985.5531792000002</v>
      </c>
      <c r="W366" s="2">
        <v>1.4800000000000001E-2</v>
      </c>
      <c r="X366" s="2">
        <v>8.4501000000000007E-2</v>
      </c>
      <c r="Y366">
        <v>0.03</v>
      </c>
      <c r="Z366">
        <v>0.13</v>
      </c>
      <c r="AA366" s="20">
        <f>Table3[[#This Row],[APS]]*Table3[[#This Row],[PrimaComercial Anual]]</f>
        <v>79.635840000000002</v>
      </c>
      <c r="AB366" s="8">
        <f>Table3[[#This Row],[PrimaComercial Anual]]*Table3[[#This Row],[Recargo adicional]]</f>
        <v>454.68298080000005</v>
      </c>
      <c r="AC366" s="8">
        <f>Table3[[#This Row],[PrimaComercial Anual]]*Table3[[#This Row],[IT]]</f>
        <v>161.42400000000001</v>
      </c>
      <c r="AD366" s="8">
        <f>Table3[[#This Row],[PrimaComercial Anual]]*Table3[[#This Row],[IVA]]</f>
        <v>699.50400000000002</v>
      </c>
      <c r="AE366" s="15">
        <f>Table3[[#This Row],[PrimaComercial Anual Asistencia]]</f>
        <v>5380.8</v>
      </c>
      <c r="AG366">
        <v>5380.8</v>
      </c>
    </row>
    <row r="367" spans="1:33" x14ac:dyDescent="0.25">
      <c r="A367" t="s">
        <v>18</v>
      </c>
      <c r="B367">
        <v>140000</v>
      </c>
      <c r="C367">
        <v>34</v>
      </c>
      <c r="D367" s="2">
        <f>Table3[[#This Row],[PrimaTécnica]]-Table3[[#This Row],[PrimaTécnica]]*SUM(Table3[[#This Row],[Gastos Adm]:[Cobranza]])</f>
        <v>2329.8485678207999</v>
      </c>
      <c r="E367">
        <v>0</v>
      </c>
      <c r="F367">
        <v>0.15</v>
      </c>
      <c r="G367">
        <v>0.05</v>
      </c>
      <c r="H367">
        <v>0.01</v>
      </c>
      <c r="I367">
        <v>0.01</v>
      </c>
      <c r="J367" s="8">
        <f>Table3[[#This Row],[PrimaTécnica]]*Table3[[#This Row],[Gastos Adm]]</f>
        <v>448.04780150400001</v>
      </c>
      <c r="K367" s="8">
        <f>Table3[[#This Row],[PrimaTécnica]]*Table3[[#This Row],[Utilidad]]</f>
        <v>149.34926716800001</v>
      </c>
      <c r="L367" s="8">
        <f>Table3[[#This Row],[PrimaTécnica]]*Table3[[#This Row],[Marketing]]</f>
        <v>29.869853433600003</v>
      </c>
      <c r="M367" s="8">
        <f>Table3[[#This Row],[PrimaTécnica]]*Table3[[#This Row],[Cobranza]]</f>
        <v>29.869853433600003</v>
      </c>
      <c r="N36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367">
        <v>21.84</v>
      </c>
      <c r="P367">
        <v>54.6</v>
      </c>
      <c r="Q367">
        <v>80.64</v>
      </c>
      <c r="R367">
        <v>44.377200000000002</v>
      </c>
      <c r="S367">
        <v>0.2</v>
      </c>
      <c r="T367">
        <v>0.02</v>
      </c>
      <c r="U367" s="8">
        <f>Table3[[#This Row],[PrimaNeta]]*Table3[[#This Row],[Comisión]]</f>
        <v>797.1106358400001</v>
      </c>
      <c r="V367" s="15">
        <f>Table3[[#This Row],[PrimaComercial Anual]]-Table3[[#This Row],[PrimaComercial Anual]]*SUM(Table3[[#This Row],[APS]:[IVA]])</f>
        <v>3985.5531792000002</v>
      </c>
      <c r="W367" s="2">
        <v>1.4800000000000001E-2</v>
      </c>
      <c r="X367" s="2">
        <v>8.4501000000000007E-2</v>
      </c>
      <c r="Y367">
        <v>0.03</v>
      </c>
      <c r="Z367">
        <v>0.13</v>
      </c>
      <c r="AA367" s="20">
        <f>Table3[[#This Row],[APS]]*Table3[[#This Row],[PrimaComercial Anual]]</f>
        <v>79.635840000000002</v>
      </c>
      <c r="AB367" s="8">
        <f>Table3[[#This Row],[PrimaComercial Anual]]*Table3[[#This Row],[Recargo adicional]]</f>
        <v>454.68298080000005</v>
      </c>
      <c r="AC367" s="8">
        <f>Table3[[#This Row],[PrimaComercial Anual]]*Table3[[#This Row],[IT]]</f>
        <v>161.42400000000001</v>
      </c>
      <c r="AD367" s="8">
        <f>Table3[[#This Row],[PrimaComercial Anual]]*Table3[[#This Row],[IVA]]</f>
        <v>699.50400000000002</v>
      </c>
      <c r="AE367" s="15">
        <f>Table3[[#This Row],[PrimaComercial Anual Asistencia]]</f>
        <v>5380.8</v>
      </c>
      <c r="AG367">
        <v>5380.8</v>
      </c>
    </row>
    <row r="368" spans="1:33" x14ac:dyDescent="0.25">
      <c r="A368" t="s">
        <v>18</v>
      </c>
      <c r="B368">
        <v>140000</v>
      </c>
      <c r="C368">
        <v>35</v>
      </c>
      <c r="D368" s="2">
        <f>Table3[[#This Row],[PrimaTécnica]]-Table3[[#This Row],[PrimaTécnica]]*SUM(Table3[[#This Row],[Gastos Adm]:[Cobranza]])</f>
        <v>2329.8485678207999</v>
      </c>
      <c r="E368">
        <v>0</v>
      </c>
      <c r="F368">
        <v>0.15</v>
      </c>
      <c r="G368">
        <v>0.05</v>
      </c>
      <c r="H368">
        <v>0.01</v>
      </c>
      <c r="I368">
        <v>0.01</v>
      </c>
      <c r="J368" s="8">
        <f>Table3[[#This Row],[PrimaTécnica]]*Table3[[#This Row],[Gastos Adm]]</f>
        <v>448.04780150400001</v>
      </c>
      <c r="K368" s="8">
        <f>Table3[[#This Row],[PrimaTécnica]]*Table3[[#This Row],[Utilidad]]</f>
        <v>149.34926716800001</v>
      </c>
      <c r="L368" s="8">
        <f>Table3[[#This Row],[PrimaTécnica]]*Table3[[#This Row],[Marketing]]</f>
        <v>29.869853433600003</v>
      </c>
      <c r="M368" s="8">
        <f>Table3[[#This Row],[PrimaTécnica]]*Table3[[#This Row],[Cobranza]]</f>
        <v>29.869853433600003</v>
      </c>
      <c r="N36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368">
        <v>21.84</v>
      </c>
      <c r="P368">
        <v>54.6</v>
      </c>
      <c r="Q368">
        <v>80.64</v>
      </c>
      <c r="R368">
        <v>44.377200000000002</v>
      </c>
      <c r="S368">
        <v>0.2</v>
      </c>
      <c r="T368">
        <v>0.02</v>
      </c>
      <c r="U368" s="8">
        <f>Table3[[#This Row],[PrimaNeta]]*Table3[[#This Row],[Comisión]]</f>
        <v>797.1106358400001</v>
      </c>
      <c r="V368" s="15">
        <f>Table3[[#This Row],[PrimaComercial Anual]]-Table3[[#This Row],[PrimaComercial Anual]]*SUM(Table3[[#This Row],[APS]:[IVA]])</f>
        <v>3985.5531792000002</v>
      </c>
      <c r="W368" s="2">
        <v>1.4800000000000001E-2</v>
      </c>
      <c r="X368" s="2">
        <v>8.4501000000000007E-2</v>
      </c>
      <c r="Y368">
        <v>0.03</v>
      </c>
      <c r="Z368">
        <v>0.13</v>
      </c>
      <c r="AA368" s="20">
        <f>Table3[[#This Row],[APS]]*Table3[[#This Row],[PrimaComercial Anual]]</f>
        <v>79.635840000000002</v>
      </c>
      <c r="AB368" s="8">
        <f>Table3[[#This Row],[PrimaComercial Anual]]*Table3[[#This Row],[Recargo adicional]]</f>
        <v>454.68298080000005</v>
      </c>
      <c r="AC368" s="8">
        <f>Table3[[#This Row],[PrimaComercial Anual]]*Table3[[#This Row],[IT]]</f>
        <v>161.42400000000001</v>
      </c>
      <c r="AD368" s="8">
        <f>Table3[[#This Row],[PrimaComercial Anual]]*Table3[[#This Row],[IVA]]</f>
        <v>699.50400000000002</v>
      </c>
      <c r="AE368" s="15">
        <f>Table3[[#This Row],[PrimaComercial Anual Asistencia]]</f>
        <v>5380.8</v>
      </c>
      <c r="AG368">
        <v>5380.8</v>
      </c>
    </row>
    <row r="369" spans="1:33" x14ac:dyDescent="0.25">
      <c r="A369" t="s">
        <v>18</v>
      </c>
      <c r="B369">
        <v>140000</v>
      </c>
      <c r="C369">
        <v>36</v>
      </c>
      <c r="D369" s="2">
        <f>Table3[[#This Row],[PrimaTécnica]]-Table3[[#This Row],[PrimaTécnica]]*SUM(Table3[[#This Row],[Gastos Adm]:[Cobranza]])</f>
        <v>2329.8485678207999</v>
      </c>
      <c r="E369">
        <v>0</v>
      </c>
      <c r="F369">
        <v>0.15</v>
      </c>
      <c r="G369">
        <v>0.05</v>
      </c>
      <c r="H369">
        <v>0.01</v>
      </c>
      <c r="I369">
        <v>0.01</v>
      </c>
      <c r="J369" s="8">
        <f>Table3[[#This Row],[PrimaTécnica]]*Table3[[#This Row],[Gastos Adm]]</f>
        <v>448.04780150400001</v>
      </c>
      <c r="K369" s="8">
        <f>Table3[[#This Row],[PrimaTécnica]]*Table3[[#This Row],[Utilidad]]</f>
        <v>149.34926716800001</v>
      </c>
      <c r="L369" s="8">
        <f>Table3[[#This Row],[PrimaTécnica]]*Table3[[#This Row],[Marketing]]</f>
        <v>29.869853433600003</v>
      </c>
      <c r="M369" s="8">
        <f>Table3[[#This Row],[PrimaTécnica]]*Table3[[#This Row],[Cobranza]]</f>
        <v>29.869853433600003</v>
      </c>
      <c r="N36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369">
        <v>21.84</v>
      </c>
      <c r="P369">
        <v>54.6</v>
      </c>
      <c r="Q369">
        <v>80.64</v>
      </c>
      <c r="R369">
        <v>44.377200000000002</v>
      </c>
      <c r="S369">
        <v>0.2</v>
      </c>
      <c r="T369">
        <v>0.02</v>
      </c>
      <c r="U369" s="8">
        <f>Table3[[#This Row],[PrimaNeta]]*Table3[[#This Row],[Comisión]]</f>
        <v>797.1106358400001</v>
      </c>
      <c r="V369" s="15">
        <f>Table3[[#This Row],[PrimaComercial Anual]]-Table3[[#This Row],[PrimaComercial Anual]]*SUM(Table3[[#This Row],[APS]:[IVA]])</f>
        <v>3985.5531792000002</v>
      </c>
      <c r="W369" s="2">
        <v>1.4800000000000001E-2</v>
      </c>
      <c r="X369" s="2">
        <v>8.4501000000000007E-2</v>
      </c>
      <c r="Y369">
        <v>0.03</v>
      </c>
      <c r="Z369">
        <v>0.13</v>
      </c>
      <c r="AA369" s="20">
        <f>Table3[[#This Row],[APS]]*Table3[[#This Row],[PrimaComercial Anual]]</f>
        <v>79.635840000000002</v>
      </c>
      <c r="AB369" s="8">
        <f>Table3[[#This Row],[PrimaComercial Anual]]*Table3[[#This Row],[Recargo adicional]]</f>
        <v>454.68298080000005</v>
      </c>
      <c r="AC369" s="8">
        <f>Table3[[#This Row],[PrimaComercial Anual]]*Table3[[#This Row],[IT]]</f>
        <v>161.42400000000001</v>
      </c>
      <c r="AD369" s="8">
        <f>Table3[[#This Row],[PrimaComercial Anual]]*Table3[[#This Row],[IVA]]</f>
        <v>699.50400000000002</v>
      </c>
      <c r="AE369" s="15">
        <f>Table3[[#This Row],[PrimaComercial Anual Asistencia]]</f>
        <v>5380.8</v>
      </c>
      <c r="AG369">
        <v>5380.8</v>
      </c>
    </row>
    <row r="370" spans="1:33" x14ac:dyDescent="0.25">
      <c r="A370" t="s">
        <v>18</v>
      </c>
      <c r="B370">
        <v>140000</v>
      </c>
      <c r="C370">
        <v>37</v>
      </c>
      <c r="D370" s="2">
        <f>Table3[[#This Row],[PrimaTécnica]]-Table3[[#This Row],[PrimaTécnica]]*SUM(Table3[[#This Row],[Gastos Adm]:[Cobranza]])</f>
        <v>2329.8485678207999</v>
      </c>
      <c r="E370">
        <v>0</v>
      </c>
      <c r="F370">
        <v>0.15</v>
      </c>
      <c r="G370">
        <v>0.05</v>
      </c>
      <c r="H370">
        <v>0.01</v>
      </c>
      <c r="I370">
        <v>0.01</v>
      </c>
      <c r="J370" s="8">
        <f>Table3[[#This Row],[PrimaTécnica]]*Table3[[#This Row],[Gastos Adm]]</f>
        <v>448.04780150400001</v>
      </c>
      <c r="K370" s="8">
        <f>Table3[[#This Row],[PrimaTécnica]]*Table3[[#This Row],[Utilidad]]</f>
        <v>149.34926716800001</v>
      </c>
      <c r="L370" s="8">
        <f>Table3[[#This Row],[PrimaTécnica]]*Table3[[#This Row],[Marketing]]</f>
        <v>29.869853433600003</v>
      </c>
      <c r="M370" s="8">
        <f>Table3[[#This Row],[PrimaTécnica]]*Table3[[#This Row],[Cobranza]]</f>
        <v>29.869853433600003</v>
      </c>
      <c r="N37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370">
        <v>21.84</v>
      </c>
      <c r="P370">
        <v>54.6</v>
      </c>
      <c r="Q370">
        <v>80.64</v>
      </c>
      <c r="R370">
        <v>44.377200000000002</v>
      </c>
      <c r="S370">
        <v>0.2</v>
      </c>
      <c r="T370">
        <v>0.02</v>
      </c>
      <c r="U370" s="8">
        <f>Table3[[#This Row],[PrimaNeta]]*Table3[[#This Row],[Comisión]]</f>
        <v>797.1106358400001</v>
      </c>
      <c r="V370" s="15">
        <f>Table3[[#This Row],[PrimaComercial Anual]]-Table3[[#This Row],[PrimaComercial Anual]]*SUM(Table3[[#This Row],[APS]:[IVA]])</f>
        <v>3985.5531792000002</v>
      </c>
      <c r="W370" s="2">
        <v>1.4800000000000001E-2</v>
      </c>
      <c r="X370" s="2">
        <v>8.4501000000000007E-2</v>
      </c>
      <c r="Y370">
        <v>0.03</v>
      </c>
      <c r="Z370">
        <v>0.13</v>
      </c>
      <c r="AA370" s="20">
        <f>Table3[[#This Row],[APS]]*Table3[[#This Row],[PrimaComercial Anual]]</f>
        <v>79.635840000000002</v>
      </c>
      <c r="AB370" s="8">
        <f>Table3[[#This Row],[PrimaComercial Anual]]*Table3[[#This Row],[Recargo adicional]]</f>
        <v>454.68298080000005</v>
      </c>
      <c r="AC370" s="8">
        <f>Table3[[#This Row],[PrimaComercial Anual]]*Table3[[#This Row],[IT]]</f>
        <v>161.42400000000001</v>
      </c>
      <c r="AD370" s="8">
        <f>Table3[[#This Row],[PrimaComercial Anual]]*Table3[[#This Row],[IVA]]</f>
        <v>699.50400000000002</v>
      </c>
      <c r="AE370" s="15">
        <f>Table3[[#This Row],[PrimaComercial Anual Asistencia]]</f>
        <v>5380.8</v>
      </c>
      <c r="AG370">
        <v>5380.8</v>
      </c>
    </row>
    <row r="371" spans="1:33" x14ac:dyDescent="0.25">
      <c r="A371" t="s">
        <v>18</v>
      </c>
      <c r="B371">
        <v>140000</v>
      </c>
      <c r="C371">
        <v>38</v>
      </c>
      <c r="D371" s="2">
        <f>Table3[[#This Row],[PrimaTécnica]]-Table3[[#This Row],[PrimaTécnica]]*SUM(Table3[[#This Row],[Gastos Adm]:[Cobranza]])</f>
        <v>2329.8485678207999</v>
      </c>
      <c r="E371">
        <v>0</v>
      </c>
      <c r="F371">
        <v>0.15</v>
      </c>
      <c r="G371">
        <v>0.05</v>
      </c>
      <c r="H371">
        <v>0.01</v>
      </c>
      <c r="I371">
        <v>0.01</v>
      </c>
      <c r="J371" s="8">
        <f>Table3[[#This Row],[PrimaTécnica]]*Table3[[#This Row],[Gastos Adm]]</f>
        <v>448.04780150400001</v>
      </c>
      <c r="K371" s="8">
        <f>Table3[[#This Row],[PrimaTécnica]]*Table3[[#This Row],[Utilidad]]</f>
        <v>149.34926716800001</v>
      </c>
      <c r="L371" s="8">
        <f>Table3[[#This Row],[PrimaTécnica]]*Table3[[#This Row],[Marketing]]</f>
        <v>29.869853433600003</v>
      </c>
      <c r="M371" s="8">
        <f>Table3[[#This Row],[PrimaTécnica]]*Table3[[#This Row],[Cobranza]]</f>
        <v>29.869853433600003</v>
      </c>
      <c r="N37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371">
        <v>21.84</v>
      </c>
      <c r="P371">
        <v>54.6</v>
      </c>
      <c r="Q371">
        <v>80.64</v>
      </c>
      <c r="R371">
        <v>44.377200000000002</v>
      </c>
      <c r="S371">
        <v>0.2</v>
      </c>
      <c r="T371">
        <v>0.02</v>
      </c>
      <c r="U371" s="8">
        <f>Table3[[#This Row],[PrimaNeta]]*Table3[[#This Row],[Comisión]]</f>
        <v>797.1106358400001</v>
      </c>
      <c r="V371" s="15">
        <f>Table3[[#This Row],[PrimaComercial Anual]]-Table3[[#This Row],[PrimaComercial Anual]]*SUM(Table3[[#This Row],[APS]:[IVA]])</f>
        <v>3985.5531792000002</v>
      </c>
      <c r="W371" s="2">
        <v>1.4800000000000001E-2</v>
      </c>
      <c r="X371" s="2">
        <v>8.4501000000000007E-2</v>
      </c>
      <c r="Y371">
        <v>0.03</v>
      </c>
      <c r="Z371">
        <v>0.13</v>
      </c>
      <c r="AA371" s="20">
        <f>Table3[[#This Row],[APS]]*Table3[[#This Row],[PrimaComercial Anual]]</f>
        <v>79.635840000000002</v>
      </c>
      <c r="AB371" s="8">
        <f>Table3[[#This Row],[PrimaComercial Anual]]*Table3[[#This Row],[Recargo adicional]]</f>
        <v>454.68298080000005</v>
      </c>
      <c r="AC371" s="8">
        <f>Table3[[#This Row],[PrimaComercial Anual]]*Table3[[#This Row],[IT]]</f>
        <v>161.42400000000001</v>
      </c>
      <c r="AD371" s="8">
        <f>Table3[[#This Row],[PrimaComercial Anual]]*Table3[[#This Row],[IVA]]</f>
        <v>699.50400000000002</v>
      </c>
      <c r="AE371" s="15">
        <f>Table3[[#This Row],[PrimaComercial Anual Asistencia]]</f>
        <v>5380.8</v>
      </c>
      <c r="AG371">
        <v>5380.8</v>
      </c>
    </row>
    <row r="372" spans="1:33" x14ac:dyDescent="0.25">
      <c r="A372" t="s">
        <v>18</v>
      </c>
      <c r="B372">
        <v>140000</v>
      </c>
      <c r="C372">
        <v>39</v>
      </c>
      <c r="D372" s="2">
        <f>Table3[[#This Row],[PrimaTécnica]]-Table3[[#This Row],[PrimaTécnica]]*SUM(Table3[[#This Row],[Gastos Adm]:[Cobranza]])</f>
        <v>2329.8485678207999</v>
      </c>
      <c r="E372">
        <v>0</v>
      </c>
      <c r="F372">
        <v>0.15</v>
      </c>
      <c r="G372">
        <v>0.05</v>
      </c>
      <c r="H372">
        <v>0.01</v>
      </c>
      <c r="I372">
        <v>0.01</v>
      </c>
      <c r="J372" s="8">
        <f>Table3[[#This Row],[PrimaTécnica]]*Table3[[#This Row],[Gastos Adm]]</f>
        <v>448.04780150400001</v>
      </c>
      <c r="K372" s="8">
        <f>Table3[[#This Row],[PrimaTécnica]]*Table3[[#This Row],[Utilidad]]</f>
        <v>149.34926716800001</v>
      </c>
      <c r="L372" s="8">
        <f>Table3[[#This Row],[PrimaTécnica]]*Table3[[#This Row],[Marketing]]</f>
        <v>29.869853433600003</v>
      </c>
      <c r="M372" s="8">
        <f>Table3[[#This Row],[PrimaTécnica]]*Table3[[#This Row],[Cobranza]]</f>
        <v>29.869853433600003</v>
      </c>
      <c r="N37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372">
        <v>21.84</v>
      </c>
      <c r="P372">
        <v>54.6</v>
      </c>
      <c r="Q372">
        <v>80.64</v>
      </c>
      <c r="R372">
        <v>44.377200000000002</v>
      </c>
      <c r="S372">
        <v>0.2</v>
      </c>
      <c r="T372">
        <v>0.02</v>
      </c>
      <c r="U372" s="8">
        <f>Table3[[#This Row],[PrimaNeta]]*Table3[[#This Row],[Comisión]]</f>
        <v>797.1106358400001</v>
      </c>
      <c r="V372" s="15">
        <f>Table3[[#This Row],[PrimaComercial Anual]]-Table3[[#This Row],[PrimaComercial Anual]]*SUM(Table3[[#This Row],[APS]:[IVA]])</f>
        <v>3985.5531792000002</v>
      </c>
      <c r="W372" s="2">
        <v>1.4800000000000001E-2</v>
      </c>
      <c r="X372" s="2">
        <v>8.4501000000000007E-2</v>
      </c>
      <c r="Y372">
        <v>0.03</v>
      </c>
      <c r="Z372">
        <v>0.13</v>
      </c>
      <c r="AA372" s="20">
        <f>Table3[[#This Row],[APS]]*Table3[[#This Row],[PrimaComercial Anual]]</f>
        <v>79.635840000000002</v>
      </c>
      <c r="AB372" s="8">
        <f>Table3[[#This Row],[PrimaComercial Anual]]*Table3[[#This Row],[Recargo adicional]]</f>
        <v>454.68298080000005</v>
      </c>
      <c r="AC372" s="8">
        <f>Table3[[#This Row],[PrimaComercial Anual]]*Table3[[#This Row],[IT]]</f>
        <v>161.42400000000001</v>
      </c>
      <c r="AD372" s="8">
        <f>Table3[[#This Row],[PrimaComercial Anual]]*Table3[[#This Row],[IVA]]</f>
        <v>699.50400000000002</v>
      </c>
      <c r="AE372" s="15">
        <f>Table3[[#This Row],[PrimaComercial Anual Asistencia]]</f>
        <v>5380.8</v>
      </c>
      <c r="AG372">
        <v>5380.8</v>
      </c>
    </row>
    <row r="373" spans="1:33" x14ac:dyDescent="0.25">
      <c r="A373" t="s">
        <v>18</v>
      </c>
      <c r="B373">
        <v>140000</v>
      </c>
      <c r="C373">
        <v>40</v>
      </c>
      <c r="D373" s="2">
        <f>Table3[[#This Row],[PrimaTécnica]]-Table3[[#This Row],[PrimaTécnica]]*SUM(Table3[[#This Row],[Gastos Adm]:[Cobranza]])</f>
        <v>3362.5797034751986</v>
      </c>
      <c r="E373">
        <v>0</v>
      </c>
      <c r="F373">
        <v>0.15</v>
      </c>
      <c r="G373">
        <v>0.05</v>
      </c>
      <c r="H373">
        <v>0.01</v>
      </c>
      <c r="I373">
        <v>0.01</v>
      </c>
      <c r="J373" s="8">
        <f>Table3[[#This Row],[PrimaTécnica]]*Table3[[#This Row],[Gastos Adm]]</f>
        <v>646.64994297599981</v>
      </c>
      <c r="K373" s="8">
        <f>Table3[[#This Row],[PrimaTécnica]]*Table3[[#This Row],[Utilidad]]</f>
        <v>215.54998099199994</v>
      </c>
      <c r="L373" s="8">
        <f>Table3[[#This Row],[PrimaTécnica]]*Table3[[#This Row],[Marketing]]</f>
        <v>43.109996198399983</v>
      </c>
      <c r="M373" s="8">
        <f>Table3[[#This Row],[PrimaTécnica]]*Table3[[#This Row],[Cobranza]]</f>
        <v>43.109996198399983</v>
      </c>
      <c r="N37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4310.9996198399986</v>
      </c>
      <c r="O373">
        <v>21.84</v>
      </c>
      <c r="P373">
        <v>54.6</v>
      </c>
      <c r="Q373">
        <v>80.64</v>
      </c>
      <c r="R373">
        <v>44.377200000000002</v>
      </c>
      <c r="S373">
        <v>0.2</v>
      </c>
      <c r="T373">
        <v>0.02</v>
      </c>
      <c r="U373" s="8">
        <f>Table3[[#This Row],[PrimaNeta]]*Table3[[#This Row],[Comisión]]</f>
        <v>1128.1142049600001</v>
      </c>
      <c r="V373" s="15">
        <f>Table3[[#This Row],[PrimaComercial Anual]]-Table3[[#This Row],[PrimaComercial Anual]]*SUM(Table3[[#This Row],[APS]:[IVA]])</f>
        <v>5640.5710247999996</v>
      </c>
      <c r="W373" s="2">
        <v>1.4800000000000001E-2</v>
      </c>
      <c r="X373" s="2">
        <v>8.4501000000000007E-2</v>
      </c>
      <c r="Y373">
        <v>0.03</v>
      </c>
      <c r="Z373">
        <v>0.13</v>
      </c>
      <c r="AA373" s="20">
        <f>Table3[[#This Row],[APS]]*Table3[[#This Row],[PrimaComercial Anual]]</f>
        <v>112.70496</v>
      </c>
      <c r="AB373" s="8">
        <f>Table3[[#This Row],[PrimaComercial Anual]]*Table3[[#This Row],[Recargo adicional]]</f>
        <v>643.49201520000008</v>
      </c>
      <c r="AC373" s="8">
        <f>Table3[[#This Row],[PrimaComercial Anual]]*Table3[[#This Row],[IT]]</f>
        <v>228.45599999999999</v>
      </c>
      <c r="AD373" s="8">
        <f>Table3[[#This Row],[PrimaComercial Anual]]*Table3[[#This Row],[IVA]]</f>
        <v>989.976</v>
      </c>
      <c r="AE373" s="15">
        <f>Table3[[#This Row],[PrimaComercial Anual Asistencia]]</f>
        <v>7615.2</v>
      </c>
      <c r="AG373">
        <v>7615.2</v>
      </c>
    </row>
    <row r="374" spans="1:33" x14ac:dyDescent="0.25">
      <c r="A374" t="s">
        <v>18</v>
      </c>
      <c r="B374">
        <v>140000</v>
      </c>
      <c r="C374">
        <v>41</v>
      </c>
      <c r="D374" s="2">
        <f>Table3[[#This Row],[PrimaTécnica]]-Table3[[#This Row],[PrimaTécnica]]*SUM(Table3[[#This Row],[Gastos Adm]:[Cobranza]])</f>
        <v>3362.5797034751986</v>
      </c>
      <c r="E374">
        <v>0</v>
      </c>
      <c r="F374">
        <v>0.15</v>
      </c>
      <c r="G374">
        <v>0.05</v>
      </c>
      <c r="H374">
        <v>0.01</v>
      </c>
      <c r="I374">
        <v>0.01</v>
      </c>
      <c r="J374" s="8">
        <f>Table3[[#This Row],[PrimaTécnica]]*Table3[[#This Row],[Gastos Adm]]</f>
        <v>646.64994297599981</v>
      </c>
      <c r="K374" s="8">
        <f>Table3[[#This Row],[PrimaTécnica]]*Table3[[#This Row],[Utilidad]]</f>
        <v>215.54998099199994</v>
      </c>
      <c r="L374" s="8">
        <f>Table3[[#This Row],[PrimaTécnica]]*Table3[[#This Row],[Marketing]]</f>
        <v>43.109996198399983</v>
      </c>
      <c r="M374" s="8">
        <f>Table3[[#This Row],[PrimaTécnica]]*Table3[[#This Row],[Cobranza]]</f>
        <v>43.109996198399983</v>
      </c>
      <c r="N37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4310.9996198399986</v>
      </c>
      <c r="O374">
        <v>21.84</v>
      </c>
      <c r="P374">
        <v>54.6</v>
      </c>
      <c r="Q374">
        <v>80.64</v>
      </c>
      <c r="R374">
        <v>44.377200000000002</v>
      </c>
      <c r="S374">
        <v>0.2</v>
      </c>
      <c r="T374">
        <v>0.02</v>
      </c>
      <c r="U374" s="8">
        <f>Table3[[#This Row],[PrimaNeta]]*Table3[[#This Row],[Comisión]]</f>
        <v>1128.1142049600001</v>
      </c>
      <c r="V374" s="15">
        <f>Table3[[#This Row],[PrimaComercial Anual]]-Table3[[#This Row],[PrimaComercial Anual]]*SUM(Table3[[#This Row],[APS]:[IVA]])</f>
        <v>5640.5710247999996</v>
      </c>
      <c r="W374" s="2">
        <v>1.4800000000000001E-2</v>
      </c>
      <c r="X374" s="2">
        <v>8.4501000000000007E-2</v>
      </c>
      <c r="Y374">
        <v>0.03</v>
      </c>
      <c r="Z374">
        <v>0.13</v>
      </c>
      <c r="AA374" s="20">
        <f>Table3[[#This Row],[APS]]*Table3[[#This Row],[PrimaComercial Anual]]</f>
        <v>112.70496</v>
      </c>
      <c r="AB374" s="8">
        <f>Table3[[#This Row],[PrimaComercial Anual]]*Table3[[#This Row],[Recargo adicional]]</f>
        <v>643.49201520000008</v>
      </c>
      <c r="AC374" s="8">
        <f>Table3[[#This Row],[PrimaComercial Anual]]*Table3[[#This Row],[IT]]</f>
        <v>228.45599999999999</v>
      </c>
      <c r="AD374" s="8">
        <f>Table3[[#This Row],[PrimaComercial Anual]]*Table3[[#This Row],[IVA]]</f>
        <v>989.976</v>
      </c>
      <c r="AE374" s="15">
        <f>Table3[[#This Row],[PrimaComercial Anual Asistencia]]</f>
        <v>7615.2</v>
      </c>
      <c r="AG374">
        <v>7615.2</v>
      </c>
    </row>
    <row r="375" spans="1:33" x14ac:dyDescent="0.25">
      <c r="A375" t="s">
        <v>18</v>
      </c>
      <c r="B375">
        <v>140000</v>
      </c>
      <c r="C375">
        <v>42</v>
      </c>
      <c r="D375" s="2">
        <f>Table3[[#This Row],[PrimaTécnica]]-Table3[[#This Row],[PrimaTécnica]]*SUM(Table3[[#This Row],[Gastos Adm]:[Cobranza]])</f>
        <v>3362.5797034751986</v>
      </c>
      <c r="E375">
        <v>0</v>
      </c>
      <c r="F375">
        <v>0.15</v>
      </c>
      <c r="G375">
        <v>0.05</v>
      </c>
      <c r="H375">
        <v>0.01</v>
      </c>
      <c r="I375">
        <v>0.01</v>
      </c>
      <c r="J375" s="8">
        <f>Table3[[#This Row],[PrimaTécnica]]*Table3[[#This Row],[Gastos Adm]]</f>
        <v>646.64994297599981</v>
      </c>
      <c r="K375" s="8">
        <f>Table3[[#This Row],[PrimaTécnica]]*Table3[[#This Row],[Utilidad]]</f>
        <v>215.54998099199994</v>
      </c>
      <c r="L375" s="8">
        <f>Table3[[#This Row],[PrimaTécnica]]*Table3[[#This Row],[Marketing]]</f>
        <v>43.109996198399983</v>
      </c>
      <c r="M375" s="8">
        <f>Table3[[#This Row],[PrimaTécnica]]*Table3[[#This Row],[Cobranza]]</f>
        <v>43.109996198399983</v>
      </c>
      <c r="N37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4310.9996198399986</v>
      </c>
      <c r="O375">
        <v>21.84</v>
      </c>
      <c r="P375">
        <v>54.6</v>
      </c>
      <c r="Q375">
        <v>80.64</v>
      </c>
      <c r="R375">
        <v>44.377200000000002</v>
      </c>
      <c r="S375">
        <v>0.2</v>
      </c>
      <c r="T375">
        <v>0.02</v>
      </c>
      <c r="U375" s="8">
        <f>Table3[[#This Row],[PrimaNeta]]*Table3[[#This Row],[Comisión]]</f>
        <v>1128.1142049600001</v>
      </c>
      <c r="V375" s="15">
        <f>Table3[[#This Row],[PrimaComercial Anual]]-Table3[[#This Row],[PrimaComercial Anual]]*SUM(Table3[[#This Row],[APS]:[IVA]])</f>
        <v>5640.5710247999996</v>
      </c>
      <c r="W375" s="2">
        <v>1.4800000000000001E-2</v>
      </c>
      <c r="X375" s="2">
        <v>8.4501000000000007E-2</v>
      </c>
      <c r="Y375">
        <v>0.03</v>
      </c>
      <c r="Z375">
        <v>0.13</v>
      </c>
      <c r="AA375" s="20">
        <f>Table3[[#This Row],[APS]]*Table3[[#This Row],[PrimaComercial Anual]]</f>
        <v>112.70496</v>
      </c>
      <c r="AB375" s="8">
        <f>Table3[[#This Row],[PrimaComercial Anual]]*Table3[[#This Row],[Recargo adicional]]</f>
        <v>643.49201520000008</v>
      </c>
      <c r="AC375" s="8">
        <f>Table3[[#This Row],[PrimaComercial Anual]]*Table3[[#This Row],[IT]]</f>
        <v>228.45599999999999</v>
      </c>
      <c r="AD375" s="8">
        <f>Table3[[#This Row],[PrimaComercial Anual]]*Table3[[#This Row],[IVA]]</f>
        <v>989.976</v>
      </c>
      <c r="AE375" s="15">
        <f>Table3[[#This Row],[PrimaComercial Anual Asistencia]]</f>
        <v>7615.2</v>
      </c>
      <c r="AG375">
        <v>7615.2</v>
      </c>
    </row>
    <row r="376" spans="1:33" x14ac:dyDescent="0.25">
      <c r="A376" t="s">
        <v>18</v>
      </c>
      <c r="B376">
        <v>140000</v>
      </c>
      <c r="C376">
        <v>43</v>
      </c>
      <c r="D376" s="2">
        <f>Table3[[#This Row],[PrimaTécnica]]-Table3[[#This Row],[PrimaTécnica]]*SUM(Table3[[#This Row],[Gastos Adm]:[Cobranza]])</f>
        <v>3362.5797034751986</v>
      </c>
      <c r="E376">
        <v>0</v>
      </c>
      <c r="F376">
        <v>0.15</v>
      </c>
      <c r="G376">
        <v>0.05</v>
      </c>
      <c r="H376">
        <v>0.01</v>
      </c>
      <c r="I376">
        <v>0.01</v>
      </c>
      <c r="J376" s="8">
        <f>Table3[[#This Row],[PrimaTécnica]]*Table3[[#This Row],[Gastos Adm]]</f>
        <v>646.64994297599981</v>
      </c>
      <c r="K376" s="8">
        <f>Table3[[#This Row],[PrimaTécnica]]*Table3[[#This Row],[Utilidad]]</f>
        <v>215.54998099199994</v>
      </c>
      <c r="L376" s="8">
        <f>Table3[[#This Row],[PrimaTécnica]]*Table3[[#This Row],[Marketing]]</f>
        <v>43.109996198399983</v>
      </c>
      <c r="M376" s="8">
        <f>Table3[[#This Row],[PrimaTécnica]]*Table3[[#This Row],[Cobranza]]</f>
        <v>43.109996198399983</v>
      </c>
      <c r="N37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4310.9996198399986</v>
      </c>
      <c r="O376">
        <v>21.84</v>
      </c>
      <c r="P376">
        <v>54.6</v>
      </c>
      <c r="Q376">
        <v>80.64</v>
      </c>
      <c r="R376">
        <v>44.377200000000002</v>
      </c>
      <c r="S376">
        <v>0.2</v>
      </c>
      <c r="T376">
        <v>0.02</v>
      </c>
      <c r="U376" s="8">
        <f>Table3[[#This Row],[PrimaNeta]]*Table3[[#This Row],[Comisión]]</f>
        <v>1128.1142049600001</v>
      </c>
      <c r="V376" s="15">
        <f>Table3[[#This Row],[PrimaComercial Anual]]-Table3[[#This Row],[PrimaComercial Anual]]*SUM(Table3[[#This Row],[APS]:[IVA]])</f>
        <v>5640.5710247999996</v>
      </c>
      <c r="W376" s="2">
        <v>1.4800000000000001E-2</v>
      </c>
      <c r="X376" s="2">
        <v>8.4501000000000007E-2</v>
      </c>
      <c r="Y376">
        <v>0.03</v>
      </c>
      <c r="Z376">
        <v>0.13</v>
      </c>
      <c r="AA376" s="20">
        <f>Table3[[#This Row],[APS]]*Table3[[#This Row],[PrimaComercial Anual]]</f>
        <v>112.70496</v>
      </c>
      <c r="AB376" s="8">
        <f>Table3[[#This Row],[PrimaComercial Anual]]*Table3[[#This Row],[Recargo adicional]]</f>
        <v>643.49201520000008</v>
      </c>
      <c r="AC376" s="8">
        <f>Table3[[#This Row],[PrimaComercial Anual]]*Table3[[#This Row],[IT]]</f>
        <v>228.45599999999999</v>
      </c>
      <c r="AD376" s="8">
        <f>Table3[[#This Row],[PrimaComercial Anual]]*Table3[[#This Row],[IVA]]</f>
        <v>989.976</v>
      </c>
      <c r="AE376" s="15">
        <f>Table3[[#This Row],[PrimaComercial Anual Asistencia]]</f>
        <v>7615.2</v>
      </c>
      <c r="AG376">
        <v>7615.2</v>
      </c>
    </row>
    <row r="377" spans="1:33" x14ac:dyDescent="0.25">
      <c r="A377" t="s">
        <v>18</v>
      </c>
      <c r="B377">
        <v>140000</v>
      </c>
      <c r="C377">
        <v>44</v>
      </c>
      <c r="D377" s="2">
        <f>Table3[[#This Row],[PrimaTécnica]]-Table3[[#This Row],[PrimaTécnica]]*SUM(Table3[[#This Row],[Gastos Adm]:[Cobranza]])</f>
        <v>3362.5797034751986</v>
      </c>
      <c r="E377">
        <v>0</v>
      </c>
      <c r="F377">
        <v>0.15</v>
      </c>
      <c r="G377">
        <v>0.05</v>
      </c>
      <c r="H377">
        <v>0.01</v>
      </c>
      <c r="I377">
        <v>0.01</v>
      </c>
      <c r="J377" s="8">
        <f>Table3[[#This Row],[PrimaTécnica]]*Table3[[#This Row],[Gastos Adm]]</f>
        <v>646.64994297599981</v>
      </c>
      <c r="K377" s="8">
        <f>Table3[[#This Row],[PrimaTécnica]]*Table3[[#This Row],[Utilidad]]</f>
        <v>215.54998099199994</v>
      </c>
      <c r="L377" s="8">
        <f>Table3[[#This Row],[PrimaTécnica]]*Table3[[#This Row],[Marketing]]</f>
        <v>43.109996198399983</v>
      </c>
      <c r="M377" s="8">
        <f>Table3[[#This Row],[PrimaTécnica]]*Table3[[#This Row],[Cobranza]]</f>
        <v>43.109996198399983</v>
      </c>
      <c r="N37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4310.9996198399986</v>
      </c>
      <c r="O377">
        <v>21.84</v>
      </c>
      <c r="P377">
        <v>54.6</v>
      </c>
      <c r="Q377">
        <v>80.64</v>
      </c>
      <c r="R377">
        <v>44.377200000000002</v>
      </c>
      <c r="S377">
        <v>0.2</v>
      </c>
      <c r="T377">
        <v>0.02</v>
      </c>
      <c r="U377" s="8">
        <f>Table3[[#This Row],[PrimaNeta]]*Table3[[#This Row],[Comisión]]</f>
        <v>1128.1142049600001</v>
      </c>
      <c r="V377" s="15">
        <f>Table3[[#This Row],[PrimaComercial Anual]]-Table3[[#This Row],[PrimaComercial Anual]]*SUM(Table3[[#This Row],[APS]:[IVA]])</f>
        <v>5640.5710247999996</v>
      </c>
      <c r="W377" s="2">
        <v>1.4800000000000001E-2</v>
      </c>
      <c r="X377" s="2">
        <v>8.4501000000000007E-2</v>
      </c>
      <c r="Y377">
        <v>0.03</v>
      </c>
      <c r="Z377">
        <v>0.13</v>
      </c>
      <c r="AA377" s="20">
        <f>Table3[[#This Row],[APS]]*Table3[[#This Row],[PrimaComercial Anual]]</f>
        <v>112.70496</v>
      </c>
      <c r="AB377" s="8">
        <f>Table3[[#This Row],[PrimaComercial Anual]]*Table3[[#This Row],[Recargo adicional]]</f>
        <v>643.49201520000008</v>
      </c>
      <c r="AC377" s="8">
        <f>Table3[[#This Row],[PrimaComercial Anual]]*Table3[[#This Row],[IT]]</f>
        <v>228.45599999999999</v>
      </c>
      <c r="AD377" s="8">
        <f>Table3[[#This Row],[PrimaComercial Anual]]*Table3[[#This Row],[IVA]]</f>
        <v>989.976</v>
      </c>
      <c r="AE377" s="15">
        <f>Table3[[#This Row],[PrimaComercial Anual Asistencia]]</f>
        <v>7615.2</v>
      </c>
      <c r="AG377">
        <v>7615.2</v>
      </c>
    </row>
    <row r="378" spans="1:33" x14ac:dyDescent="0.25">
      <c r="A378" t="s">
        <v>18</v>
      </c>
      <c r="B378">
        <v>140000</v>
      </c>
      <c r="C378">
        <v>45</v>
      </c>
      <c r="D378" s="2">
        <f>Table3[[#This Row],[PrimaTécnica]]-Table3[[#This Row],[PrimaTécnica]]*SUM(Table3[[#This Row],[Gastos Adm]:[Cobranza]])</f>
        <v>3362.5797034751986</v>
      </c>
      <c r="E378">
        <v>0</v>
      </c>
      <c r="F378">
        <v>0.15</v>
      </c>
      <c r="G378">
        <v>0.05</v>
      </c>
      <c r="H378">
        <v>0.01</v>
      </c>
      <c r="I378">
        <v>0.01</v>
      </c>
      <c r="J378" s="8">
        <f>Table3[[#This Row],[PrimaTécnica]]*Table3[[#This Row],[Gastos Adm]]</f>
        <v>646.64994297599981</v>
      </c>
      <c r="K378" s="8">
        <f>Table3[[#This Row],[PrimaTécnica]]*Table3[[#This Row],[Utilidad]]</f>
        <v>215.54998099199994</v>
      </c>
      <c r="L378" s="8">
        <f>Table3[[#This Row],[PrimaTécnica]]*Table3[[#This Row],[Marketing]]</f>
        <v>43.109996198399983</v>
      </c>
      <c r="M378" s="8">
        <f>Table3[[#This Row],[PrimaTécnica]]*Table3[[#This Row],[Cobranza]]</f>
        <v>43.109996198399983</v>
      </c>
      <c r="N37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4310.9996198399986</v>
      </c>
      <c r="O378">
        <v>21.84</v>
      </c>
      <c r="P378">
        <v>54.6</v>
      </c>
      <c r="Q378">
        <v>80.64</v>
      </c>
      <c r="R378">
        <v>44.377200000000002</v>
      </c>
      <c r="S378">
        <v>0.2</v>
      </c>
      <c r="T378">
        <v>0.02</v>
      </c>
      <c r="U378" s="8">
        <f>Table3[[#This Row],[PrimaNeta]]*Table3[[#This Row],[Comisión]]</f>
        <v>1128.1142049600001</v>
      </c>
      <c r="V378" s="15">
        <f>Table3[[#This Row],[PrimaComercial Anual]]-Table3[[#This Row],[PrimaComercial Anual]]*SUM(Table3[[#This Row],[APS]:[IVA]])</f>
        <v>5640.5710247999996</v>
      </c>
      <c r="W378" s="2">
        <v>1.4800000000000001E-2</v>
      </c>
      <c r="X378" s="2">
        <v>8.4501000000000007E-2</v>
      </c>
      <c r="Y378">
        <v>0.03</v>
      </c>
      <c r="Z378">
        <v>0.13</v>
      </c>
      <c r="AA378" s="20">
        <f>Table3[[#This Row],[APS]]*Table3[[#This Row],[PrimaComercial Anual]]</f>
        <v>112.70496</v>
      </c>
      <c r="AB378" s="8">
        <f>Table3[[#This Row],[PrimaComercial Anual]]*Table3[[#This Row],[Recargo adicional]]</f>
        <v>643.49201520000008</v>
      </c>
      <c r="AC378" s="8">
        <f>Table3[[#This Row],[PrimaComercial Anual]]*Table3[[#This Row],[IT]]</f>
        <v>228.45599999999999</v>
      </c>
      <c r="AD378" s="8">
        <f>Table3[[#This Row],[PrimaComercial Anual]]*Table3[[#This Row],[IVA]]</f>
        <v>989.976</v>
      </c>
      <c r="AE378" s="15">
        <f>Table3[[#This Row],[PrimaComercial Anual Asistencia]]</f>
        <v>7615.2</v>
      </c>
      <c r="AG378">
        <v>7615.2</v>
      </c>
    </row>
    <row r="379" spans="1:33" x14ac:dyDescent="0.25">
      <c r="A379" t="s">
        <v>18</v>
      </c>
      <c r="B379">
        <v>140000</v>
      </c>
      <c r="C379">
        <v>46</v>
      </c>
      <c r="D379" s="2">
        <f>Table3[[#This Row],[PrimaTécnica]]-Table3[[#This Row],[PrimaTécnica]]*SUM(Table3[[#This Row],[Gastos Adm]:[Cobranza]])</f>
        <v>3362.5797034751986</v>
      </c>
      <c r="E379">
        <v>0</v>
      </c>
      <c r="F379">
        <v>0.15</v>
      </c>
      <c r="G379">
        <v>0.05</v>
      </c>
      <c r="H379">
        <v>0.01</v>
      </c>
      <c r="I379">
        <v>0.01</v>
      </c>
      <c r="J379" s="8">
        <f>Table3[[#This Row],[PrimaTécnica]]*Table3[[#This Row],[Gastos Adm]]</f>
        <v>646.64994297599981</v>
      </c>
      <c r="K379" s="8">
        <f>Table3[[#This Row],[PrimaTécnica]]*Table3[[#This Row],[Utilidad]]</f>
        <v>215.54998099199994</v>
      </c>
      <c r="L379" s="8">
        <f>Table3[[#This Row],[PrimaTécnica]]*Table3[[#This Row],[Marketing]]</f>
        <v>43.109996198399983</v>
      </c>
      <c r="M379" s="8">
        <f>Table3[[#This Row],[PrimaTécnica]]*Table3[[#This Row],[Cobranza]]</f>
        <v>43.109996198399983</v>
      </c>
      <c r="N37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4310.9996198399986</v>
      </c>
      <c r="O379">
        <v>21.84</v>
      </c>
      <c r="P379">
        <v>54.6</v>
      </c>
      <c r="Q379">
        <v>80.64</v>
      </c>
      <c r="R379">
        <v>44.377200000000002</v>
      </c>
      <c r="S379">
        <v>0.2</v>
      </c>
      <c r="T379">
        <v>0.02</v>
      </c>
      <c r="U379" s="8">
        <f>Table3[[#This Row],[PrimaNeta]]*Table3[[#This Row],[Comisión]]</f>
        <v>1128.1142049600001</v>
      </c>
      <c r="V379" s="15">
        <f>Table3[[#This Row],[PrimaComercial Anual]]-Table3[[#This Row],[PrimaComercial Anual]]*SUM(Table3[[#This Row],[APS]:[IVA]])</f>
        <v>5640.5710247999996</v>
      </c>
      <c r="W379" s="2">
        <v>1.4800000000000001E-2</v>
      </c>
      <c r="X379" s="2">
        <v>8.4501000000000007E-2</v>
      </c>
      <c r="Y379">
        <v>0.03</v>
      </c>
      <c r="Z379">
        <v>0.13</v>
      </c>
      <c r="AA379" s="20">
        <f>Table3[[#This Row],[APS]]*Table3[[#This Row],[PrimaComercial Anual]]</f>
        <v>112.70496</v>
      </c>
      <c r="AB379" s="8">
        <f>Table3[[#This Row],[PrimaComercial Anual]]*Table3[[#This Row],[Recargo adicional]]</f>
        <v>643.49201520000008</v>
      </c>
      <c r="AC379" s="8">
        <f>Table3[[#This Row],[PrimaComercial Anual]]*Table3[[#This Row],[IT]]</f>
        <v>228.45599999999999</v>
      </c>
      <c r="AD379" s="8">
        <f>Table3[[#This Row],[PrimaComercial Anual]]*Table3[[#This Row],[IVA]]</f>
        <v>989.976</v>
      </c>
      <c r="AE379" s="15">
        <f>Table3[[#This Row],[PrimaComercial Anual Asistencia]]</f>
        <v>7615.2</v>
      </c>
      <c r="AG379">
        <v>7615.2</v>
      </c>
    </row>
    <row r="380" spans="1:33" x14ac:dyDescent="0.25">
      <c r="A380" t="s">
        <v>18</v>
      </c>
      <c r="B380">
        <v>140000</v>
      </c>
      <c r="C380">
        <v>47</v>
      </c>
      <c r="D380" s="2">
        <f>Table3[[#This Row],[PrimaTécnica]]-Table3[[#This Row],[PrimaTécnica]]*SUM(Table3[[#This Row],[Gastos Adm]:[Cobranza]])</f>
        <v>3362.5797034751986</v>
      </c>
      <c r="E380">
        <v>0</v>
      </c>
      <c r="F380">
        <v>0.15</v>
      </c>
      <c r="G380">
        <v>0.05</v>
      </c>
      <c r="H380">
        <v>0.01</v>
      </c>
      <c r="I380">
        <v>0.01</v>
      </c>
      <c r="J380" s="8">
        <f>Table3[[#This Row],[PrimaTécnica]]*Table3[[#This Row],[Gastos Adm]]</f>
        <v>646.64994297599981</v>
      </c>
      <c r="K380" s="8">
        <f>Table3[[#This Row],[PrimaTécnica]]*Table3[[#This Row],[Utilidad]]</f>
        <v>215.54998099199994</v>
      </c>
      <c r="L380" s="8">
        <f>Table3[[#This Row],[PrimaTécnica]]*Table3[[#This Row],[Marketing]]</f>
        <v>43.109996198399983</v>
      </c>
      <c r="M380" s="8">
        <f>Table3[[#This Row],[PrimaTécnica]]*Table3[[#This Row],[Cobranza]]</f>
        <v>43.109996198399983</v>
      </c>
      <c r="N38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4310.9996198399986</v>
      </c>
      <c r="O380">
        <v>21.84</v>
      </c>
      <c r="P380">
        <v>54.6</v>
      </c>
      <c r="Q380">
        <v>80.64</v>
      </c>
      <c r="R380">
        <v>44.377200000000002</v>
      </c>
      <c r="S380">
        <v>0.2</v>
      </c>
      <c r="T380">
        <v>0.02</v>
      </c>
      <c r="U380" s="8">
        <f>Table3[[#This Row],[PrimaNeta]]*Table3[[#This Row],[Comisión]]</f>
        <v>1128.1142049600001</v>
      </c>
      <c r="V380" s="15">
        <f>Table3[[#This Row],[PrimaComercial Anual]]-Table3[[#This Row],[PrimaComercial Anual]]*SUM(Table3[[#This Row],[APS]:[IVA]])</f>
        <v>5640.5710247999996</v>
      </c>
      <c r="W380" s="2">
        <v>1.4800000000000001E-2</v>
      </c>
      <c r="X380" s="2">
        <v>8.4501000000000007E-2</v>
      </c>
      <c r="Y380">
        <v>0.03</v>
      </c>
      <c r="Z380">
        <v>0.13</v>
      </c>
      <c r="AA380" s="20">
        <f>Table3[[#This Row],[APS]]*Table3[[#This Row],[PrimaComercial Anual]]</f>
        <v>112.70496</v>
      </c>
      <c r="AB380" s="8">
        <f>Table3[[#This Row],[PrimaComercial Anual]]*Table3[[#This Row],[Recargo adicional]]</f>
        <v>643.49201520000008</v>
      </c>
      <c r="AC380" s="8">
        <f>Table3[[#This Row],[PrimaComercial Anual]]*Table3[[#This Row],[IT]]</f>
        <v>228.45599999999999</v>
      </c>
      <c r="AD380" s="8">
        <f>Table3[[#This Row],[PrimaComercial Anual]]*Table3[[#This Row],[IVA]]</f>
        <v>989.976</v>
      </c>
      <c r="AE380" s="15">
        <f>Table3[[#This Row],[PrimaComercial Anual Asistencia]]</f>
        <v>7615.2</v>
      </c>
      <c r="AG380">
        <v>7615.2</v>
      </c>
    </row>
    <row r="381" spans="1:33" x14ac:dyDescent="0.25">
      <c r="A381" t="s">
        <v>18</v>
      </c>
      <c r="B381">
        <v>140000</v>
      </c>
      <c r="C381">
        <v>48</v>
      </c>
      <c r="D381" s="2">
        <f>Table3[[#This Row],[PrimaTécnica]]-Table3[[#This Row],[PrimaTécnica]]*SUM(Table3[[#This Row],[Gastos Adm]:[Cobranza]])</f>
        <v>3362.5797034751986</v>
      </c>
      <c r="E381">
        <v>0</v>
      </c>
      <c r="F381">
        <v>0.15</v>
      </c>
      <c r="G381">
        <v>0.05</v>
      </c>
      <c r="H381">
        <v>0.01</v>
      </c>
      <c r="I381">
        <v>0.01</v>
      </c>
      <c r="J381" s="8">
        <f>Table3[[#This Row],[PrimaTécnica]]*Table3[[#This Row],[Gastos Adm]]</f>
        <v>646.64994297599981</v>
      </c>
      <c r="K381" s="8">
        <f>Table3[[#This Row],[PrimaTécnica]]*Table3[[#This Row],[Utilidad]]</f>
        <v>215.54998099199994</v>
      </c>
      <c r="L381" s="8">
        <f>Table3[[#This Row],[PrimaTécnica]]*Table3[[#This Row],[Marketing]]</f>
        <v>43.109996198399983</v>
      </c>
      <c r="M381" s="8">
        <f>Table3[[#This Row],[PrimaTécnica]]*Table3[[#This Row],[Cobranza]]</f>
        <v>43.109996198399983</v>
      </c>
      <c r="N38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4310.9996198399986</v>
      </c>
      <c r="O381">
        <v>21.84</v>
      </c>
      <c r="P381">
        <v>54.6</v>
      </c>
      <c r="Q381">
        <v>80.64</v>
      </c>
      <c r="R381">
        <v>44.377200000000002</v>
      </c>
      <c r="S381">
        <v>0.2</v>
      </c>
      <c r="T381">
        <v>0.02</v>
      </c>
      <c r="U381" s="8">
        <f>Table3[[#This Row],[PrimaNeta]]*Table3[[#This Row],[Comisión]]</f>
        <v>1128.1142049600001</v>
      </c>
      <c r="V381" s="15">
        <f>Table3[[#This Row],[PrimaComercial Anual]]-Table3[[#This Row],[PrimaComercial Anual]]*SUM(Table3[[#This Row],[APS]:[IVA]])</f>
        <v>5640.5710247999996</v>
      </c>
      <c r="W381" s="2">
        <v>1.4800000000000001E-2</v>
      </c>
      <c r="X381" s="2">
        <v>8.4501000000000007E-2</v>
      </c>
      <c r="Y381">
        <v>0.03</v>
      </c>
      <c r="Z381">
        <v>0.13</v>
      </c>
      <c r="AA381" s="20">
        <f>Table3[[#This Row],[APS]]*Table3[[#This Row],[PrimaComercial Anual]]</f>
        <v>112.70496</v>
      </c>
      <c r="AB381" s="8">
        <f>Table3[[#This Row],[PrimaComercial Anual]]*Table3[[#This Row],[Recargo adicional]]</f>
        <v>643.49201520000008</v>
      </c>
      <c r="AC381" s="8">
        <f>Table3[[#This Row],[PrimaComercial Anual]]*Table3[[#This Row],[IT]]</f>
        <v>228.45599999999999</v>
      </c>
      <c r="AD381" s="8">
        <f>Table3[[#This Row],[PrimaComercial Anual]]*Table3[[#This Row],[IVA]]</f>
        <v>989.976</v>
      </c>
      <c r="AE381" s="15">
        <f>Table3[[#This Row],[PrimaComercial Anual Asistencia]]</f>
        <v>7615.2</v>
      </c>
      <c r="AG381">
        <v>7615.2</v>
      </c>
    </row>
    <row r="382" spans="1:33" x14ac:dyDescent="0.25">
      <c r="A382" t="s">
        <v>18</v>
      </c>
      <c r="B382">
        <v>140000</v>
      </c>
      <c r="C382">
        <v>49</v>
      </c>
      <c r="D382" s="2">
        <f>Table3[[#This Row],[PrimaTécnica]]-Table3[[#This Row],[PrimaTécnica]]*SUM(Table3[[#This Row],[Gastos Adm]:[Cobranza]])</f>
        <v>3362.5797034751986</v>
      </c>
      <c r="E382">
        <v>0</v>
      </c>
      <c r="F382">
        <v>0.15</v>
      </c>
      <c r="G382">
        <v>0.05</v>
      </c>
      <c r="H382">
        <v>0.01</v>
      </c>
      <c r="I382">
        <v>0.01</v>
      </c>
      <c r="J382" s="8">
        <f>Table3[[#This Row],[PrimaTécnica]]*Table3[[#This Row],[Gastos Adm]]</f>
        <v>646.64994297599981</v>
      </c>
      <c r="K382" s="8">
        <f>Table3[[#This Row],[PrimaTécnica]]*Table3[[#This Row],[Utilidad]]</f>
        <v>215.54998099199994</v>
      </c>
      <c r="L382" s="8">
        <f>Table3[[#This Row],[PrimaTécnica]]*Table3[[#This Row],[Marketing]]</f>
        <v>43.109996198399983</v>
      </c>
      <c r="M382" s="8">
        <f>Table3[[#This Row],[PrimaTécnica]]*Table3[[#This Row],[Cobranza]]</f>
        <v>43.109996198399983</v>
      </c>
      <c r="N38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4310.9996198399986</v>
      </c>
      <c r="O382">
        <v>21.84</v>
      </c>
      <c r="P382">
        <v>54.6</v>
      </c>
      <c r="Q382">
        <v>80.64</v>
      </c>
      <c r="R382">
        <v>44.377200000000002</v>
      </c>
      <c r="S382">
        <v>0.2</v>
      </c>
      <c r="T382">
        <v>0.02</v>
      </c>
      <c r="U382" s="8">
        <f>Table3[[#This Row],[PrimaNeta]]*Table3[[#This Row],[Comisión]]</f>
        <v>1128.1142049600001</v>
      </c>
      <c r="V382" s="15">
        <f>Table3[[#This Row],[PrimaComercial Anual]]-Table3[[#This Row],[PrimaComercial Anual]]*SUM(Table3[[#This Row],[APS]:[IVA]])</f>
        <v>5640.5710247999996</v>
      </c>
      <c r="W382" s="2">
        <v>1.4800000000000001E-2</v>
      </c>
      <c r="X382" s="2">
        <v>8.4501000000000007E-2</v>
      </c>
      <c r="Y382">
        <v>0.03</v>
      </c>
      <c r="Z382">
        <v>0.13</v>
      </c>
      <c r="AA382" s="20">
        <f>Table3[[#This Row],[APS]]*Table3[[#This Row],[PrimaComercial Anual]]</f>
        <v>112.70496</v>
      </c>
      <c r="AB382" s="8">
        <f>Table3[[#This Row],[PrimaComercial Anual]]*Table3[[#This Row],[Recargo adicional]]</f>
        <v>643.49201520000008</v>
      </c>
      <c r="AC382" s="8">
        <f>Table3[[#This Row],[PrimaComercial Anual]]*Table3[[#This Row],[IT]]</f>
        <v>228.45599999999999</v>
      </c>
      <c r="AD382" s="8">
        <f>Table3[[#This Row],[PrimaComercial Anual]]*Table3[[#This Row],[IVA]]</f>
        <v>989.976</v>
      </c>
      <c r="AE382" s="15">
        <f>Table3[[#This Row],[PrimaComercial Anual Asistencia]]</f>
        <v>7615.2</v>
      </c>
      <c r="AG382">
        <v>7615.2</v>
      </c>
    </row>
    <row r="383" spans="1:33" x14ac:dyDescent="0.25">
      <c r="A383" t="s">
        <v>18</v>
      </c>
      <c r="B383">
        <v>140000</v>
      </c>
      <c r="C383">
        <v>50</v>
      </c>
      <c r="D383" s="2">
        <f>Table3[[#This Row],[PrimaTécnica]]-Table3[[#This Row],[PrimaTécnica]]*SUM(Table3[[#This Row],[Gastos Adm]:[Cobranza]])</f>
        <v>3657.6457422335989</v>
      </c>
      <c r="E383">
        <v>0</v>
      </c>
      <c r="F383">
        <v>0.15</v>
      </c>
      <c r="G383">
        <v>0.05</v>
      </c>
      <c r="H383">
        <v>0.01</v>
      </c>
      <c r="I383">
        <v>0.01</v>
      </c>
      <c r="J383" s="8">
        <f>Table3[[#This Row],[PrimaTécnica]]*Table3[[#This Row],[Gastos Adm]]</f>
        <v>703.3934119679999</v>
      </c>
      <c r="K383" s="8">
        <f>Table3[[#This Row],[PrimaTécnica]]*Table3[[#This Row],[Utilidad]]</f>
        <v>234.46447065599997</v>
      </c>
      <c r="L383" s="8">
        <f>Table3[[#This Row],[PrimaTécnica]]*Table3[[#This Row],[Marketing]]</f>
        <v>46.892894131199995</v>
      </c>
      <c r="M383" s="8">
        <f>Table3[[#This Row],[PrimaTécnica]]*Table3[[#This Row],[Cobranza]]</f>
        <v>46.892894131199995</v>
      </c>
      <c r="N38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4689.2894131199992</v>
      </c>
      <c r="O383">
        <v>21.84</v>
      </c>
      <c r="P383">
        <v>54.6</v>
      </c>
      <c r="Q383">
        <v>80.64</v>
      </c>
      <c r="R383">
        <v>44.377200000000002</v>
      </c>
      <c r="S383">
        <v>0.2</v>
      </c>
      <c r="T383">
        <v>0.02</v>
      </c>
      <c r="U383" s="8">
        <f>Table3[[#This Row],[PrimaNeta]]*Table3[[#This Row],[Comisión]]</f>
        <v>1222.6866532800002</v>
      </c>
      <c r="V383" s="15">
        <f>Table3[[#This Row],[PrimaComercial Anual]]-Table3[[#This Row],[PrimaComercial Anual]]*SUM(Table3[[#This Row],[APS]:[IVA]])</f>
        <v>6113.4332664000003</v>
      </c>
      <c r="W383" s="2">
        <v>1.4800000000000001E-2</v>
      </c>
      <c r="X383" s="2">
        <v>8.4501000000000007E-2</v>
      </c>
      <c r="Y383">
        <v>0.03</v>
      </c>
      <c r="Z383">
        <v>0.13</v>
      </c>
      <c r="AA383" s="20">
        <f>Table3[[#This Row],[APS]]*Table3[[#This Row],[PrimaComercial Anual]]</f>
        <v>122.15328000000001</v>
      </c>
      <c r="AB383" s="8">
        <f>Table3[[#This Row],[PrimaComercial Anual]]*Table3[[#This Row],[Recargo adicional]]</f>
        <v>697.43745360000014</v>
      </c>
      <c r="AC383" s="8">
        <f>Table3[[#This Row],[PrimaComercial Anual]]*Table3[[#This Row],[IT]]</f>
        <v>247.608</v>
      </c>
      <c r="AD383" s="8">
        <f>Table3[[#This Row],[PrimaComercial Anual]]*Table3[[#This Row],[IVA]]</f>
        <v>1072.9680000000001</v>
      </c>
      <c r="AE383" s="15">
        <f>Table3[[#This Row],[PrimaComercial Anual Asistencia]]</f>
        <v>8253.6</v>
      </c>
      <c r="AG383">
        <v>8253.6</v>
      </c>
    </row>
    <row r="384" spans="1:33" x14ac:dyDescent="0.25">
      <c r="A384" t="s">
        <v>18</v>
      </c>
      <c r="B384">
        <v>140000</v>
      </c>
      <c r="C384">
        <v>51</v>
      </c>
      <c r="D384" s="2">
        <f>Table3[[#This Row],[PrimaTécnica]]-Table3[[#This Row],[PrimaTécnica]]*SUM(Table3[[#This Row],[Gastos Adm]:[Cobranza]])</f>
        <v>3657.6457422335989</v>
      </c>
      <c r="E384">
        <v>0</v>
      </c>
      <c r="F384">
        <v>0.15</v>
      </c>
      <c r="G384">
        <v>0.05</v>
      </c>
      <c r="H384">
        <v>0.01</v>
      </c>
      <c r="I384">
        <v>0.01</v>
      </c>
      <c r="J384" s="8">
        <f>Table3[[#This Row],[PrimaTécnica]]*Table3[[#This Row],[Gastos Adm]]</f>
        <v>703.3934119679999</v>
      </c>
      <c r="K384" s="8">
        <f>Table3[[#This Row],[PrimaTécnica]]*Table3[[#This Row],[Utilidad]]</f>
        <v>234.46447065599997</v>
      </c>
      <c r="L384" s="8">
        <f>Table3[[#This Row],[PrimaTécnica]]*Table3[[#This Row],[Marketing]]</f>
        <v>46.892894131199995</v>
      </c>
      <c r="M384" s="8">
        <f>Table3[[#This Row],[PrimaTécnica]]*Table3[[#This Row],[Cobranza]]</f>
        <v>46.892894131199995</v>
      </c>
      <c r="N38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4689.2894131199992</v>
      </c>
      <c r="O384">
        <v>21.84</v>
      </c>
      <c r="P384">
        <v>54.6</v>
      </c>
      <c r="Q384">
        <v>80.64</v>
      </c>
      <c r="R384">
        <v>44.377200000000002</v>
      </c>
      <c r="S384">
        <v>0.2</v>
      </c>
      <c r="T384">
        <v>0.02</v>
      </c>
      <c r="U384" s="8">
        <f>Table3[[#This Row],[PrimaNeta]]*Table3[[#This Row],[Comisión]]</f>
        <v>1222.6866532800002</v>
      </c>
      <c r="V384" s="15">
        <f>Table3[[#This Row],[PrimaComercial Anual]]-Table3[[#This Row],[PrimaComercial Anual]]*SUM(Table3[[#This Row],[APS]:[IVA]])</f>
        <v>6113.4332664000003</v>
      </c>
      <c r="W384" s="2">
        <v>1.4800000000000001E-2</v>
      </c>
      <c r="X384" s="2">
        <v>8.4501000000000007E-2</v>
      </c>
      <c r="Y384">
        <v>0.03</v>
      </c>
      <c r="Z384">
        <v>0.13</v>
      </c>
      <c r="AA384" s="20">
        <f>Table3[[#This Row],[APS]]*Table3[[#This Row],[PrimaComercial Anual]]</f>
        <v>122.15328000000001</v>
      </c>
      <c r="AB384" s="8">
        <f>Table3[[#This Row],[PrimaComercial Anual]]*Table3[[#This Row],[Recargo adicional]]</f>
        <v>697.43745360000014</v>
      </c>
      <c r="AC384" s="8">
        <f>Table3[[#This Row],[PrimaComercial Anual]]*Table3[[#This Row],[IT]]</f>
        <v>247.608</v>
      </c>
      <c r="AD384" s="8">
        <f>Table3[[#This Row],[PrimaComercial Anual]]*Table3[[#This Row],[IVA]]</f>
        <v>1072.9680000000001</v>
      </c>
      <c r="AE384" s="15">
        <f>Table3[[#This Row],[PrimaComercial Anual Asistencia]]</f>
        <v>8253.6</v>
      </c>
      <c r="AG384">
        <v>8253.6</v>
      </c>
    </row>
    <row r="385" spans="1:33" x14ac:dyDescent="0.25">
      <c r="A385" t="s">
        <v>18</v>
      </c>
      <c r="B385">
        <v>140000</v>
      </c>
      <c r="C385">
        <v>52</v>
      </c>
      <c r="D385" s="2">
        <f>Table3[[#This Row],[PrimaTécnica]]-Table3[[#This Row],[PrimaTécnica]]*SUM(Table3[[#This Row],[Gastos Adm]:[Cobranza]])</f>
        <v>3657.6457422335989</v>
      </c>
      <c r="E385">
        <v>0</v>
      </c>
      <c r="F385">
        <v>0.15</v>
      </c>
      <c r="G385">
        <v>0.05</v>
      </c>
      <c r="H385">
        <v>0.01</v>
      </c>
      <c r="I385">
        <v>0.01</v>
      </c>
      <c r="J385" s="8">
        <f>Table3[[#This Row],[PrimaTécnica]]*Table3[[#This Row],[Gastos Adm]]</f>
        <v>703.3934119679999</v>
      </c>
      <c r="K385" s="8">
        <f>Table3[[#This Row],[PrimaTécnica]]*Table3[[#This Row],[Utilidad]]</f>
        <v>234.46447065599997</v>
      </c>
      <c r="L385" s="8">
        <f>Table3[[#This Row],[PrimaTécnica]]*Table3[[#This Row],[Marketing]]</f>
        <v>46.892894131199995</v>
      </c>
      <c r="M385" s="8">
        <f>Table3[[#This Row],[PrimaTécnica]]*Table3[[#This Row],[Cobranza]]</f>
        <v>46.892894131199995</v>
      </c>
      <c r="N38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4689.2894131199992</v>
      </c>
      <c r="O385">
        <v>21.84</v>
      </c>
      <c r="P385">
        <v>54.6</v>
      </c>
      <c r="Q385">
        <v>80.64</v>
      </c>
      <c r="R385">
        <v>44.377200000000002</v>
      </c>
      <c r="S385">
        <v>0.2</v>
      </c>
      <c r="T385">
        <v>0.02</v>
      </c>
      <c r="U385" s="8">
        <f>Table3[[#This Row],[PrimaNeta]]*Table3[[#This Row],[Comisión]]</f>
        <v>1222.6866532800002</v>
      </c>
      <c r="V385" s="15">
        <f>Table3[[#This Row],[PrimaComercial Anual]]-Table3[[#This Row],[PrimaComercial Anual]]*SUM(Table3[[#This Row],[APS]:[IVA]])</f>
        <v>6113.4332664000003</v>
      </c>
      <c r="W385" s="2">
        <v>1.4800000000000001E-2</v>
      </c>
      <c r="X385" s="2">
        <v>8.4501000000000007E-2</v>
      </c>
      <c r="Y385">
        <v>0.03</v>
      </c>
      <c r="Z385">
        <v>0.13</v>
      </c>
      <c r="AA385" s="20">
        <f>Table3[[#This Row],[APS]]*Table3[[#This Row],[PrimaComercial Anual]]</f>
        <v>122.15328000000001</v>
      </c>
      <c r="AB385" s="8">
        <f>Table3[[#This Row],[PrimaComercial Anual]]*Table3[[#This Row],[Recargo adicional]]</f>
        <v>697.43745360000014</v>
      </c>
      <c r="AC385" s="8">
        <f>Table3[[#This Row],[PrimaComercial Anual]]*Table3[[#This Row],[IT]]</f>
        <v>247.608</v>
      </c>
      <c r="AD385" s="8">
        <f>Table3[[#This Row],[PrimaComercial Anual]]*Table3[[#This Row],[IVA]]</f>
        <v>1072.9680000000001</v>
      </c>
      <c r="AE385" s="15">
        <f>Table3[[#This Row],[PrimaComercial Anual Asistencia]]</f>
        <v>8253.6</v>
      </c>
      <c r="AG385">
        <v>8253.6</v>
      </c>
    </row>
    <row r="386" spans="1:33" x14ac:dyDescent="0.25">
      <c r="A386" t="s">
        <v>18</v>
      </c>
      <c r="B386">
        <v>140000</v>
      </c>
      <c r="C386">
        <v>53</v>
      </c>
      <c r="D386" s="2">
        <f>Table3[[#This Row],[PrimaTécnica]]-Table3[[#This Row],[PrimaTécnica]]*SUM(Table3[[#This Row],[Gastos Adm]:[Cobranza]])</f>
        <v>3657.6457422335989</v>
      </c>
      <c r="E386">
        <v>0</v>
      </c>
      <c r="F386">
        <v>0.15</v>
      </c>
      <c r="G386">
        <v>0.05</v>
      </c>
      <c r="H386">
        <v>0.01</v>
      </c>
      <c r="I386">
        <v>0.01</v>
      </c>
      <c r="J386" s="8">
        <f>Table3[[#This Row],[PrimaTécnica]]*Table3[[#This Row],[Gastos Adm]]</f>
        <v>703.3934119679999</v>
      </c>
      <c r="K386" s="8">
        <f>Table3[[#This Row],[PrimaTécnica]]*Table3[[#This Row],[Utilidad]]</f>
        <v>234.46447065599997</v>
      </c>
      <c r="L386" s="8">
        <f>Table3[[#This Row],[PrimaTécnica]]*Table3[[#This Row],[Marketing]]</f>
        <v>46.892894131199995</v>
      </c>
      <c r="M386" s="8">
        <f>Table3[[#This Row],[PrimaTécnica]]*Table3[[#This Row],[Cobranza]]</f>
        <v>46.892894131199995</v>
      </c>
      <c r="N38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4689.2894131199992</v>
      </c>
      <c r="O386">
        <v>21.84</v>
      </c>
      <c r="P386">
        <v>54.6</v>
      </c>
      <c r="Q386">
        <v>80.64</v>
      </c>
      <c r="R386">
        <v>44.377200000000002</v>
      </c>
      <c r="S386">
        <v>0.2</v>
      </c>
      <c r="T386">
        <v>0.02</v>
      </c>
      <c r="U386" s="8">
        <f>Table3[[#This Row],[PrimaNeta]]*Table3[[#This Row],[Comisión]]</f>
        <v>1222.6866532800002</v>
      </c>
      <c r="V386" s="15">
        <f>Table3[[#This Row],[PrimaComercial Anual]]-Table3[[#This Row],[PrimaComercial Anual]]*SUM(Table3[[#This Row],[APS]:[IVA]])</f>
        <v>6113.4332664000003</v>
      </c>
      <c r="W386" s="2">
        <v>1.4800000000000001E-2</v>
      </c>
      <c r="X386" s="2">
        <v>8.4501000000000007E-2</v>
      </c>
      <c r="Y386">
        <v>0.03</v>
      </c>
      <c r="Z386">
        <v>0.13</v>
      </c>
      <c r="AA386" s="20">
        <f>Table3[[#This Row],[APS]]*Table3[[#This Row],[PrimaComercial Anual]]</f>
        <v>122.15328000000001</v>
      </c>
      <c r="AB386" s="8">
        <f>Table3[[#This Row],[PrimaComercial Anual]]*Table3[[#This Row],[Recargo adicional]]</f>
        <v>697.43745360000014</v>
      </c>
      <c r="AC386" s="8">
        <f>Table3[[#This Row],[PrimaComercial Anual]]*Table3[[#This Row],[IT]]</f>
        <v>247.608</v>
      </c>
      <c r="AD386" s="8">
        <f>Table3[[#This Row],[PrimaComercial Anual]]*Table3[[#This Row],[IVA]]</f>
        <v>1072.9680000000001</v>
      </c>
      <c r="AE386" s="15">
        <f>Table3[[#This Row],[PrimaComercial Anual Asistencia]]</f>
        <v>8253.6</v>
      </c>
      <c r="AG386">
        <v>8253.6</v>
      </c>
    </row>
    <row r="387" spans="1:33" x14ac:dyDescent="0.25">
      <c r="A387" t="s">
        <v>18</v>
      </c>
      <c r="B387">
        <v>140000</v>
      </c>
      <c r="C387">
        <v>54</v>
      </c>
      <c r="D387" s="2">
        <f>Table3[[#This Row],[PrimaTécnica]]-Table3[[#This Row],[PrimaTécnica]]*SUM(Table3[[#This Row],[Gastos Adm]:[Cobranza]])</f>
        <v>3657.6457422335989</v>
      </c>
      <c r="E387">
        <v>0</v>
      </c>
      <c r="F387">
        <v>0.15</v>
      </c>
      <c r="G387">
        <v>0.05</v>
      </c>
      <c r="H387">
        <v>0.01</v>
      </c>
      <c r="I387">
        <v>0.01</v>
      </c>
      <c r="J387" s="8">
        <f>Table3[[#This Row],[PrimaTécnica]]*Table3[[#This Row],[Gastos Adm]]</f>
        <v>703.3934119679999</v>
      </c>
      <c r="K387" s="8">
        <f>Table3[[#This Row],[PrimaTécnica]]*Table3[[#This Row],[Utilidad]]</f>
        <v>234.46447065599997</v>
      </c>
      <c r="L387" s="8">
        <f>Table3[[#This Row],[PrimaTécnica]]*Table3[[#This Row],[Marketing]]</f>
        <v>46.892894131199995</v>
      </c>
      <c r="M387" s="8">
        <f>Table3[[#This Row],[PrimaTécnica]]*Table3[[#This Row],[Cobranza]]</f>
        <v>46.892894131199995</v>
      </c>
      <c r="N38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4689.2894131199992</v>
      </c>
      <c r="O387">
        <v>21.84</v>
      </c>
      <c r="P387">
        <v>54.6</v>
      </c>
      <c r="Q387">
        <v>80.64</v>
      </c>
      <c r="R387">
        <v>44.377200000000002</v>
      </c>
      <c r="S387">
        <v>0.2</v>
      </c>
      <c r="T387">
        <v>0.02</v>
      </c>
      <c r="U387" s="8">
        <f>Table3[[#This Row],[PrimaNeta]]*Table3[[#This Row],[Comisión]]</f>
        <v>1222.6866532800002</v>
      </c>
      <c r="V387" s="15">
        <f>Table3[[#This Row],[PrimaComercial Anual]]-Table3[[#This Row],[PrimaComercial Anual]]*SUM(Table3[[#This Row],[APS]:[IVA]])</f>
        <v>6113.4332664000003</v>
      </c>
      <c r="W387" s="2">
        <v>1.4800000000000001E-2</v>
      </c>
      <c r="X387" s="2">
        <v>8.4501000000000007E-2</v>
      </c>
      <c r="Y387">
        <v>0.03</v>
      </c>
      <c r="Z387">
        <v>0.13</v>
      </c>
      <c r="AA387" s="20">
        <f>Table3[[#This Row],[APS]]*Table3[[#This Row],[PrimaComercial Anual]]</f>
        <v>122.15328000000001</v>
      </c>
      <c r="AB387" s="8">
        <f>Table3[[#This Row],[PrimaComercial Anual]]*Table3[[#This Row],[Recargo adicional]]</f>
        <v>697.43745360000014</v>
      </c>
      <c r="AC387" s="8">
        <f>Table3[[#This Row],[PrimaComercial Anual]]*Table3[[#This Row],[IT]]</f>
        <v>247.608</v>
      </c>
      <c r="AD387" s="8">
        <f>Table3[[#This Row],[PrimaComercial Anual]]*Table3[[#This Row],[IVA]]</f>
        <v>1072.9680000000001</v>
      </c>
      <c r="AE387" s="15">
        <f>Table3[[#This Row],[PrimaComercial Anual Asistencia]]</f>
        <v>8253.6</v>
      </c>
      <c r="AG387">
        <v>8253.6</v>
      </c>
    </row>
    <row r="388" spans="1:33" x14ac:dyDescent="0.25">
      <c r="A388" t="s">
        <v>18</v>
      </c>
      <c r="B388">
        <v>140000</v>
      </c>
      <c r="C388">
        <v>55</v>
      </c>
      <c r="D388" s="2">
        <f>Table3[[#This Row],[PrimaTécnica]]-Table3[[#This Row],[PrimaTécnica]]*SUM(Table3[[#This Row],[Gastos Adm]:[Cobranza]])</f>
        <v>3657.6457422335989</v>
      </c>
      <c r="E388">
        <v>0</v>
      </c>
      <c r="F388">
        <v>0.15</v>
      </c>
      <c r="G388">
        <v>0.05</v>
      </c>
      <c r="H388">
        <v>0.01</v>
      </c>
      <c r="I388">
        <v>0.01</v>
      </c>
      <c r="J388" s="8">
        <f>Table3[[#This Row],[PrimaTécnica]]*Table3[[#This Row],[Gastos Adm]]</f>
        <v>703.3934119679999</v>
      </c>
      <c r="K388" s="8">
        <f>Table3[[#This Row],[PrimaTécnica]]*Table3[[#This Row],[Utilidad]]</f>
        <v>234.46447065599997</v>
      </c>
      <c r="L388" s="8">
        <f>Table3[[#This Row],[PrimaTécnica]]*Table3[[#This Row],[Marketing]]</f>
        <v>46.892894131199995</v>
      </c>
      <c r="M388" s="8">
        <f>Table3[[#This Row],[PrimaTécnica]]*Table3[[#This Row],[Cobranza]]</f>
        <v>46.892894131199995</v>
      </c>
      <c r="N38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4689.2894131199992</v>
      </c>
      <c r="O388">
        <v>21.84</v>
      </c>
      <c r="P388">
        <v>54.6</v>
      </c>
      <c r="Q388">
        <v>80.64</v>
      </c>
      <c r="R388">
        <v>44.377200000000002</v>
      </c>
      <c r="S388">
        <v>0.2</v>
      </c>
      <c r="T388">
        <v>0.02</v>
      </c>
      <c r="U388" s="8">
        <f>Table3[[#This Row],[PrimaNeta]]*Table3[[#This Row],[Comisión]]</f>
        <v>1222.6866532800002</v>
      </c>
      <c r="V388" s="15">
        <f>Table3[[#This Row],[PrimaComercial Anual]]-Table3[[#This Row],[PrimaComercial Anual]]*SUM(Table3[[#This Row],[APS]:[IVA]])</f>
        <v>6113.4332664000003</v>
      </c>
      <c r="W388" s="2">
        <v>1.4800000000000001E-2</v>
      </c>
      <c r="X388" s="2">
        <v>8.4501000000000007E-2</v>
      </c>
      <c r="Y388">
        <v>0.03</v>
      </c>
      <c r="Z388">
        <v>0.13</v>
      </c>
      <c r="AA388" s="20">
        <f>Table3[[#This Row],[APS]]*Table3[[#This Row],[PrimaComercial Anual]]</f>
        <v>122.15328000000001</v>
      </c>
      <c r="AB388" s="8">
        <f>Table3[[#This Row],[PrimaComercial Anual]]*Table3[[#This Row],[Recargo adicional]]</f>
        <v>697.43745360000014</v>
      </c>
      <c r="AC388" s="8">
        <f>Table3[[#This Row],[PrimaComercial Anual]]*Table3[[#This Row],[IT]]</f>
        <v>247.608</v>
      </c>
      <c r="AD388" s="8">
        <f>Table3[[#This Row],[PrimaComercial Anual]]*Table3[[#This Row],[IVA]]</f>
        <v>1072.9680000000001</v>
      </c>
      <c r="AE388" s="15">
        <f>Table3[[#This Row],[PrimaComercial Anual Asistencia]]</f>
        <v>8253.6</v>
      </c>
      <c r="AG388">
        <v>8253.6</v>
      </c>
    </row>
    <row r="389" spans="1:33" x14ac:dyDescent="0.25">
      <c r="A389" t="s">
        <v>18</v>
      </c>
      <c r="B389">
        <v>140000</v>
      </c>
      <c r="C389">
        <v>56</v>
      </c>
      <c r="D389" s="2">
        <f>Table3[[#This Row],[PrimaTécnica]]-Table3[[#This Row],[PrimaTécnica]]*SUM(Table3[[#This Row],[Gastos Adm]:[Cobranza]])</f>
        <v>4174.0113100607987</v>
      </c>
      <c r="E389">
        <v>0</v>
      </c>
      <c r="F389">
        <v>0.15</v>
      </c>
      <c r="G389">
        <v>0.05</v>
      </c>
      <c r="H389">
        <v>0.01</v>
      </c>
      <c r="I389">
        <v>0.01</v>
      </c>
      <c r="J389" s="8">
        <f>Table3[[#This Row],[PrimaTécnica]]*Table3[[#This Row],[Gastos Adm]]</f>
        <v>802.69448270399971</v>
      </c>
      <c r="K389" s="8">
        <f>Table3[[#This Row],[PrimaTécnica]]*Table3[[#This Row],[Utilidad]]</f>
        <v>267.56482756799994</v>
      </c>
      <c r="L389" s="8">
        <f>Table3[[#This Row],[PrimaTécnica]]*Table3[[#This Row],[Marketing]]</f>
        <v>53.512965513599987</v>
      </c>
      <c r="M389" s="8">
        <f>Table3[[#This Row],[PrimaTécnica]]*Table3[[#This Row],[Cobranza]]</f>
        <v>53.512965513599987</v>
      </c>
      <c r="N38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5351.2965513599984</v>
      </c>
      <c r="O389">
        <v>21.84</v>
      </c>
      <c r="P389">
        <v>54.6</v>
      </c>
      <c r="Q389">
        <v>80.64</v>
      </c>
      <c r="R389">
        <v>44.377200000000002</v>
      </c>
      <c r="S389">
        <v>0.2</v>
      </c>
      <c r="T389">
        <v>0.02</v>
      </c>
      <c r="U389" s="8">
        <f>Table3[[#This Row],[PrimaNeta]]*Table3[[#This Row],[Comisión]]</f>
        <v>1388.18843784</v>
      </c>
      <c r="V389" s="15">
        <f>Table3[[#This Row],[PrimaComercial Anual]]-Table3[[#This Row],[PrimaComercial Anual]]*SUM(Table3[[#This Row],[APS]:[IVA]])</f>
        <v>6940.9421891999991</v>
      </c>
      <c r="W389" s="2">
        <v>1.4800000000000001E-2</v>
      </c>
      <c r="X389" s="2">
        <v>8.4501000000000007E-2</v>
      </c>
      <c r="Y389">
        <v>0.03</v>
      </c>
      <c r="Z389">
        <v>0.13</v>
      </c>
      <c r="AA389" s="20">
        <f>Table3[[#This Row],[APS]]*Table3[[#This Row],[PrimaComercial Anual]]</f>
        <v>138.68783999999999</v>
      </c>
      <c r="AB389" s="8">
        <f>Table3[[#This Row],[PrimaComercial Anual]]*Table3[[#This Row],[Recargo adicional]]</f>
        <v>791.84197080000001</v>
      </c>
      <c r="AC389" s="8">
        <f>Table3[[#This Row],[PrimaComercial Anual]]*Table3[[#This Row],[IT]]</f>
        <v>281.12399999999997</v>
      </c>
      <c r="AD389" s="8">
        <f>Table3[[#This Row],[PrimaComercial Anual]]*Table3[[#This Row],[IVA]]</f>
        <v>1218.204</v>
      </c>
      <c r="AE389" s="15">
        <f>Table3[[#This Row],[PrimaComercial Anual Asistencia]]</f>
        <v>9370.7999999999993</v>
      </c>
      <c r="AG389">
        <v>9370.7999999999993</v>
      </c>
    </row>
    <row r="390" spans="1:33" x14ac:dyDescent="0.25">
      <c r="A390" t="s">
        <v>18</v>
      </c>
      <c r="B390">
        <v>140000</v>
      </c>
      <c r="C390">
        <v>57</v>
      </c>
      <c r="D390" s="2">
        <f>Table3[[#This Row],[PrimaTécnica]]-Table3[[#This Row],[PrimaTécnica]]*SUM(Table3[[#This Row],[Gastos Adm]:[Cobranza]])</f>
        <v>4174.0113100607987</v>
      </c>
      <c r="E390">
        <v>0</v>
      </c>
      <c r="F390">
        <v>0.15</v>
      </c>
      <c r="G390">
        <v>0.05</v>
      </c>
      <c r="H390">
        <v>0.01</v>
      </c>
      <c r="I390">
        <v>0.01</v>
      </c>
      <c r="J390" s="8">
        <f>Table3[[#This Row],[PrimaTécnica]]*Table3[[#This Row],[Gastos Adm]]</f>
        <v>802.69448270399971</v>
      </c>
      <c r="K390" s="8">
        <f>Table3[[#This Row],[PrimaTécnica]]*Table3[[#This Row],[Utilidad]]</f>
        <v>267.56482756799994</v>
      </c>
      <c r="L390" s="8">
        <f>Table3[[#This Row],[PrimaTécnica]]*Table3[[#This Row],[Marketing]]</f>
        <v>53.512965513599987</v>
      </c>
      <c r="M390" s="8">
        <f>Table3[[#This Row],[PrimaTécnica]]*Table3[[#This Row],[Cobranza]]</f>
        <v>53.512965513599987</v>
      </c>
      <c r="N39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5351.2965513599984</v>
      </c>
      <c r="O390">
        <v>21.84</v>
      </c>
      <c r="P390">
        <v>54.6</v>
      </c>
      <c r="Q390">
        <v>80.64</v>
      </c>
      <c r="R390">
        <v>44.377200000000002</v>
      </c>
      <c r="S390">
        <v>0.2</v>
      </c>
      <c r="T390">
        <v>0.02</v>
      </c>
      <c r="U390" s="8">
        <f>Table3[[#This Row],[PrimaNeta]]*Table3[[#This Row],[Comisión]]</f>
        <v>1388.18843784</v>
      </c>
      <c r="V390" s="15">
        <f>Table3[[#This Row],[PrimaComercial Anual]]-Table3[[#This Row],[PrimaComercial Anual]]*SUM(Table3[[#This Row],[APS]:[IVA]])</f>
        <v>6940.9421891999991</v>
      </c>
      <c r="W390" s="2">
        <v>1.4800000000000001E-2</v>
      </c>
      <c r="X390" s="2">
        <v>8.4501000000000007E-2</v>
      </c>
      <c r="Y390">
        <v>0.03</v>
      </c>
      <c r="Z390">
        <v>0.13</v>
      </c>
      <c r="AA390" s="20">
        <f>Table3[[#This Row],[APS]]*Table3[[#This Row],[PrimaComercial Anual]]</f>
        <v>138.68783999999999</v>
      </c>
      <c r="AB390" s="8">
        <f>Table3[[#This Row],[PrimaComercial Anual]]*Table3[[#This Row],[Recargo adicional]]</f>
        <v>791.84197080000001</v>
      </c>
      <c r="AC390" s="8">
        <f>Table3[[#This Row],[PrimaComercial Anual]]*Table3[[#This Row],[IT]]</f>
        <v>281.12399999999997</v>
      </c>
      <c r="AD390" s="8">
        <f>Table3[[#This Row],[PrimaComercial Anual]]*Table3[[#This Row],[IVA]]</f>
        <v>1218.204</v>
      </c>
      <c r="AE390" s="15">
        <f>Table3[[#This Row],[PrimaComercial Anual Asistencia]]</f>
        <v>9370.7999999999993</v>
      </c>
      <c r="AG390">
        <v>9370.7999999999993</v>
      </c>
    </row>
    <row r="391" spans="1:33" x14ac:dyDescent="0.25">
      <c r="A391" t="s">
        <v>18</v>
      </c>
      <c r="B391">
        <v>140000</v>
      </c>
      <c r="C391">
        <v>58</v>
      </c>
      <c r="D391" s="2">
        <f>Table3[[#This Row],[PrimaTécnica]]-Table3[[#This Row],[PrimaTécnica]]*SUM(Table3[[#This Row],[Gastos Adm]:[Cobranza]])</f>
        <v>4174.0113100607987</v>
      </c>
      <c r="E391">
        <v>0</v>
      </c>
      <c r="F391">
        <v>0.15</v>
      </c>
      <c r="G391">
        <v>0.05</v>
      </c>
      <c r="H391">
        <v>0.01</v>
      </c>
      <c r="I391">
        <v>0.01</v>
      </c>
      <c r="J391" s="8">
        <f>Table3[[#This Row],[PrimaTécnica]]*Table3[[#This Row],[Gastos Adm]]</f>
        <v>802.69448270399971</v>
      </c>
      <c r="K391" s="8">
        <f>Table3[[#This Row],[PrimaTécnica]]*Table3[[#This Row],[Utilidad]]</f>
        <v>267.56482756799994</v>
      </c>
      <c r="L391" s="8">
        <f>Table3[[#This Row],[PrimaTécnica]]*Table3[[#This Row],[Marketing]]</f>
        <v>53.512965513599987</v>
      </c>
      <c r="M391" s="8">
        <f>Table3[[#This Row],[PrimaTécnica]]*Table3[[#This Row],[Cobranza]]</f>
        <v>53.512965513599987</v>
      </c>
      <c r="N39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5351.2965513599984</v>
      </c>
      <c r="O391">
        <v>21.84</v>
      </c>
      <c r="P391">
        <v>54.6</v>
      </c>
      <c r="Q391">
        <v>80.64</v>
      </c>
      <c r="R391">
        <v>44.377200000000002</v>
      </c>
      <c r="S391">
        <v>0.2</v>
      </c>
      <c r="T391">
        <v>0.02</v>
      </c>
      <c r="U391" s="8">
        <f>Table3[[#This Row],[PrimaNeta]]*Table3[[#This Row],[Comisión]]</f>
        <v>1388.18843784</v>
      </c>
      <c r="V391" s="15">
        <f>Table3[[#This Row],[PrimaComercial Anual]]-Table3[[#This Row],[PrimaComercial Anual]]*SUM(Table3[[#This Row],[APS]:[IVA]])</f>
        <v>6940.9421891999991</v>
      </c>
      <c r="W391" s="2">
        <v>1.4800000000000001E-2</v>
      </c>
      <c r="X391" s="2">
        <v>8.4501000000000007E-2</v>
      </c>
      <c r="Y391">
        <v>0.03</v>
      </c>
      <c r="Z391">
        <v>0.13</v>
      </c>
      <c r="AA391" s="20">
        <f>Table3[[#This Row],[APS]]*Table3[[#This Row],[PrimaComercial Anual]]</f>
        <v>138.68783999999999</v>
      </c>
      <c r="AB391" s="8">
        <f>Table3[[#This Row],[PrimaComercial Anual]]*Table3[[#This Row],[Recargo adicional]]</f>
        <v>791.84197080000001</v>
      </c>
      <c r="AC391" s="8">
        <f>Table3[[#This Row],[PrimaComercial Anual]]*Table3[[#This Row],[IT]]</f>
        <v>281.12399999999997</v>
      </c>
      <c r="AD391" s="8">
        <f>Table3[[#This Row],[PrimaComercial Anual]]*Table3[[#This Row],[IVA]]</f>
        <v>1218.204</v>
      </c>
      <c r="AE391" s="15">
        <f>Table3[[#This Row],[PrimaComercial Anual Asistencia]]</f>
        <v>9370.7999999999993</v>
      </c>
      <c r="AG391">
        <v>9370.7999999999993</v>
      </c>
    </row>
    <row r="392" spans="1:33" x14ac:dyDescent="0.25">
      <c r="A392" t="s">
        <v>18</v>
      </c>
      <c r="B392">
        <v>140000</v>
      </c>
      <c r="C392">
        <v>59</v>
      </c>
      <c r="D392" s="2">
        <f>Table3[[#This Row],[PrimaTécnica]]-Table3[[#This Row],[PrimaTécnica]]*SUM(Table3[[#This Row],[Gastos Adm]:[Cobranza]])</f>
        <v>4174.0113100607987</v>
      </c>
      <c r="E392">
        <v>0</v>
      </c>
      <c r="F392">
        <v>0.15</v>
      </c>
      <c r="G392">
        <v>0.05</v>
      </c>
      <c r="H392">
        <v>0.01</v>
      </c>
      <c r="I392">
        <v>0.01</v>
      </c>
      <c r="J392" s="8">
        <f>Table3[[#This Row],[PrimaTécnica]]*Table3[[#This Row],[Gastos Adm]]</f>
        <v>802.69448270399971</v>
      </c>
      <c r="K392" s="8">
        <f>Table3[[#This Row],[PrimaTécnica]]*Table3[[#This Row],[Utilidad]]</f>
        <v>267.56482756799994</v>
      </c>
      <c r="L392" s="8">
        <f>Table3[[#This Row],[PrimaTécnica]]*Table3[[#This Row],[Marketing]]</f>
        <v>53.512965513599987</v>
      </c>
      <c r="M392" s="8">
        <f>Table3[[#This Row],[PrimaTécnica]]*Table3[[#This Row],[Cobranza]]</f>
        <v>53.512965513599987</v>
      </c>
      <c r="N39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5351.2965513599984</v>
      </c>
      <c r="O392">
        <v>21.84</v>
      </c>
      <c r="P392">
        <v>54.6</v>
      </c>
      <c r="Q392">
        <v>80.64</v>
      </c>
      <c r="R392">
        <v>44.377200000000002</v>
      </c>
      <c r="S392">
        <v>0.2</v>
      </c>
      <c r="T392">
        <v>0.02</v>
      </c>
      <c r="U392" s="8">
        <f>Table3[[#This Row],[PrimaNeta]]*Table3[[#This Row],[Comisión]]</f>
        <v>1388.18843784</v>
      </c>
      <c r="V392" s="15">
        <f>Table3[[#This Row],[PrimaComercial Anual]]-Table3[[#This Row],[PrimaComercial Anual]]*SUM(Table3[[#This Row],[APS]:[IVA]])</f>
        <v>6940.9421891999991</v>
      </c>
      <c r="W392" s="2">
        <v>1.4800000000000001E-2</v>
      </c>
      <c r="X392" s="2">
        <v>8.4501000000000007E-2</v>
      </c>
      <c r="Y392">
        <v>0.03</v>
      </c>
      <c r="Z392">
        <v>0.13</v>
      </c>
      <c r="AA392" s="20">
        <f>Table3[[#This Row],[APS]]*Table3[[#This Row],[PrimaComercial Anual]]</f>
        <v>138.68783999999999</v>
      </c>
      <c r="AB392" s="8">
        <f>Table3[[#This Row],[PrimaComercial Anual]]*Table3[[#This Row],[Recargo adicional]]</f>
        <v>791.84197080000001</v>
      </c>
      <c r="AC392" s="8">
        <f>Table3[[#This Row],[PrimaComercial Anual]]*Table3[[#This Row],[IT]]</f>
        <v>281.12399999999997</v>
      </c>
      <c r="AD392" s="8">
        <f>Table3[[#This Row],[PrimaComercial Anual]]*Table3[[#This Row],[IVA]]</f>
        <v>1218.204</v>
      </c>
      <c r="AE392" s="15">
        <f>Table3[[#This Row],[PrimaComercial Anual Asistencia]]</f>
        <v>9370.7999999999993</v>
      </c>
      <c r="AG392">
        <v>9370.7999999999993</v>
      </c>
    </row>
    <row r="393" spans="1:33" x14ac:dyDescent="0.25">
      <c r="A393" t="s">
        <v>18</v>
      </c>
      <c r="B393">
        <v>140000</v>
      </c>
      <c r="C393">
        <v>60</v>
      </c>
      <c r="D393" s="2">
        <f>Table3[[#This Row],[PrimaTécnica]]-Table3[[#This Row],[PrimaTécnica]]*SUM(Table3[[#This Row],[Gastos Adm]:[Cobranza]])</f>
        <v>7087.7884427999979</v>
      </c>
      <c r="E393">
        <v>0</v>
      </c>
      <c r="F393">
        <v>0.15</v>
      </c>
      <c r="G393">
        <v>0.05</v>
      </c>
      <c r="H393">
        <v>0.01</v>
      </c>
      <c r="I393">
        <v>0.01</v>
      </c>
      <c r="J393" s="8">
        <f>Table3[[#This Row],[PrimaTécnica]]*Table3[[#This Row],[Gastos Adm]]</f>
        <v>1363.0362389999998</v>
      </c>
      <c r="K393" s="8">
        <f>Table3[[#This Row],[PrimaTécnica]]*Table3[[#This Row],[Utilidad]]</f>
        <v>454.34541299999995</v>
      </c>
      <c r="L393" s="8">
        <f>Table3[[#This Row],[PrimaTécnica]]*Table3[[#This Row],[Marketing]]</f>
        <v>90.869082599999984</v>
      </c>
      <c r="M393" s="8">
        <f>Table3[[#This Row],[PrimaTécnica]]*Table3[[#This Row],[Cobranza]]</f>
        <v>90.869082599999984</v>
      </c>
      <c r="N39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9086.9082599999983</v>
      </c>
      <c r="O393">
        <v>21.84</v>
      </c>
      <c r="P393">
        <v>54.6</v>
      </c>
      <c r="Q393">
        <v>80.64</v>
      </c>
      <c r="R393">
        <v>44.377200000000002</v>
      </c>
      <c r="S393">
        <v>0.2</v>
      </c>
      <c r="T393">
        <v>0.02</v>
      </c>
      <c r="U393" s="8">
        <f>Table3[[#This Row],[PrimaNeta]]*Table3[[#This Row],[Comisión]]</f>
        <v>2322.0913649999998</v>
      </c>
      <c r="V393" s="15">
        <f>Table3[[#This Row],[PrimaComercial Anual]]-Table3[[#This Row],[PrimaComercial Anual]]*SUM(Table3[[#This Row],[APS]:[IVA]])</f>
        <v>11610.456824999999</v>
      </c>
      <c r="W393" s="2">
        <v>1.4800000000000001E-2</v>
      </c>
      <c r="X393" s="2">
        <v>8.4501000000000007E-2</v>
      </c>
      <c r="Y393">
        <v>0.03</v>
      </c>
      <c r="Z393">
        <v>0.13</v>
      </c>
      <c r="AA393" s="20">
        <f>Table3[[#This Row],[APS]]*Table3[[#This Row],[PrimaComercial Anual]]</f>
        <v>231.99</v>
      </c>
      <c r="AB393" s="8">
        <f>Table3[[#This Row],[PrimaComercial Anual]]*Table3[[#This Row],[Recargo adicional]]</f>
        <v>1324.553175</v>
      </c>
      <c r="AC393" s="8">
        <f>Table3[[#This Row],[PrimaComercial Anual]]*Table3[[#This Row],[IT]]</f>
        <v>470.25</v>
      </c>
      <c r="AD393" s="8">
        <f>Table3[[#This Row],[PrimaComercial Anual]]*Table3[[#This Row],[IVA]]</f>
        <v>2037.75</v>
      </c>
      <c r="AE393" s="15">
        <f>Table3[[#This Row],[PrimaComercial Anual Asistencia]]</f>
        <v>15675</v>
      </c>
      <c r="AG393">
        <v>15675</v>
      </c>
    </row>
    <row r="394" spans="1:33" x14ac:dyDescent="0.25">
      <c r="A394" t="s">
        <v>18</v>
      </c>
      <c r="B394">
        <v>140000</v>
      </c>
      <c r="C394">
        <v>61</v>
      </c>
      <c r="D394" s="2">
        <f>Table3[[#This Row],[PrimaTécnica]]-Table3[[#This Row],[PrimaTécnica]]*SUM(Table3[[#This Row],[Gastos Adm]:[Cobranza]])</f>
        <v>7087.7884427999979</v>
      </c>
      <c r="E394">
        <v>0</v>
      </c>
      <c r="F394">
        <v>0.15</v>
      </c>
      <c r="G394">
        <v>0.05</v>
      </c>
      <c r="H394">
        <v>0.01</v>
      </c>
      <c r="I394">
        <v>0.01</v>
      </c>
      <c r="J394" s="8">
        <f>Table3[[#This Row],[PrimaTécnica]]*Table3[[#This Row],[Gastos Adm]]</f>
        <v>1363.0362389999998</v>
      </c>
      <c r="K394" s="8">
        <f>Table3[[#This Row],[PrimaTécnica]]*Table3[[#This Row],[Utilidad]]</f>
        <v>454.34541299999995</v>
      </c>
      <c r="L394" s="8">
        <f>Table3[[#This Row],[PrimaTécnica]]*Table3[[#This Row],[Marketing]]</f>
        <v>90.869082599999984</v>
      </c>
      <c r="M394" s="8">
        <f>Table3[[#This Row],[PrimaTécnica]]*Table3[[#This Row],[Cobranza]]</f>
        <v>90.869082599999984</v>
      </c>
      <c r="N39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9086.9082599999983</v>
      </c>
      <c r="O394">
        <v>21.84</v>
      </c>
      <c r="P394">
        <v>54.6</v>
      </c>
      <c r="Q394">
        <v>80.64</v>
      </c>
      <c r="R394">
        <v>44.377200000000002</v>
      </c>
      <c r="S394">
        <v>0.2</v>
      </c>
      <c r="T394">
        <v>0.02</v>
      </c>
      <c r="U394" s="8">
        <f>Table3[[#This Row],[PrimaNeta]]*Table3[[#This Row],[Comisión]]</f>
        <v>2322.0913649999998</v>
      </c>
      <c r="V394" s="15">
        <f>Table3[[#This Row],[PrimaComercial Anual]]-Table3[[#This Row],[PrimaComercial Anual]]*SUM(Table3[[#This Row],[APS]:[IVA]])</f>
        <v>11610.456824999999</v>
      </c>
      <c r="W394" s="2">
        <v>1.4800000000000001E-2</v>
      </c>
      <c r="X394" s="2">
        <v>8.4501000000000007E-2</v>
      </c>
      <c r="Y394">
        <v>0.03</v>
      </c>
      <c r="Z394">
        <v>0.13</v>
      </c>
      <c r="AA394" s="20">
        <f>Table3[[#This Row],[APS]]*Table3[[#This Row],[PrimaComercial Anual]]</f>
        <v>231.99</v>
      </c>
      <c r="AB394" s="8">
        <f>Table3[[#This Row],[PrimaComercial Anual]]*Table3[[#This Row],[Recargo adicional]]</f>
        <v>1324.553175</v>
      </c>
      <c r="AC394" s="8">
        <f>Table3[[#This Row],[PrimaComercial Anual]]*Table3[[#This Row],[IT]]</f>
        <v>470.25</v>
      </c>
      <c r="AD394" s="8">
        <f>Table3[[#This Row],[PrimaComercial Anual]]*Table3[[#This Row],[IVA]]</f>
        <v>2037.75</v>
      </c>
      <c r="AE394" s="15">
        <f>Table3[[#This Row],[PrimaComercial Anual Asistencia]]</f>
        <v>15675</v>
      </c>
      <c r="AG394">
        <v>15675</v>
      </c>
    </row>
    <row r="395" spans="1:33" x14ac:dyDescent="0.25">
      <c r="A395" t="s">
        <v>18</v>
      </c>
      <c r="B395">
        <v>140000</v>
      </c>
      <c r="C395">
        <v>62</v>
      </c>
      <c r="D395" s="2">
        <f>Table3[[#This Row],[PrimaTécnica]]-Table3[[#This Row],[PrimaTécnica]]*SUM(Table3[[#This Row],[Gastos Adm]:[Cobranza]])</f>
        <v>7087.7884427999979</v>
      </c>
      <c r="E395">
        <v>0</v>
      </c>
      <c r="F395">
        <v>0.15</v>
      </c>
      <c r="G395">
        <v>0.05</v>
      </c>
      <c r="H395">
        <v>0.01</v>
      </c>
      <c r="I395">
        <v>0.01</v>
      </c>
      <c r="J395" s="8">
        <f>Table3[[#This Row],[PrimaTécnica]]*Table3[[#This Row],[Gastos Adm]]</f>
        <v>1363.0362389999998</v>
      </c>
      <c r="K395" s="8">
        <f>Table3[[#This Row],[PrimaTécnica]]*Table3[[#This Row],[Utilidad]]</f>
        <v>454.34541299999995</v>
      </c>
      <c r="L395" s="8">
        <f>Table3[[#This Row],[PrimaTécnica]]*Table3[[#This Row],[Marketing]]</f>
        <v>90.869082599999984</v>
      </c>
      <c r="M395" s="8">
        <f>Table3[[#This Row],[PrimaTécnica]]*Table3[[#This Row],[Cobranza]]</f>
        <v>90.869082599999984</v>
      </c>
      <c r="N39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9086.9082599999983</v>
      </c>
      <c r="O395">
        <v>21.84</v>
      </c>
      <c r="P395">
        <v>54.6</v>
      </c>
      <c r="Q395">
        <v>80.64</v>
      </c>
      <c r="R395">
        <v>44.377200000000002</v>
      </c>
      <c r="S395">
        <v>0.2</v>
      </c>
      <c r="T395">
        <v>0.02</v>
      </c>
      <c r="U395" s="8">
        <f>Table3[[#This Row],[PrimaNeta]]*Table3[[#This Row],[Comisión]]</f>
        <v>2322.0913649999998</v>
      </c>
      <c r="V395" s="15">
        <f>Table3[[#This Row],[PrimaComercial Anual]]-Table3[[#This Row],[PrimaComercial Anual]]*SUM(Table3[[#This Row],[APS]:[IVA]])</f>
        <v>11610.456824999999</v>
      </c>
      <c r="W395" s="2">
        <v>1.4800000000000001E-2</v>
      </c>
      <c r="X395" s="2">
        <v>8.4501000000000007E-2</v>
      </c>
      <c r="Y395">
        <v>0.03</v>
      </c>
      <c r="Z395">
        <v>0.13</v>
      </c>
      <c r="AA395" s="20">
        <f>Table3[[#This Row],[APS]]*Table3[[#This Row],[PrimaComercial Anual]]</f>
        <v>231.99</v>
      </c>
      <c r="AB395" s="8">
        <f>Table3[[#This Row],[PrimaComercial Anual]]*Table3[[#This Row],[Recargo adicional]]</f>
        <v>1324.553175</v>
      </c>
      <c r="AC395" s="8">
        <f>Table3[[#This Row],[PrimaComercial Anual]]*Table3[[#This Row],[IT]]</f>
        <v>470.25</v>
      </c>
      <c r="AD395" s="8">
        <f>Table3[[#This Row],[PrimaComercial Anual]]*Table3[[#This Row],[IVA]]</f>
        <v>2037.75</v>
      </c>
      <c r="AE395" s="15">
        <f>Table3[[#This Row],[PrimaComercial Anual Asistencia]]</f>
        <v>15675</v>
      </c>
      <c r="AG395">
        <v>15675</v>
      </c>
    </row>
    <row r="396" spans="1:33" x14ac:dyDescent="0.25">
      <c r="A396" t="s">
        <v>18</v>
      </c>
      <c r="B396">
        <v>140000</v>
      </c>
      <c r="C396">
        <v>63</v>
      </c>
      <c r="D396" s="2">
        <f>Table3[[#This Row],[PrimaTécnica]]-Table3[[#This Row],[PrimaTécnica]]*SUM(Table3[[#This Row],[Gastos Adm]:[Cobranza]])</f>
        <v>7087.7884427999979</v>
      </c>
      <c r="E396">
        <v>0</v>
      </c>
      <c r="F396">
        <v>0.15</v>
      </c>
      <c r="G396">
        <v>0.05</v>
      </c>
      <c r="H396">
        <v>0.01</v>
      </c>
      <c r="I396">
        <v>0.01</v>
      </c>
      <c r="J396" s="8">
        <f>Table3[[#This Row],[PrimaTécnica]]*Table3[[#This Row],[Gastos Adm]]</f>
        <v>1363.0362389999998</v>
      </c>
      <c r="K396" s="8">
        <f>Table3[[#This Row],[PrimaTécnica]]*Table3[[#This Row],[Utilidad]]</f>
        <v>454.34541299999995</v>
      </c>
      <c r="L396" s="8">
        <f>Table3[[#This Row],[PrimaTécnica]]*Table3[[#This Row],[Marketing]]</f>
        <v>90.869082599999984</v>
      </c>
      <c r="M396" s="8">
        <f>Table3[[#This Row],[PrimaTécnica]]*Table3[[#This Row],[Cobranza]]</f>
        <v>90.869082599999984</v>
      </c>
      <c r="N39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9086.9082599999983</v>
      </c>
      <c r="O396">
        <v>21.84</v>
      </c>
      <c r="P396">
        <v>54.6</v>
      </c>
      <c r="Q396">
        <v>80.64</v>
      </c>
      <c r="R396">
        <v>44.377200000000002</v>
      </c>
      <c r="S396">
        <v>0.2</v>
      </c>
      <c r="T396">
        <v>0.02</v>
      </c>
      <c r="U396" s="8">
        <f>Table3[[#This Row],[PrimaNeta]]*Table3[[#This Row],[Comisión]]</f>
        <v>2322.0913649999998</v>
      </c>
      <c r="V396" s="15">
        <f>Table3[[#This Row],[PrimaComercial Anual]]-Table3[[#This Row],[PrimaComercial Anual]]*SUM(Table3[[#This Row],[APS]:[IVA]])</f>
        <v>11610.456824999999</v>
      </c>
      <c r="W396" s="2">
        <v>1.4800000000000001E-2</v>
      </c>
      <c r="X396" s="2">
        <v>8.4501000000000007E-2</v>
      </c>
      <c r="Y396">
        <v>0.03</v>
      </c>
      <c r="Z396">
        <v>0.13</v>
      </c>
      <c r="AA396" s="20">
        <f>Table3[[#This Row],[APS]]*Table3[[#This Row],[PrimaComercial Anual]]</f>
        <v>231.99</v>
      </c>
      <c r="AB396" s="8">
        <f>Table3[[#This Row],[PrimaComercial Anual]]*Table3[[#This Row],[Recargo adicional]]</f>
        <v>1324.553175</v>
      </c>
      <c r="AC396" s="8">
        <f>Table3[[#This Row],[PrimaComercial Anual]]*Table3[[#This Row],[IT]]</f>
        <v>470.25</v>
      </c>
      <c r="AD396" s="8">
        <f>Table3[[#This Row],[PrimaComercial Anual]]*Table3[[#This Row],[IVA]]</f>
        <v>2037.75</v>
      </c>
      <c r="AE396" s="15">
        <f>Table3[[#This Row],[PrimaComercial Anual Asistencia]]</f>
        <v>15675</v>
      </c>
      <c r="AG396">
        <v>15675</v>
      </c>
    </row>
    <row r="397" spans="1:33" x14ac:dyDescent="0.25">
      <c r="A397" t="s">
        <v>18</v>
      </c>
      <c r="B397">
        <v>140000</v>
      </c>
      <c r="C397">
        <v>64</v>
      </c>
      <c r="D397" s="2">
        <f>Table3[[#This Row],[PrimaTécnica]]-Table3[[#This Row],[PrimaTécnica]]*SUM(Table3[[#This Row],[Gastos Adm]:[Cobranza]])</f>
        <v>7087.7884427999979</v>
      </c>
      <c r="E397">
        <v>0</v>
      </c>
      <c r="F397">
        <v>0.15</v>
      </c>
      <c r="G397">
        <v>0.05</v>
      </c>
      <c r="H397">
        <v>0.01</v>
      </c>
      <c r="I397">
        <v>0.01</v>
      </c>
      <c r="J397" s="8">
        <f>Table3[[#This Row],[PrimaTécnica]]*Table3[[#This Row],[Gastos Adm]]</f>
        <v>1363.0362389999998</v>
      </c>
      <c r="K397" s="8">
        <f>Table3[[#This Row],[PrimaTécnica]]*Table3[[#This Row],[Utilidad]]</f>
        <v>454.34541299999995</v>
      </c>
      <c r="L397" s="8">
        <f>Table3[[#This Row],[PrimaTécnica]]*Table3[[#This Row],[Marketing]]</f>
        <v>90.869082599999984</v>
      </c>
      <c r="M397" s="8">
        <f>Table3[[#This Row],[PrimaTécnica]]*Table3[[#This Row],[Cobranza]]</f>
        <v>90.869082599999984</v>
      </c>
      <c r="N39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9086.9082599999983</v>
      </c>
      <c r="O397">
        <v>21.84</v>
      </c>
      <c r="P397">
        <v>54.6</v>
      </c>
      <c r="Q397">
        <v>80.64</v>
      </c>
      <c r="R397">
        <v>44.377200000000002</v>
      </c>
      <c r="S397">
        <v>0.2</v>
      </c>
      <c r="T397">
        <v>0.02</v>
      </c>
      <c r="U397" s="8">
        <f>Table3[[#This Row],[PrimaNeta]]*Table3[[#This Row],[Comisión]]</f>
        <v>2322.0913649999998</v>
      </c>
      <c r="V397" s="15">
        <f>Table3[[#This Row],[PrimaComercial Anual]]-Table3[[#This Row],[PrimaComercial Anual]]*SUM(Table3[[#This Row],[APS]:[IVA]])</f>
        <v>11610.456824999999</v>
      </c>
      <c r="W397" s="2">
        <v>1.4800000000000001E-2</v>
      </c>
      <c r="X397" s="2">
        <v>8.4501000000000007E-2</v>
      </c>
      <c r="Y397">
        <v>0.03</v>
      </c>
      <c r="Z397">
        <v>0.13</v>
      </c>
      <c r="AA397" s="20">
        <f>Table3[[#This Row],[APS]]*Table3[[#This Row],[PrimaComercial Anual]]</f>
        <v>231.99</v>
      </c>
      <c r="AB397" s="8">
        <f>Table3[[#This Row],[PrimaComercial Anual]]*Table3[[#This Row],[Recargo adicional]]</f>
        <v>1324.553175</v>
      </c>
      <c r="AC397" s="8">
        <f>Table3[[#This Row],[PrimaComercial Anual]]*Table3[[#This Row],[IT]]</f>
        <v>470.25</v>
      </c>
      <c r="AD397" s="8">
        <f>Table3[[#This Row],[PrimaComercial Anual]]*Table3[[#This Row],[IVA]]</f>
        <v>2037.75</v>
      </c>
      <c r="AE397" s="15">
        <f>Table3[[#This Row],[PrimaComercial Anual Asistencia]]</f>
        <v>15675</v>
      </c>
      <c r="AG397">
        <v>15675</v>
      </c>
    </row>
    <row r="398" spans="1:33" x14ac:dyDescent="0.25">
      <c r="A398" t="s">
        <v>18</v>
      </c>
      <c r="B398">
        <v>140000</v>
      </c>
      <c r="C398">
        <v>65</v>
      </c>
      <c r="D398" s="2">
        <f>Table3[[#This Row],[PrimaTécnica]]-Table3[[#This Row],[PrimaTécnica]]*SUM(Table3[[#This Row],[Gastos Adm]:[Cobranza]])</f>
        <v>10112.215340073599</v>
      </c>
      <c r="E398">
        <v>0</v>
      </c>
      <c r="F398">
        <v>0.15</v>
      </c>
      <c r="G398">
        <v>0.05</v>
      </c>
      <c r="H398">
        <v>0.01</v>
      </c>
      <c r="I398">
        <v>0.01</v>
      </c>
      <c r="J398" s="8">
        <f>Table3[[#This Row],[PrimaTécnica]]*Table3[[#This Row],[Gastos Adm]]</f>
        <v>1944.6567961679996</v>
      </c>
      <c r="K398" s="8">
        <f>Table3[[#This Row],[PrimaTécnica]]*Table3[[#This Row],[Utilidad]]</f>
        <v>648.21893205599997</v>
      </c>
      <c r="L398" s="8">
        <f>Table3[[#This Row],[PrimaTécnica]]*Table3[[#This Row],[Marketing]]</f>
        <v>129.64378641119998</v>
      </c>
      <c r="M398" s="8">
        <f>Table3[[#This Row],[PrimaTécnica]]*Table3[[#This Row],[Cobranza]]</f>
        <v>129.64378641119998</v>
      </c>
      <c r="N39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12964.378641119998</v>
      </c>
      <c r="O398">
        <v>21.84</v>
      </c>
      <c r="P398">
        <v>54.6</v>
      </c>
      <c r="Q398">
        <v>80.64</v>
      </c>
      <c r="R398">
        <v>44.377200000000002</v>
      </c>
      <c r="S398">
        <v>0.2</v>
      </c>
      <c r="T398">
        <v>0.02</v>
      </c>
      <c r="U398" s="8">
        <f>Table3[[#This Row],[PrimaNeta]]*Table3[[#This Row],[Comisión]]</f>
        <v>3291.4589602800002</v>
      </c>
      <c r="V398" s="15">
        <f>Table3[[#This Row],[PrimaComercial Anual]]-Table3[[#This Row],[PrimaComercial Anual]]*SUM(Table3[[#This Row],[APS]:[IVA]])</f>
        <v>16457.294801399999</v>
      </c>
      <c r="W398" s="2">
        <v>1.4800000000000001E-2</v>
      </c>
      <c r="X398" s="2">
        <v>8.4501000000000007E-2</v>
      </c>
      <c r="Y398">
        <v>0.03</v>
      </c>
      <c r="Z398">
        <v>0.13</v>
      </c>
      <c r="AA398" s="20">
        <f>Table3[[#This Row],[APS]]*Table3[[#This Row],[PrimaComercial Anual]]</f>
        <v>328.83528000000001</v>
      </c>
      <c r="AB398" s="8">
        <f>Table3[[#This Row],[PrimaComercial Anual]]*Table3[[#This Row],[Recargo adicional]]</f>
        <v>1877.4939185999999</v>
      </c>
      <c r="AC398" s="8">
        <f>Table3[[#This Row],[PrimaComercial Anual]]*Table3[[#This Row],[IT]]</f>
        <v>666.55799999999988</v>
      </c>
      <c r="AD398" s="8">
        <f>Table3[[#This Row],[PrimaComercial Anual]]*Table3[[#This Row],[IVA]]</f>
        <v>2888.4180000000001</v>
      </c>
      <c r="AE398" s="15">
        <f>Table3[[#This Row],[PrimaComercial Anual Asistencia]]</f>
        <v>22218.6</v>
      </c>
      <c r="AG398">
        <v>22218.6</v>
      </c>
    </row>
    <row r="399" spans="1:33" x14ac:dyDescent="0.25">
      <c r="A399" t="s">
        <v>18</v>
      </c>
      <c r="B399">
        <v>140000</v>
      </c>
      <c r="C399">
        <v>66</v>
      </c>
      <c r="D399" s="2">
        <f>Table3[[#This Row],[PrimaTécnica]]-Table3[[#This Row],[PrimaTécnica]]*SUM(Table3[[#This Row],[Gastos Adm]:[Cobranza]])</f>
        <v>10112.215340073599</v>
      </c>
      <c r="E399">
        <v>0</v>
      </c>
      <c r="F399">
        <v>0.15</v>
      </c>
      <c r="G399">
        <v>0.05</v>
      </c>
      <c r="H399">
        <v>0.01</v>
      </c>
      <c r="I399">
        <v>0.01</v>
      </c>
      <c r="J399" s="8">
        <f>Table3[[#This Row],[PrimaTécnica]]*Table3[[#This Row],[Gastos Adm]]</f>
        <v>1944.6567961679996</v>
      </c>
      <c r="K399" s="8">
        <f>Table3[[#This Row],[PrimaTécnica]]*Table3[[#This Row],[Utilidad]]</f>
        <v>648.21893205599997</v>
      </c>
      <c r="L399" s="8">
        <f>Table3[[#This Row],[PrimaTécnica]]*Table3[[#This Row],[Marketing]]</f>
        <v>129.64378641119998</v>
      </c>
      <c r="M399" s="8">
        <f>Table3[[#This Row],[PrimaTécnica]]*Table3[[#This Row],[Cobranza]]</f>
        <v>129.64378641119998</v>
      </c>
      <c r="N39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12964.378641119998</v>
      </c>
      <c r="O399">
        <v>21.84</v>
      </c>
      <c r="P399">
        <v>54.6</v>
      </c>
      <c r="Q399">
        <v>80.64</v>
      </c>
      <c r="R399">
        <v>44.377200000000002</v>
      </c>
      <c r="S399">
        <v>0.2</v>
      </c>
      <c r="T399">
        <v>0.02</v>
      </c>
      <c r="U399" s="8">
        <f>Table3[[#This Row],[PrimaNeta]]*Table3[[#This Row],[Comisión]]</f>
        <v>3291.4589602800002</v>
      </c>
      <c r="V399" s="15">
        <f>Table3[[#This Row],[PrimaComercial Anual]]-Table3[[#This Row],[PrimaComercial Anual]]*SUM(Table3[[#This Row],[APS]:[IVA]])</f>
        <v>16457.294801399999</v>
      </c>
      <c r="W399" s="2">
        <v>1.4800000000000001E-2</v>
      </c>
      <c r="X399" s="2">
        <v>8.4501000000000007E-2</v>
      </c>
      <c r="Y399">
        <v>0.03</v>
      </c>
      <c r="Z399">
        <v>0.13</v>
      </c>
      <c r="AA399" s="20">
        <f>Table3[[#This Row],[APS]]*Table3[[#This Row],[PrimaComercial Anual]]</f>
        <v>328.83528000000001</v>
      </c>
      <c r="AB399" s="8">
        <f>Table3[[#This Row],[PrimaComercial Anual]]*Table3[[#This Row],[Recargo adicional]]</f>
        <v>1877.4939185999999</v>
      </c>
      <c r="AC399" s="8">
        <f>Table3[[#This Row],[PrimaComercial Anual]]*Table3[[#This Row],[IT]]</f>
        <v>666.55799999999988</v>
      </c>
      <c r="AD399" s="8">
        <f>Table3[[#This Row],[PrimaComercial Anual]]*Table3[[#This Row],[IVA]]</f>
        <v>2888.4180000000001</v>
      </c>
      <c r="AE399" s="15">
        <f>Table3[[#This Row],[PrimaComercial Anual Asistencia]]</f>
        <v>22218.6</v>
      </c>
      <c r="AG399">
        <v>22218.6</v>
      </c>
    </row>
    <row r="400" spans="1:33" x14ac:dyDescent="0.25">
      <c r="A400" t="s">
        <v>18</v>
      </c>
      <c r="B400">
        <v>140000</v>
      </c>
      <c r="C400">
        <v>67</v>
      </c>
      <c r="D400" s="2">
        <f>Table3[[#This Row],[PrimaTécnica]]-Table3[[#This Row],[PrimaTécnica]]*SUM(Table3[[#This Row],[Gastos Adm]:[Cobranza]])</f>
        <v>10112.215340073599</v>
      </c>
      <c r="E400">
        <v>0</v>
      </c>
      <c r="F400">
        <v>0.15</v>
      </c>
      <c r="G400">
        <v>0.05</v>
      </c>
      <c r="H400">
        <v>0.01</v>
      </c>
      <c r="I400">
        <v>0.01</v>
      </c>
      <c r="J400" s="8">
        <f>Table3[[#This Row],[PrimaTécnica]]*Table3[[#This Row],[Gastos Adm]]</f>
        <v>1944.6567961679996</v>
      </c>
      <c r="K400" s="8">
        <f>Table3[[#This Row],[PrimaTécnica]]*Table3[[#This Row],[Utilidad]]</f>
        <v>648.21893205599997</v>
      </c>
      <c r="L400" s="8">
        <f>Table3[[#This Row],[PrimaTécnica]]*Table3[[#This Row],[Marketing]]</f>
        <v>129.64378641119998</v>
      </c>
      <c r="M400" s="8">
        <f>Table3[[#This Row],[PrimaTécnica]]*Table3[[#This Row],[Cobranza]]</f>
        <v>129.64378641119998</v>
      </c>
      <c r="N40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12964.378641119998</v>
      </c>
      <c r="O400">
        <v>21.84</v>
      </c>
      <c r="P400">
        <v>54.6</v>
      </c>
      <c r="Q400">
        <v>80.64</v>
      </c>
      <c r="R400">
        <v>44.377200000000002</v>
      </c>
      <c r="S400">
        <v>0.2</v>
      </c>
      <c r="T400">
        <v>0.02</v>
      </c>
      <c r="U400" s="8">
        <f>Table3[[#This Row],[PrimaNeta]]*Table3[[#This Row],[Comisión]]</f>
        <v>3291.4589602800002</v>
      </c>
      <c r="V400" s="15">
        <f>Table3[[#This Row],[PrimaComercial Anual]]-Table3[[#This Row],[PrimaComercial Anual]]*SUM(Table3[[#This Row],[APS]:[IVA]])</f>
        <v>16457.294801399999</v>
      </c>
      <c r="W400" s="2">
        <v>1.4800000000000001E-2</v>
      </c>
      <c r="X400" s="2">
        <v>8.4501000000000007E-2</v>
      </c>
      <c r="Y400">
        <v>0.03</v>
      </c>
      <c r="Z400">
        <v>0.13</v>
      </c>
      <c r="AA400" s="20">
        <f>Table3[[#This Row],[APS]]*Table3[[#This Row],[PrimaComercial Anual]]</f>
        <v>328.83528000000001</v>
      </c>
      <c r="AB400" s="8">
        <f>Table3[[#This Row],[PrimaComercial Anual]]*Table3[[#This Row],[Recargo adicional]]</f>
        <v>1877.4939185999999</v>
      </c>
      <c r="AC400" s="8">
        <f>Table3[[#This Row],[PrimaComercial Anual]]*Table3[[#This Row],[IT]]</f>
        <v>666.55799999999988</v>
      </c>
      <c r="AD400" s="8">
        <f>Table3[[#This Row],[PrimaComercial Anual]]*Table3[[#This Row],[IVA]]</f>
        <v>2888.4180000000001</v>
      </c>
      <c r="AE400" s="15">
        <f>Table3[[#This Row],[PrimaComercial Anual Asistencia]]</f>
        <v>22218.6</v>
      </c>
      <c r="AG400">
        <v>22218.6</v>
      </c>
    </row>
    <row r="401" spans="1:33" x14ac:dyDescent="0.25">
      <c r="A401" t="s">
        <v>18</v>
      </c>
      <c r="B401">
        <v>140000</v>
      </c>
      <c r="C401">
        <v>68</v>
      </c>
      <c r="D401" s="2">
        <f>Table3[[#This Row],[PrimaTécnica]]-Table3[[#This Row],[PrimaTécnica]]*SUM(Table3[[#This Row],[Gastos Adm]:[Cobranza]])</f>
        <v>10112.215340073599</v>
      </c>
      <c r="E401">
        <v>0</v>
      </c>
      <c r="F401">
        <v>0.15</v>
      </c>
      <c r="G401">
        <v>0.05</v>
      </c>
      <c r="H401">
        <v>0.01</v>
      </c>
      <c r="I401">
        <v>0.01</v>
      </c>
      <c r="J401" s="8">
        <f>Table3[[#This Row],[PrimaTécnica]]*Table3[[#This Row],[Gastos Adm]]</f>
        <v>1944.6567961679996</v>
      </c>
      <c r="K401" s="8">
        <f>Table3[[#This Row],[PrimaTécnica]]*Table3[[#This Row],[Utilidad]]</f>
        <v>648.21893205599997</v>
      </c>
      <c r="L401" s="8">
        <f>Table3[[#This Row],[PrimaTécnica]]*Table3[[#This Row],[Marketing]]</f>
        <v>129.64378641119998</v>
      </c>
      <c r="M401" s="8">
        <f>Table3[[#This Row],[PrimaTécnica]]*Table3[[#This Row],[Cobranza]]</f>
        <v>129.64378641119998</v>
      </c>
      <c r="N40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12964.378641119998</v>
      </c>
      <c r="O401">
        <v>21.84</v>
      </c>
      <c r="P401">
        <v>54.6</v>
      </c>
      <c r="Q401">
        <v>80.64</v>
      </c>
      <c r="R401">
        <v>44.377200000000002</v>
      </c>
      <c r="S401">
        <v>0.2</v>
      </c>
      <c r="T401">
        <v>0.02</v>
      </c>
      <c r="U401" s="8">
        <f>Table3[[#This Row],[PrimaNeta]]*Table3[[#This Row],[Comisión]]</f>
        <v>3291.4589602800002</v>
      </c>
      <c r="V401" s="15">
        <f>Table3[[#This Row],[PrimaComercial Anual]]-Table3[[#This Row],[PrimaComercial Anual]]*SUM(Table3[[#This Row],[APS]:[IVA]])</f>
        <v>16457.294801399999</v>
      </c>
      <c r="W401" s="2">
        <v>1.4800000000000001E-2</v>
      </c>
      <c r="X401" s="2">
        <v>8.4501000000000007E-2</v>
      </c>
      <c r="Y401">
        <v>0.03</v>
      </c>
      <c r="Z401">
        <v>0.13</v>
      </c>
      <c r="AA401" s="20">
        <f>Table3[[#This Row],[APS]]*Table3[[#This Row],[PrimaComercial Anual]]</f>
        <v>328.83528000000001</v>
      </c>
      <c r="AB401" s="8">
        <f>Table3[[#This Row],[PrimaComercial Anual]]*Table3[[#This Row],[Recargo adicional]]</f>
        <v>1877.4939185999999</v>
      </c>
      <c r="AC401" s="8">
        <f>Table3[[#This Row],[PrimaComercial Anual]]*Table3[[#This Row],[IT]]</f>
        <v>666.55799999999988</v>
      </c>
      <c r="AD401" s="8">
        <f>Table3[[#This Row],[PrimaComercial Anual]]*Table3[[#This Row],[IVA]]</f>
        <v>2888.4180000000001</v>
      </c>
      <c r="AE401" s="15">
        <f>Table3[[#This Row],[PrimaComercial Anual Asistencia]]</f>
        <v>22218.6</v>
      </c>
      <c r="AG401">
        <v>22218.6</v>
      </c>
    </row>
    <row r="402" spans="1:33" x14ac:dyDescent="0.25">
      <c r="A402" t="s">
        <v>18</v>
      </c>
      <c r="B402">
        <v>140000</v>
      </c>
      <c r="C402">
        <v>69</v>
      </c>
      <c r="D402" s="2">
        <f>Table3[[#This Row],[PrimaTécnica]]-Table3[[#This Row],[PrimaTécnica]]*SUM(Table3[[#This Row],[Gastos Adm]:[Cobranza]])</f>
        <v>10112.215340073599</v>
      </c>
      <c r="E402">
        <v>0</v>
      </c>
      <c r="F402">
        <v>0.15</v>
      </c>
      <c r="G402">
        <v>0.05</v>
      </c>
      <c r="H402">
        <v>0.01</v>
      </c>
      <c r="I402">
        <v>0.01</v>
      </c>
      <c r="J402" s="8">
        <f>Table3[[#This Row],[PrimaTécnica]]*Table3[[#This Row],[Gastos Adm]]</f>
        <v>1944.6567961679996</v>
      </c>
      <c r="K402" s="8">
        <f>Table3[[#This Row],[PrimaTécnica]]*Table3[[#This Row],[Utilidad]]</f>
        <v>648.21893205599997</v>
      </c>
      <c r="L402" s="8">
        <f>Table3[[#This Row],[PrimaTécnica]]*Table3[[#This Row],[Marketing]]</f>
        <v>129.64378641119998</v>
      </c>
      <c r="M402" s="8">
        <f>Table3[[#This Row],[PrimaTécnica]]*Table3[[#This Row],[Cobranza]]</f>
        <v>129.64378641119998</v>
      </c>
      <c r="N40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12964.378641119998</v>
      </c>
      <c r="O402">
        <v>21.84</v>
      </c>
      <c r="P402">
        <v>54.6</v>
      </c>
      <c r="Q402">
        <v>80.64</v>
      </c>
      <c r="R402">
        <v>44.377200000000002</v>
      </c>
      <c r="S402">
        <v>0.2</v>
      </c>
      <c r="T402">
        <v>0.02</v>
      </c>
      <c r="U402" s="8">
        <f>Table3[[#This Row],[PrimaNeta]]*Table3[[#This Row],[Comisión]]</f>
        <v>3291.4589602800002</v>
      </c>
      <c r="V402" s="15">
        <f>Table3[[#This Row],[PrimaComercial Anual]]-Table3[[#This Row],[PrimaComercial Anual]]*SUM(Table3[[#This Row],[APS]:[IVA]])</f>
        <v>16457.294801399999</v>
      </c>
      <c r="W402" s="2">
        <v>1.4800000000000001E-2</v>
      </c>
      <c r="X402" s="2">
        <v>8.4501000000000007E-2</v>
      </c>
      <c r="Y402">
        <v>0.03</v>
      </c>
      <c r="Z402">
        <v>0.13</v>
      </c>
      <c r="AA402" s="20">
        <f>Table3[[#This Row],[APS]]*Table3[[#This Row],[PrimaComercial Anual]]</f>
        <v>328.83528000000001</v>
      </c>
      <c r="AB402" s="8">
        <f>Table3[[#This Row],[PrimaComercial Anual]]*Table3[[#This Row],[Recargo adicional]]</f>
        <v>1877.4939185999999</v>
      </c>
      <c r="AC402" s="8">
        <f>Table3[[#This Row],[PrimaComercial Anual]]*Table3[[#This Row],[IT]]</f>
        <v>666.55799999999988</v>
      </c>
      <c r="AD402" s="8">
        <f>Table3[[#This Row],[PrimaComercial Anual]]*Table3[[#This Row],[IVA]]</f>
        <v>2888.4180000000001</v>
      </c>
      <c r="AE402" s="15">
        <f>Table3[[#This Row],[PrimaComercial Anual Asistencia]]</f>
        <v>22218.6</v>
      </c>
      <c r="AG402">
        <v>22218.6</v>
      </c>
    </row>
    <row r="403" spans="1:33" x14ac:dyDescent="0.25">
      <c r="A403" t="s">
        <v>18</v>
      </c>
      <c r="B403">
        <v>140000</v>
      </c>
      <c r="C403">
        <v>70</v>
      </c>
      <c r="D403" s="2">
        <f>Table3[[#This Row],[PrimaTécnica]]-Table3[[#This Row],[PrimaTécnica]]*SUM(Table3[[#This Row],[Gastos Adm]:[Cobranza]])</f>
        <v>10112.215340073599</v>
      </c>
      <c r="E403">
        <v>0</v>
      </c>
      <c r="F403">
        <v>0.15</v>
      </c>
      <c r="G403">
        <v>0.05</v>
      </c>
      <c r="H403">
        <v>0.01</v>
      </c>
      <c r="I403">
        <v>0.01</v>
      </c>
      <c r="J403" s="8">
        <f>Table3[[#This Row],[PrimaTécnica]]*Table3[[#This Row],[Gastos Adm]]</f>
        <v>1944.6567961679996</v>
      </c>
      <c r="K403" s="8">
        <f>Table3[[#This Row],[PrimaTécnica]]*Table3[[#This Row],[Utilidad]]</f>
        <v>648.21893205599997</v>
      </c>
      <c r="L403" s="8">
        <f>Table3[[#This Row],[PrimaTécnica]]*Table3[[#This Row],[Marketing]]</f>
        <v>129.64378641119998</v>
      </c>
      <c r="M403" s="8">
        <f>Table3[[#This Row],[PrimaTécnica]]*Table3[[#This Row],[Cobranza]]</f>
        <v>129.64378641119998</v>
      </c>
      <c r="N40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12964.378641119998</v>
      </c>
      <c r="O403">
        <v>21.84</v>
      </c>
      <c r="P403">
        <v>54.6</v>
      </c>
      <c r="Q403">
        <v>80.64</v>
      </c>
      <c r="R403">
        <v>44.377200000000002</v>
      </c>
      <c r="S403">
        <v>0.2</v>
      </c>
      <c r="T403">
        <v>0.02</v>
      </c>
      <c r="U403" s="8">
        <f>Table3[[#This Row],[PrimaNeta]]*Table3[[#This Row],[Comisión]]</f>
        <v>3291.4589602800002</v>
      </c>
      <c r="V403" s="15">
        <f>Table3[[#This Row],[PrimaComercial Anual]]-Table3[[#This Row],[PrimaComercial Anual]]*SUM(Table3[[#This Row],[APS]:[IVA]])</f>
        <v>16457.294801399999</v>
      </c>
      <c r="W403" s="2">
        <v>1.4800000000000001E-2</v>
      </c>
      <c r="X403" s="2">
        <v>8.4501000000000007E-2</v>
      </c>
      <c r="Y403">
        <v>0.03</v>
      </c>
      <c r="Z403">
        <v>0.13</v>
      </c>
      <c r="AA403" s="20">
        <f>Table3[[#This Row],[APS]]*Table3[[#This Row],[PrimaComercial Anual]]</f>
        <v>328.83528000000001</v>
      </c>
      <c r="AB403" s="8">
        <f>Table3[[#This Row],[PrimaComercial Anual]]*Table3[[#This Row],[Recargo adicional]]</f>
        <v>1877.4939185999999</v>
      </c>
      <c r="AC403" s="8">
        <f>Table3[[#This Row],[PrimaComercial Anual]]*Table3[[#This Row],[IT]]</f>
        <v>666.55799999999988</v>
      </c>
      <c r="AD403" s="8">
        <f>Table3[[#This Row],[PrimaComercial Anual]]*Table3[[#This Row],[IVA]]</f>
        <v>2888.4180000000001</v>
      </c>
      <c r="AE403" s="15">
        <f>Table3[[#This Row],[PrimaComercial Anual Asistencia]]</f>
        <v>22218.6</v>
      </c>
      <c r="AG403">
        <v>22218.6</v>
      </c>
    </row>
    <row r="404" spans="1:33" x14ac:dyDescent="0.25">
      <c r="A404" t="s">
        <v>18</v>
      </c>
      <c r="B404">
        <v>140000</v>
      </c>
      <c r="C404">
        <v>71</v>
      </c>
      <c r="D404" s="2">
        <f>Table3[[#This Row],[PrimaTécnica]]-Table3[[#This Row],[PrimaTécnica]]*SUM(Table3[[#This Row],[Gastos Adm]:[Cobranza]])</f>
        <v>11956.378082313597</v>
      </c>
      <c r="E404">
        <v>0</v>
      </c>
      <c r="F404">
        <v>0.15</v>
      </c>
      <c r="G404">
        <v>0.05</v>
      </c>
      <c r="H404">
        <v>0.01</v>
      </c>
      <c r="I404">
        <v>0.01</v>
      </c>
      <c r="J404" s="8">
        <f>Table3[[#This Row],[PrimaTécnica]]*Table3[[#This Row],[Gastos Adm]]</f>
        <v>2299.3034773679997</v>
      </c>
      <c r="K404" s="8">
        <f>Table3[[#This Row],[PrimaTécnica]]*Table3[[#This Row],[Utilidad]]</f>
        <v>766.43449245599993</v>
      </c>
      <c r="L404" s="8">
        <f>Table3[[#This Row],[PrimaTécnica]]*Table3[[#This Row],[Marketing]]</f>
        <v>153.28689849119996</v>
      </c>
      <c r="M404" s="8">
        <f>Table3[[#This Row],[PrimaTécnica]]*Table3[[#This Row],[Cobranza]]</f>
        <v>153.28689849119996</v>
      </c>
      <c r="N40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04">
        <v>21.84</v>
      </c>
      <c r="P404">
        <v>54.6</v>
      </c>
      <c r="Q404">
        <v>80.64</v>
      </c>
      <c r="R404">
        <v>44.377200000000002</v>
      </c>
      <c r="S404">
        <v>0.2</v>
      </c>
      <c r="T404">
        <v>0.02</v>
      </c>
      <c r="U404" s="8">
        <f>Table3[[#This Row],[PrimaNeta]]*Table3[[#This Row],[Comisión]]</f>
        <v>3882.5367622799999</v>
      </c>
      <c r="V404" s="15">
        <f>Table3[[#This Row],[PrimaComercial Anual]]-Table3[[#This Row],[PrimaComercial Anual]]*SUM(Table3[[#This Row],[APS]:[IVA]])</f>
        <v>19412.683811399998</v>
      </c>
      <c r="W404" s="2">
        <v>1.4800000000000001E-2</v>
      </c>
      <c r="X404" s="2">
        <v>8.4501000000000007E-2</v>
      </c>
      <c r="Y404">
        <v>0.03</v>
      </c>
      <c r="Z404">
        <v>0.13</v>
      </c>
      <c r="AA404" s="20">
        <f>Table3[[#This Row],[APS]]*Table3[[#This Row],[PrimaComercial Anual]]</f>
        <v>387.88727999999998</v>
      </c>
      <c r="AB404" s="8">
        <f>Table3[[#This Row],[PrimaComercial Anual]]*Table3[[#This Row],[Recargo adicional]]</f>
        <v>2214.6529086</v>
      </c>
      <c r="AC404" s="8">
        <f>Table3[[#This Row],[PrimaComercial Anual]]*Table3[[#This Row],[IT]]</f>
        <v>786.25799999999992</v>
      </c>
      <c r="AD404" s="8">
        <f>Table3[[#This Row],[PrimaComercial Anual]]*Table3[[#This Row],[IVA]]</f>
        <v>3407.1179999999999</v>
      </c>
      <c r="AE404" s="15">
        <f>Table3[[#This Row],[PrimaComercial Anual Asistencia]]</f>
        <v>26208.6</v>
      </c>
      <c r="AG404">
        <v>26208.6</v>
      </c>
    </row>
    <row r="405" spans="1:33" x14ac:dyDescent="0.25">
      <c r="A405" t="s">
        <v>18</v>
      </c>
      <c r="B405">
        <v>140000</v>
      </c>
      <c r="C405">
        <v>72</v>
      </c>
      <c r="D405" s="2">
        <f>Table3[[#This Row],[PrimaTécnica]]-Table3[[#This Row],[PrimaTécnica]]*SUM(Table3[[#This Row],[Gastos Adm]:[Cobranza]])</f>
        <v>11956.378082313597</v>
      </c>
      <c r="E405">
        <v>0</v>
      </c>
      <c r="F405">
        <v>0.15</v>
      </c>
      <c r="G405">
        <v>0.05</v>
      </c>
      <c r="H405">
        <v>0.01</v>
      </c>
      <c r="I405">
        <v>0.01</v>
      </c>
      <c r="J405" s="8">
        <f>Table3[[#This Row],[PrimaTécnica]]*Table3[[#This Row],[Gastos Adm]]</f>
        <v>2299.3034773679997</v>
      </c>
      <c r="K405" s="8">
        <f>Table3[[#This Row],[PrimaTécnica]]*Table3[[#This Row],[Utilidad]]</f>
        <v>766.43449245599993</v>
      </c>
      <c r="L405" s="8">
        <f>Table3[[#This Row],[PrimaTécnica]]*Table3[[#This Row],[Marketing]]</f>
        <v>153.28689849119996</v>
      </c>
      <c r="M405" s="8">
        <f>Table3[[#This Row],[PrimaTécnica]]*Table3[[#This Row],[Cobranza]]</f>
        <v>153.28689849119996</v>
      </c>
      <c r="N40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05">
        <v>21.84</v>
      </c>
      <c r="P405">
        <v>54.6</v>
      </c>
      <c r="Q405">
        <v>80.64</v>
      </c>
      <c r="R405">
        <v>44.377200000000002</v>
      </c>
      <c r="S405">
        <v>0.2</v>
      </c>
      <c r="T405">
        <v>0.02</v>
      </c>
      <c r="U405" s="8">
        <f>Table3[[#This Row],[PrimaNeta]]*Table3[[#This Row],[Comisión]]</f>
        <v>3882.5367622799999</v>
      </c>
      <c r="V405" s="15">
        <f>Table3[[#This Row],[PrimaComercial Anual]]-Table3[[#This Row],[PrimaComercial Anual]]*SUM(Table3[[#This Row],[APS]:[IVA]])</f>
        <v>19412.683811399998</v>
      </c>
      <c r="W405" s="2">
        <v>1.4800000000000001E-2</v>
      </c>
      <c r="X405" s="2">
        <v>8.4501000000000007E-2</v>
      </c>
      <c r="Y405">
        <v>0.03</v>
      </c>
      <c r="Z405">
        <v>0.13</v>
      </c>
      <c r="AA405" s="20">
        <f>Table3[[#This Row],[APS]]*Table3[[#This Row],[PrimaComercial Anual]]</f>
        <v>387.88727999999998</v>
      </c>
      <c r="AB405" s="8">
        <f>Table3[[#This Row],[PrimaComercial Anual]]*Table3[[#This Row],[Recargo adicional]]</f>
        <v>2214.6529086</v>
      </c>
      <c r="AC405" s="8">
        <f>Table3[[#This Row],[PrimaComercial Anual]]*Table3[[#This Row],[IT]]</f>
        <v>786.25799999999992</v>
      </c>
      <c r="AD405" s="8">
        <f>Table3[[#This Row],[PrimaComercial Anual]]*Table3[[#This Row],[IVA]]</f>
        <v>3407.1179999999999</v>
      </c>
      <c r="AE405" s="15">
        <f>Table3[[#This Row],[PrimaComercial Anual Asistencia]]</f>
        <v>26208.6</v>
      </c>
      <c r="AG405">
        <v>26208.6</v>
      </c>
    </row>
    <row r="406" spans="1:33" x14ac:dyDescent="0.25">
      <c r="A406" t="s">
        <v>18</v>
      </c>
      <c r="B406">
        <v>140000</v>
      </c>
      <c r="C406">
        <v>73</v>
      </c>
      <c r="D406" s="2">
        <f>Table3[[#This Row],[PrimaTécnica]]-Table3[[#This Row],[PrimaTécnica]]*SUM(Table3[[#This Row],[Gastos Adm]:[Cobranza]])</f>
        <v>11956.378082313597</v>
      </c>
      <c r="E406">
        <v>0</v>
      </c>
      <c r="F406">
        <v>0.15</v>
      </c>
      <c r="G406">
        <v>0.05</v>
      </c>
      <c r="H406">
        <v>0.01</v>
      </c>
      <c r="I406">
        <v>0.01</v>
      </c>
      <c r="J406" s="8">
        <f>Table3[[#This Row],[PrimaTécnica]]*Table3[[#This Row],[Gastos Adm]]</f>
        <v>2299.3034773679997</v>
      </c>
      <c r="K406" s="8">
        <f>Table3[[#This Row],[PrimaTécnica]]*Table3[[#This Row],[Utilidad]]</f>
        <v>766.43449245599993</v>
      </c>
      <c r="L406" s="8">
        <f>Table3[[#This Row],[PrimaTécnica]]*Table3[[#This Row],[Marketing]]</f>
        <v>153.28689849119996</v>
      </c>
      <c r="M406" s="8">
        <f>Table3[[#This Row],[PrimaTécnica]]*Table3[[#This Row],[Cobranza]]</f>
        <v>153.28689849119996</v>
      </c>
      <c r="N40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06">
        <v>21.84</v>
      </c>
      <c r="P406">
        <v>54.6</v>
      </c>
      <c r="Q406">
        <v>80.64</v>
      </c>
      <c r="R406">
        <v>44.377200000000002</v>
      </c>
      <c r="S406">
        <v>0.2</v>
      </c>
      <c r="T406">
        <v>0.02</v>
      </c>
      <c r="U406" s="8">
        <f>Table3[[#This Row],[PrimaNeta]]*Table3[[#This Row],[Comisión]]</f>
        <v>3882.5367622799999</v>
      </c>
      <c r="V406" s="15">
        <f>Table3[[#This Row],[PrimaComercial Anual]]-Table3[[#This Row],[PrimaComercial Anual]]*SUM(Table3[[#This Row],[APS]:[IVA]])</f>
        <v>19412.683811399998</v>
      </c>
      <c r="W406" s="2">
        <v>1.4800000000000001E-2</v>
      </c>
      <c r="X406" s="2">
        <v>8.4501000000000007E-2</v>
      </c>
      <c r="Y406">
        <v>0.03</v>
      </c>
      <c r="Z406">
        <v>0.13</v>
      </c>
      <c r="AA406" s="20">
        <f>Table3[[#This Row],[APS]]*Table3[[#This Row],[PrimaComercial Anual]]</f>
        <v>387.88727999999998</v>
      </c>
      <c r="AB406" s="8">
        <f>Table3[[#This Row],[PrimaComercial Anual]]*Table3[[#This Row],[Recargo adicional]]</f>
        <v>2214.6529086</v>
      </c>
      <c r="AC406" s="8">
        <f>Table3[[#This Row],[PrimaComercial Anual]]*Table3[[#This Row],[IT]]</f>
        <v>786.25799999999992</v>
      </c>
      <c r="AD406" s="8">
        <f>Table3[[#This Row],[PrimaComercial Anual]]*Table3[[#This Row],[IVA]]</f>
        <v>3407.1179999999999</v>
      </c>
      <c r="AE406" s="15">
        <f>Table3[[#This Row],[PrimaComercial Anual Asistencia]]</f>
        <v>26208.6</v>
      </c>
      <c r="AG406">
        <v>26208.6</v>
      </c>
    </row>
    <row r="407" spans="1:33" x14ac:dyDescent="0.25">
      <c r="A407" t="s">
        <v>18</v>
      </c>
      <c r="B407">
        <v>140000</v>
      </c>
      <c r="C407">
        <v>74</v>
      </c>
      <c r="D407" s="2">
        <f>Table3[[#This Row],[PrimaTécnica]]-Table3[[#This Row],[PrimaTécnica]]*SUM(Table3[[#This Row],[Gastos Adm]:[Cobranza]])</f>
        <v>11956.378082313597</v>
      </c>
      <c r="E407">
        <v>0</v>
      </c>
      <c r="F407">
        <v>0.15</v>
      </c>
      <c r="G407">
        <v>0.05</v>
      </c>
      <c r="H407">
        <v>0.01</v>
      </c>
      <c r="I407">
        <v>0.01</v>
      </c>
      <c r="J407" s="8">
        <f>Table3[[#This Row],[PrimaTécnica]]*Table3[[#This Row],[Gastos Adm]]</f>
        <v>2299.3034773679997</v>
      </c>
      <c r="K407" s="8">
        <f>Table3[[#This Row],[PrimaTécnica]]*Table3[[#This Row],[Utilidad]]</f>
        <v>766.43449245599993</v>
      </c>
      <c r="L407" s="8">
        <f>Table3[[#This Row],[PrimaTécnica]]*Table3[[#This Row],[Marketing]]</f>
        <v>153.28689849119996</v>
      </c>
      <c r="M407" s="8">
        <f>Table3[[#This Row],[PrimaTécnica]]*Table3[[#This Row],[Cobranza]]</f>
        <v>153.28689849119996</v>
      </c>
      <c r="N40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07">
        <v>21.84</v>
      </c>
      <c r="P407">
        <v>54.6</v>
      </c>
      <c r="Q407">
        <v>80.64</v>
      </c>
      <c r="R407">
        <v>44.377200000000002</v>
      </c>
      <c r="S407">
        <v>0.2</v>
      </c>
      <c r="T407">
        <v>0.02</v>
      </c>
      <c r="U407" s="8">
        <f>Table3[[#This Row],[PrimaNeta]]*Table3[[#This Row],[Comisión]]</f>
        <v>3882.5367622799999</v>
      </c>
      <c r="V407" s="15">
        <f>Table3[[#This Row],[PrimaComercial Anual]]-Table3[[#This Row],[PrimaComercial Anual]]*SUM(Table3[[#This Row],[APS]:[IVA]])</f>
        <v>19412.683811399998</v>
      </c>
      <c r="W407" s="2">
        <v>1.4800000000000001E-2</v>
      </c>
      <c r="X407" s="2">
        <v>8.4501000000000007E-2</v>
      </c>
      <c r="Y407">
        <v>0.03</v>
      </c>
      <c r="Z407">
        <v>0.13</v>
      </c>
      <c r="AA407" s="20">
        <f>Table3[[#This Row],[APS]]*Table3[[#This Row],[PrimaComercial Anual]]</f>
        <v>387.88727999999998</v>
      </c>
      <c r="AB407" s="8">
        <f>Table3[[#This Row],[PrimaComercial Anual]]*Table3[[#This Row],[Recargo adicional]]</f>
        <v>2214.6529086</v>
      </c>
      <c r="AC407" s="8">
        <f>Table3[[#This Row],[PrimaComercial Anual]]*Table3[[#This Row],[IT]]</f>
        <v>786.25799999999992</v>
      </c>
      <c r="AD407" s="8">
        <f>Table3[[#This Row],[PrimaComercial Anual]]*Table3[[#This Row],[IVA]]</f>
        <v>3407.1179999999999</v>
      </c>
      <c r="AE407" s="15">
        <f>Table3[[#This Row],[PrimaComercial Anual Asistencia]]</f>
        <v>26208.6</v>
      </c>
      <c r="AG407">
        <v>26208.6</v>
      </c>
    </row>
    <row r="408" spans="1:33" x14ac:dyDescent="0.25">
      <c r="A408" t="s">
        <v>18</v>
      </c>
      <c r="B408">
        <v>140000</v>
      </c>
      <c r="C408">
        <v>75</v>
      </c>
      <c r="D408" s="2">
        <f>Table3[[#This Row],[PrimaTécnica]]-Table3[[#This Row],[PrimaTécnica]]*SUM(Table3[[#This Row],[Gastos Adm]:[Cobranza]])</f>
        <v>11956.378082313597</v>
      </c>
      <c r="E408">
        <v>0</v>
      </c>
      <c r="F408">
        <v>0.15</v>
      </c>
      <c r="G408">
        <v>0.05</v>
      </c>
      <c r="H408">
        <v>0.01</v>
      </c>
      <c r="I408">
        <v>0.01</v>
      </c>
      <c r="J408" s="8">
        <f>Table3[[#This Row],[PrimaTécnica]]*Table3[[#This Row],[Gastos Adm]]</f>
        <v>2299.3034773679997</v>
      </c>
      <c r="K408" s="8">
        <f>Table3[[#This Row],[PrimaTécnica]]*Table3[[#This Row],[Utilidad]]</f>
        <v>766.43449245599993</v>
      </c>
      <c r="L408" s="8">
        <f>Table3[[#This Row],[PrimaTécnica]]*Table3[[#This Row],[Marketing]]</f>
        <v>153.28689849119996</v>
      </c>
      <c r="M408" s="8">
        <f>Table3[[#This Row],[PrimaTécnica]]*Table3[[#This Row],[Cobranza]]</f>
        <v>153.28689849119996</v>
      </c>
      <c r="N40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08">
        <v>21.84</v>
      </c>
      <c r="P408">
        <v>54.6</v>
      </c>
      <c r="Q408">
        <v>80.64</v>
      </c>
      <c r="R408">
        <v>44.377200000000002</v>
      </c>
      <c r="S408">
        <v>0.2</v>
      </c>
      <c r="T408">
        <v>0.02</v>
      </c>
      <c r="U408" s="8">
        <f>Table3[[#This Row],[PrimaNeta]]*Table3[[#This Row],[Comisión]]</f>
        <v>3882.5367622799999</v>
      </c>
      <c r="V408" s="15">
        <f>Table3[[#This Row],[PrimaComercial Anual]]-Table3[[#This Row],[PrimaComercial Anual]]*SUM(Table3[[#This Row],[APS]:[IVA]])</f>
        <v>19412.683811399998</v>
      </c>
      <c r="W408" s="2">
        <v>1.4800000000000001E-2</v>
      </c>
      <c r="X408" s="2">
        <v>8.4501000000000007E-2</v>
      </c>
      <c r="Y408">
        <v>0.03</v>
      </c>
      <c r="Z408">
        <v>0.13</v>
      </c>
      <c r="AA408" s="20">
        <f>Table3[[#This Row],[APS]]*Table3[[#This Row],[PrimaComercial Anual]]</f>
        <v>387.88727999999998</v>
      </c>
      <c r="AB408" s="8">
        <f>Table3[[#This Row],[PrimaComercial Anual]]*Table3[[#This Row],[Recargo adicional]]</f>
        <v>2214.6529086</v>
      </c>
      <c r="AC408" s="8">
        <f>Table3[[#This Row],[PrimaComercial Anual]]*Table3[[#This Row],[IT]]</f>
        <v>786.25799999999992</v>
      </c>
      <c r="AD408" s="8">
        <f>Table3[[#This Row],[PrimaComercial Anual]]*Table3[[#This Row],[IVA]]</f>
        <v>3407.1179999999999</v>
      </c>
      <c r="AE408" s="15">
        <f>Table3[[#This Row],[PrimaComercial Anual Asistencia]]</f>
        <v>26208.6</v>
      </c>
      <c r="AG408">
        <v>26208.6</v>
      </c>
    </row>
    <row r="409" spans="1:33" x14ac:dyDescent="0.25">
      <c r="A409" t="s">
        <v>18</v>
      </c>
      <c r="B409">
        <v>140000</v>
      </c>
      <c r="C409">
        <v>76</v>
      </c>
      <c r="D409" s="2">
        <f>Table3[[#This Row],[PrimaTécnica]]-Table3[[#This Row],[PrimaTécnica]]*SUM(Table3[[#This Row],[Gastos Adm]:[Cobranza]])</f>
        <v>11956.378082313597</v>
      </c>
      <c r="E409">
        <v>0</v>
      </c>
      <c r="F409">
        <v>0.15</v>
      </c>
      <c r="G409">
        <v>0.05</v>
      </c>
      <c r="H409">
        <v>0.01</v>
      </c>
      <c r="I409">
        <v>0.01</v>
      </c>
      <c r="J409" s="8">
        <f>Table3[[#This Row],[PrimaTécnica]]*Table3[[#This Row],[Gastos Adm]]</f>
        <v>2299.3034773679997</v>
      </c>
      <c r="K409" s="8">
        <f>Table3[[#This Row],[PrimaTécnica]]*Table3[[#This Row],[Utilidad]]</f>
        <v>766.43449245599993</v>
      </c>
      <c r="L409" s="8">
        <f>Table3[[#This Row],[PrimaTécnica]]*Table3[[#This Row],[Marketing]]</f>
        <v>153.28689849119996</v>
      </c>
      <c r="M409" s="8">
        <f>Table3[[#This Row],[PrimaTécnica]]*Table3[[#This Row],[Cobranza]]</f>
        <v>153.28689849119996</v>
      </c>
      <c r="N40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09">
        <v>21.84</v>
      </c>
      <c r="P409">
        <v>54.6</v>
      </c>
      <c r="Q409">
        <v>80.64</v>
      </c>
      <c r="R409">
        <v>44.377200000000002</v>
      </c>
      <c r="S409">
        <v>0.2</v>
      </c>
      <c r="T409">
        <v>0.02</v>
      </c>
      <c r="U409" s="8">
        <f>Table3[[#This Row],[PrimaNeta]]*Table3[[#This Row],[Comisión]]</f>
        <v>3882.5367622799999</v>
      </c>
      <c r="V409" s="15">
        <f>Table3[[#This Row],[PrimaComercial Anual]]-Table3[[#This Row],[PrimaComercial Anual]]*SUM(Table3[[#This Row],[APS]:[IVA]])</f>
        <v>19412.683811399998</v>
      </c>
      <c r="W409" s="2">
        <v>1.4800000000000001E-2</v>
      </c>
      <c r="X409" s="2">
        <v>8.4501000000000007E-2</v>
      </c>
      <c r="Y409">
        <v>0.03</v>
      </c>
      <c r="Z409">
        <v>0.13</v>
      </c>
      <c r="AA409" s="20">
        <f>Table3[[#This Row],[APS]]*Table3[[#This Row],[PrimaComercial Anual]]</f>
        <v>387.88727999999998</v>
      </c>
      <c r="AB409" s="8">
        <f>Table3[[#This Row],[PrimaComercial Anual]]*Table3[[#This Row],[Recargo adicional]]</f>
        <v>2214.6529086</v>
      </c>
      <c r="AC409" s="8">
        <f>Table3[[#This Row],[PrimaComercial Anual]]*Table3[[#This Row],[IT]]</f>
        <v>786.25799999999992</v>
      </c>
      <c r="AD409" s="8">
        <f>Table3[[#This Row],[PrimaComercial Anual]]*Table3[[#This Row],[IVA]]</f>
        <v>3407.1179999999999</v>
      </c>
      <c r="AE409" s="15">
        <f>Table3[[#This Row],[PrimaComercial Anual Asistencia]]</f>
        <v>26208.6</v>
      </c>
      <c r="AG409">
        <v>26208.6</v>
      </c>
    </row>
    <row r="410" spans="1:33" x14ac:dyDescent="0.25">
      <c r="A410" t="s">
        <v>18</v>
      </c>
      <c r="B410">
        <v>140000</v>
      </c>
      <c r="C410">
        <v>77</v>
      </c>
      <c r="D410" s="2">
        <f>Table3[[#This Row],[PrimaTécnica]]-Table3[[#This Row],[PrimaTécnica]]*SUM(Table3[[#This Row],[Gastos Adm]:[Cobranza]])</f>
        <v>11956.378082313597</v>
      </c>
      <c r="E410">
        <v>0</v>
      </c>
      <c r="F410">
        <v>0.15</v>
      </c>
      <c r="G410">
        <v>0.05</v>
      </c>
      <c r="H410">
        <v>0.01</v>
      </c>
      <c r="I410">
        <v>0.01</v>
      </c>
      <c r="J410" s="8">
        <f>Table3[[#This Row],[PrimaTécnica]]*Table3[[#This Row],[Gastos Adm]]</f>
        <v>2299.3034773679997</v>
      </c>
      <c r="K410" s="8">
        <f>Table3[[#This Row],[PrimaTécnica]]*Table3[[#This Row],[Utilidad]]</f>
        <v>766.43449245599993</v>
      </c>
      <c r="L410" s="8">
        <f>Table3[[#This Row],[PrimaTécnica]]*Table3[[#This Row],[Marketing]]</f>
        <v>153.28689849119996</v>
      </c>
      <c r="M410" s="8">
        <f>Table3[[#This Row],[PrimaTécnica]]*Table3[[#This Row],[Cobranza]]</f>
        <v>153.28689849119996</v>
      </c>
      <c r="N41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10">
        <v>21.84</v>
      </c>
      <c r="P410">
        <v>54.6</v>
      </c>
      <c r="Q410">
        <v>80.64</v>
      </c>
      <c r="R410">
        <v>44.377200000000002</v>
      </c>
      <c r="S410">
        <v>0.2</v>
      </c>
      <c r="T410">
        <v>0.02</v>
      </c>
      <c r="U410" s="8">
        <f>Table3[[#This Row],[PrimaNeta]]*Table3[[#This Row],[Comisión]]</f>
        <v>3882.5367622799999</v>
      </c>
      <c r="V410" s="15">
        <f>Table3[[#This Row],[PrimaComercial Anual]]-Table3[[#This Row],[PrimaComercial Anual]]*SUM(Table3[[#This Row],[APS]:[IVA]])</f>
        <v>19412.683811399998</v>
      </c>
      <c r="W410" s="2">
        <v>1.4800000000000001E-2</v>
      </c>
      <c r="X410" s="2">
        <v>8.4501000000000007E-2</v>
      </c>
      <c r="Y410">
        <v>0.03</v>
      </c>
      <c r="Z410">
        <v>0.13</v>
      </c>
      <c r="AA410" s="20">
        <f>Table3[[#This Row],[APS]]*Table3[[#This Row],[PrimaComercial Anual]]</f>
        <v>387.88727999999998</v>
      </c>
      <c r="AB410" s="8">
        <f>Table3[[#This Row],[PrimaComercial Anual]]*Table3[[#This Row],[Recargo adicional]]</f>
        <v>2214.6529086</v>
      </c>
      <c r="AC410" s="8">
        <f>Table3[[#This Row],[PrimaComercial Anual]]*Table3[[#This Row],[IT]]</f>
        <v>786.25799999999992</v>
      </c>
      <c r="AD410" s="8">
        <f>Table3[[#This Row],[PrimaComercial Anual]]*Table3[[#This Row],[IVA]]</f>
        <v>3407.1179999999999</v>
      </c>
      <c r="AE410" s="15">
        <f>Table3[[#This Row],[PrimaComercial Anual Asistencia]]</f>
        <v>26208.6</v>
      </c>
      <c r="AG410">
        <v>26208.6</v>
      </c>
    </row>
    <row r="411" spans="1:33" x14ac:dyDescent="0.25">
      <c r="A411" t="s">
        <v>18</v>
      </c>
      <c r="B411">
        <v>140000</v>
      </c>
      <c r="C411">
        <v>78</v>
      </c>
      <c r="D411" s="2">
        <f>Table3[[#This Row],[PrimaTécnica]]-Table3[[#This Row],[PrimaTécnica]]*SUM(Table3[[#This Row],[Gastos Adm]:[Cobranza]])</f>
        <v>11956.378082313597</v>
      </c>
      <c r="E411">
        <v>0</v>
      </c>
      <c r="F411">
        <v>0.15</v>
      </c>
      <c r="G411">
        <v>0.05</v>
      </c>
      <c r="H411">
        <v>0.01</v>
      </c>
      <c r="I411">
        <v>0.01</v>
      </c>
      <c r="J411" s="8">
        <f>Table3[[#This Row],[PrimaTécnica]]*Table3[[#This Row],[Gastos Adm]]</f>
        <v>2299.3034773679997</v>
      </c>
      <c r="K411" s="8">
        <f>Table3[[#This Row],[PrimaTécnica]]*Table3[[#This Row],[Utilidad]]</f>
        <v>766.43449245599993</v>
      </c>
      <c r="L411" s="8">
        <f>Table3[[#This Row],[PrimaTécnica]]*Table3[[#This Row],[Marketing]]</f>
        <v>153.28689849119996</v>
      </c>
      <c r="M411" s="8">
        <f>Table3[[#This Row],[PrimaTécnica]]*Table3[[#This Row],[Cobranza]]</f>
        <v>153.28689849119996</v>
      </c>
      <c r="N41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11">
        <v>21.84</v>
      </c>
      <c r="P411">
        <v>54.6</v>
      </c>
      <c r="Q411">
        <v>80.64</v>
      </c>
      <c r="R411">
        <v>44.377200000000002</v>
      </c>
      <c r="S411">
        <v>0.2</v>
      </c>
      <c r="T411">
        <v>0.02</v>
      </c>
      <c r="U411" s="8">
        <f>Table3[[#This Row],[PrimaNeta]]*Table3[[#This Row],[Comisión]]</f>
        <v>3882.5367622799999</v>
      </c>
      <c r="V411" s="15">
        <f>Table3[[#This Row],[PrimaComercial Anual]]-Table3[[#This Row],[PrimaComercial Anual]]*SUM(Table3[[#This Row],[APS]:[IVA]])</f>
        <v>19412.683811399998</v>
      </c>
      <c r="W411" s="2">
        <v>1.4800000000000001E-2</v>
      </c>
      <c r="X411" s="2">
        <v>8.4501000000000007E-2</v>
      </c>
      <c r="Y411">
        <v>0.03</v>
      </c>
      <c r="Z411">
        <v>0.13</v>
      </c>
      <c r="AA411" s="20">
        <f>Table3[[#This Row],[APS]]*Table3[[#This Row],[PrimaComercial Anual]]</f>
        <v>387.88727999999998</v>
      </c>
      <c r="AB411" s="8">
        <f>Table3[[#This Row],[PrimaComercial Anual]]*Table3[[#This Row],[Recargo adicional]]</f>
        <v>2214.6529086</v>
      </c>
      <c r="AC411" s="8">
        <f>Table3[[#This Row],[PrimaComercial Anual]]*Table3[[#This Row],[IT]]</f>
        <v>786.25799999999992</v>
      </c>
      <c r="AD411" s="8">
        <f>Table3[[#This Row],[PrimaComercial Anual]]*Table3[[#This Row],[IVA]]</f>
        <v>3407.1179999999999</v>
      </c>
      <c r="AE411" s="15">
        <f>Table3[[#This Row],[PrimaComercial Anual Asistencia]]</f>
        <v>26208.6</v>
      </c>
      <c r="AG411">
        <v>26208.6</v>
      </c>
    </row>
    <row r="412" spans="1:33" x14ac:dyDescent="0.25">
      <c r="A412" t="s">
        <v>18</v>
      </c>
      <c r="B412">
        <v>140000</v>
      </c>
      <c r="C412">
        <v>79</v>
      </c>
      <c r="D412" s="2">
        <f>Table3[[#This Row],[PrimaTécnica]]-Table3[[#This Row],[PrimaTécnica]]*SUM(Table3[[#This Row],[Gastos Adm]:[Cobranza]])</f>
        <v>11956.378082313597</v>
      </c>
      <c r="E412">
        <v>0</v>
      </c>
      <c r="F412">
        <v>0.15</v>
      </c>
      <c r="G412">
        <v>0.05</v>
      </c>
      <c r="H412">
        <v>0.01</v>
      </c>
      <c r="I412">
        <v>0.01</v>
      </c>
      <c r="J412" s="8">
        <f>Table3[[#This Row],[PrimaTécnica]]*Table3[[#This Row],[Gastos Adm]]</f>
        <v>2299.3034773679997</v>
      </c>
      <c r="K412" s="8">
        <f>Table3[[#This Row],[PrimaTécnica]]*Table3[[#This Row],[Utilidad]]</f>
        <v>766.43449245599993</v>
      </c>
      <c r="L412" s="8">
        <f>Table3[[#This Row],[PrimaTécnica]]*Table3[[#This Row],[Marketing]]</f>
        <v>153.28689849119996</v>
      </c>
      <c r="M412" s="8">
        <f>Table3[[#This Row],[PrimaTécnica]]*Table3[[#This Row],[Cobranza]]</f>
        <v>153.28689849119996</v>
      </c>
      <c r="N41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12">
        <v>21.84</v>
      </c>
      <c r="P412">
        <v>54.6</v>
      </c>
      <c r="Q412">
        <v>80.64</v>
      </c>
      <c r="R412">
        <v>44.377200000000002</v>
      </c>
      <c r="S412">
        <v>0.2</v>
      </c>
      <c r="T412">
        <v>0.02</v>
      </c>
      <c r="U412" s="8">
        <f>Table3[[#This Row],[PrimaNeta]]*Table3[[#This Row],[Comisión]]</f>
        <v>3882.5367622799999</v>
      </c>
      <c r="V412" s="15">
        <f>Table3[[#This Row],[PrimaComercial Anual]]-Table3[[#This Row],[PrimaComercial Anual]]*SUM(Table3[[#This Row],[APS]:[IVA]])</f>
        <v>19412.683811399998</v>
      </c>
      <c r="W412" s="2">
        <v>1.4800000000000001E-2</v>
      </c>
      <c r="X412" s="2">
        <v>8.4501000000000007E-2</v>
      </c>
      <c r="Y412">
        <v>0.03</v>
      </c>
      <c r="Z412">
        <v>0.13</v>
      </c>
      <c r="AA412" s="20">
        <f>Table3[[#This Row],[APS]]*Table3[[#This Row],[PrimaComercial Anual]]</f>
        <v>387.88727999999998</v>
      </c>
      <c r="AB412" s="8">
        <f>Table3[[#This Row],[PrimaComercial Anual]]*Table3[[#This Row],[Recargo adicional]]</f>
        <v>2214.6529086</v>
      </c>
      <c r="AC412" s="8">
        <f>Table3[[#This Row],[PrimaComercial Anual]]*Table3[[#This Row],[IT]]</f>
        <v>786.25799999999992</v>
      </c>
      <c r="AD412" s="8">
        <f>Table3[[#This Row],[PrimaComercial Anual]]*Table3[[#This Row],[IVA]]</f>
        <v>3407.1179999999999</v>
      </c>
      <c r="AE412" s="15">
        <f>Table3[[#This Row],[PrimaComercial Anual Asistencia]]</f>
        <v>26208.6</v>
      </c>
      <c r="AG412">
        <v>26208.6</v>
      </c>
    </row>
    <row r="413" spans="1:33" x14ac:dyDescent="0.25">
      <c r="A413" t="s">
        <v>18</v>
      </c>
      <c r="B413">
        <v>140000</v>
      </c>
      <c r="C413">
        <v>80</v>
      </c>
      <c r="D413" s="2">
        <f>Table3[[#This Row],[PrimaTécnica]]-Table3[[#This Row],[PrimaTécnica]]*SUM(Table3[[#This Row],[Gastos Adm]:[Cobranza]])</f>
        <v>11956.378082313597</v>
      </c>
      <c r="E413">
        <v>0</v>
      </c>
      <c r="F413">
        <v>0.15</v>
      </c>
      <c r="G413">
        <v>0.05</v>
      </c>
      <c r="H413">
        <v>0.01</v>
      </c>
      <c r="I413">
        <v>0.01</v>
      </c>
      <c r="J413" s="8">
        <f>Table3[[#This Row],[PrimaTécnica]]*Table3[[#This Row],[Gastos Adm]]</f>
        <v>2299.3034773679997</v>
      </c>
      <c r="K413" s="8">
        <f>Table3[[#This Row],[PrimaTécnica]]*Table3[[#This Row],[Utilidad]]</f>
        <v>766.43449245599993</v>
      </c>
      <c r="L413" s="8">
        <f>Table3[[#This Row],[PrimaTécnica]]*Table3[[#This Row],[Marketing]]</f>
        <v>153.28689849119996</v>
      </c>
      <c r="M413" s="8">
        <f>Table3[[#This Row],[PrimaTécnica]]*Table3[[#This Row],[Cobranza]]</f>
        <v>153.28689849119996</v>
      </c>
      <c r="N41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13">
        <v>21.84</v>
      </c>
      <c r="P413">
        <v>54.6</v>
      </c>
      <c r="Q413">
        <v>80.64</v>
      </c>
      <c r="R413">
        <v>44.377200000000002</v>
      </c>
      <c r="S413">
        <v>0.2</v>
      </c>
      <c r="T413">
        <v>0.02</v>
      </c>
      <c r="U413" s="8">
        <f>Table3[[#This Row],[PrimaNeta]]*Table3[[#This Row],[Comisión]]</f>
        <v>3882.5367622799999</v>
      </c>
      <c r="V413" s="15">
        <f>Table3[[#This Row],[PrimaComercial Anual]]-Table3[[#This Row],[PrimaComercial Anual]]*SUM(Table3[[#This Row],[APS]:[IVA]])</f>
        <v>19412.683811399998</v>
      </c>
      <c r="W413" s="2">
        <v>1.4800000000000001E-2</v>
      </c>
      <c r="X413" s="2">
        <v>8.4501000000000007E-2</v>
      </c>
      <c r="Y413">
        <v>0.03</v>
      </c>
      <c r="Z413">
        <v>0.13</v>
      </c>
      <c r="AA413" s="20">
        <f>Table3[[#This Row],[APS]]*Table3[[#This Row],[PrimaComercial Anual]]</f>
        <v>387.88727999999998</v>
      </c>
      <c r="AB413" s="8">
        <f>Table3[[#This Row],[PrimaComercial Anual]]*Table3[[#This Row],[Recargo adicional]]</f>
        <v>2214.6529086</v>
      </c>
      <c r="AC413" s="8">
        <f>Table3[[#This Row],[PrimaComercial Anual]]*Table3[[#This Row],[IT]]</f>
        <v>786.25799999999992</v>
      </c>
      <c r="AD413" s="8">
        <f>Table3[[#This Row],[PrimaComercial Anual]]*Table3[[#This Row],[IVA]]</f>
        <v>3407.1179999999999</v>
      </c>
      <c r="AE413" s="15">
        <f>Table3[[#This Row],[PrimaComercial Anual Asistencia]]</f>
        <v>26208.6</v>
      </c>
      <c r="AG413">
        <v>26208.6</v>
      </c>
    </row>
    <row r="414" spans="1:33" x14ac:dyDescent="0.25">
      <c r="A414" t="s">
        <v>18</v>
      </c>
      <c r="B414">
        <v>140000</v>
      </c>
      <c r="C414">
        <v>81</v>
      </c>
      <c r="D414" s="2">
        <f>Table3[[#This Row],[PrimaTécnica]]-Table3[[#This Row],[PrimaTécnica]]*SUM(Table3[[#This Row],[Gastos Adm]:[Cobranza]])</f>
        <v>11956.378082313597</v>
      </c>
      <c r="E414">
        <v>0</v>
      </c>
      <c r="F414">
        <v>0.15</v>
      </c>
      <c r="G414">
        <v>0.05</v>
      </c>
      <c r="H414">
        <v>0.01</v>
      </c>
      <c r="I414">
        <v>0.01</v>
      </c>
      <c r="J414" s="8">
        <f>Table3[[#This Row],[PrimaTécnica]]*Table3[[#This Row],[Gastos Adm]]</f>
        <v>2299.3034773679997</v>
      </c>
      <c r="K414" s="8">
        <f>Table3[[#This Row],[PrimaTécnica]]*Table3[[#This Row],[Utilidad]]</f>
        <v>766.43449245599993</v>
      </c>
      <c r="L414" s="8">
        <f>Table3[[#This Row],[PrimaTécnica]]*Table3[[#This Row],[Marketing]]</f>
        <v>153.28689849119996</v>
      </c>
      <c r="M414" s="8">
        <f>Table3[[#This Row],[PrimaTécnica]]*Table3[[#This Row],[Cobranza]]</f>
        <v>153.28689849119996</v>
      </c>
      <c r="N41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14">
        <v>21.84</v>
      </c>
      <c r="P414">
        <v>54.6</v>
      </c>
      <c r="Q414">
        <v>80.64</v>
      </c>
      <c r="R414">
        <v>44.377200000000002</v>
      </c>
      <c r="S414">
        <v>0.2</v>
      </c>
      <c r="T414">
        <v>0.02</v>
      </c>
      <c r="U414" s="8">
        <f>Table3[[#This Row],[PrimaNeta]]*Table3[[#This Row],[Comisión]]</f>
        <v>3882.5367622799999</v>
      </c>
      <c r="V414" s="15">
        <f>Table3[[#This Row],[PrimaComercial Anual]]-Table3[[#This Row],[PrimaComercial Anual]]*SUM(Table3[[#This Row],[APS]:[IVA]])</f>
        <v>19412.683811399998</v>
      </c>
      <c r="W414" s="2">
        <v>1.4800000000000001E-2</v>
      </c>
      <c r="X414" s="2">
        <v>8.4501000000000007E-2</v>
      </c>
      <c r="Y414">
        <v>0.03</v>
      </c>
      <c r="Z414">
        <v>0.13</v>
      </c>
      <c r="AA414" s="20">
        <f>Table3[[#This Row],[APS]]*Table3[[#This Row],[PrimaComercial Anual]]</f>
        <v>387.88727999999998</v>
      </c>
      <c r="AB414" s="8">
        <f>Table3[[#This Row],[PrimaComercial Anual]]*Table3[[#This Row],[Recargo adicional]]</f>
        <v>2214.6529086</v>
      </c>
      <c r="AC414" s="8">
        <f>Table3[[#This Row],[PrimaComercial Anual]]*Table3[[#This Row],[IT]]</f>
        <v>786.25799999999992</v>
      </c>
      <c r="AD414" s="8">
        <f>Table3[[#This Row],[PrimaComercial Anual]]*Table3[[#This Row],[IVA]]</f>
        <v>3407.1179999999999</v>
      </c>
      <c r="AE414" s="15">
        <f>Table3[[#This Row],[PrimaComercial Anual Asistencia]]</f>
        <v>26208.6</v>
      </c>
      <c r="AG414">
        <v>26208.6</v>
      </c>
    </row>
    <row r="415" spans="1:33" x14ac:dyDescent="0.25">
      <c r="A415" t="s">
        <v>18</v>
      </c>
      <c r="B415">
        <v>140000</v>
      </c>
      <c r="C415">
        <v>82</v>
      </c>
      <c r="D415" s="2">
        <f>Table3[[#This Row],[PrimaTécnica]]-Table3[[#This Row],[PrimaTécnica]]*SUM(Table3[[#This Row],[Gastos Adm]:[Cobranza]])</f>
        <v>11956.378082313597</v>
      </c>
      <c r="E415">
        <v>0</v>
      </c>
      <c r="F415">
        <v>0.15</v>
      </c>
      <c r="G415">
        <v>0.05</v>
      </c>
      <c r="H415">
        <v>0.01</v>
      </c>
      <c r="I415">
        <v>0.01</v>
      </c>
      <c r="J415" s="8">
        <f>Table3[[#This Row],[PrimaTécnica]]*Table3[[#This Row],[Gastos Adm]]</f>
        <v>2299.3034773679997</v>
      </c>
      <c r="K415" s="8">
        <f>Table3[[#This Row],[PrimaTécnica]]*Table3[[#This Row],[Utilidad]]</f>
        <v>766.43449245599993</v>
      </c>
      <c r="L415" s="8">
        <f>Table3[[#This Row],[PrimaTécnica]]*Table3[[#This Row],[Marketing]]</f>
        <v>153.28689849119996</v>
      </c>
      <c r="M415" s="8">
        <f>Table3[[#This Row],[PrimaTécnica]]*Table3[[#This Row],[Cobranza]]</f>
        <v>153.28689849119996</v>
      </c>
      <c r="N41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15">
        <v>21.84</v>
      </c>
      <c r="P415">
        <v>54.6</v>
      </c>
      <c r="Q415">
        <v>80.64</v>
      </c>
      <c r="R415">
        <v>44.377200000000002</v>
      </c>
      <c r="S415">
        <v>0.2</v>
      </c>
      <c r="T415">
        <v>0.02</v>
      </c>
      <c r="U415" s="8">
        <f>Table3[[#This Row],[PrimaNeta]]*Table3[[#This Row],[Comisión]]</f>
        <v>3882.5367622799999</v>
      </c>
      <c r="V415" s="15">
        <f>Table3[[#This Row],[PrimaComercial Anual]]-Table3[[#This Row],[PrimaComercial Anual]]*SUM(Table3[[#This Row],[APS]:[IVA]])</f>
        <v>19412.683811399998</v>
      </c>
      <c r="W415" s="2">
        <v>1.4800000000000001E-2</v>
      </c>
      <c r="X415" s="2">
        <v>8.4501000000000007E-2</v>
      </c>
      <c r="Y415">
        <v>0.03</v>
      </c>
      <c r="Z415">
        <v>0.13</v>
      </c>
      <c r="AA415" s="20">
        <f>Table3[[#This Row],[APS]]*Table3[[#This Row],[PrimaComercial Anual]]</f>
        <v>387.88727999999998</v>
      </c>
      <c r="AB415" s="8">
        <f>Table3[[#This Row],[PrimaComercial Anual]]*Table3[[#This Row],[Recargo adicional]]</f>
        <v>2214.6529086</v>
      </c>
      <c r="AC415" s="8">
        <f>Table3[[#This Row],[PrimaComercial Anual]]*Table3[[#This Row],[IT]]</f>
        <v>786.25799999999992</v>
      </c>
      <c r="AD415" s="8">
        <f>Table3[[#This Row],[PrimaComercial Anual]]*Table3[[#This Row],[IVA]]</f>
        <v>3407.1179999999999</v>
      </c>
      <c r="AE415" s="15">
        <f>Table3[[#This Row],[PrimaComercial Anual Asistencia]]</f>
        <v>26208.6</v>
      </c>
      <c r="AG415">
        <v>26208.6</v>
      </c>
    </row>
    <row r="416" spans="1:33" x14ac:dyDescent="0.25">
      <c r="A416" t="s">
        <v>18</v>
      </c>
      <c r="B416">
        <v>140000</v>
      </c>
      <c r="C416">
        <v>83</v>
      </c>
      <c r="D416" s="2">
        <f>Table3[[#This Row],[PrimaTécnica]]-Table3[[#This Row],[PrimaTécnica]]*SUM(Table3[[#This Row],[Gastos Adm]:[Cobranza]])</f>
        <v>11956.378082313597</v>
      </c>
      <c r="E416">
        <v>0</v>
      </c>
      <c r="F416">
        <v>0.15</v>
      </c>
      <c r="G416">
        <v>0.05</v>
      </c>
      <c r="H416">
        <v>0.01</v>
      </c>
      <c r="I416">
        <v>0.01</v>
      </c>
      <c r="J416" s="8">
        <f>Table3[[#This Row],[PrimaTécnica]]*Table3[[#This Row],[Gastos Adm]]</f>
        <v>2299.3034773679997</v>
      </c>
      <c r="K416" s="8">
        <f>Table3[[#This Row],[PrimaTécnica]]*Table3[[#This Row],[Utilidad]]</f>
        <v>766.43449245599993</v>
      </c>
      <c r="L416" s="8">
        <f>Table3[[#This Row],[PrimaTécnica]]*Table3[[#This Row],[Marketing]]</f>
        <v>153.28689849119996</v>
      </c>
      <c r="M416" s="8">
        <f>Table3[[#This Row],[PrimaTécnica]]*Table3[[#This Row],[Cobranza]]</f>
        <v>153.28689849119996</v>
      </c>
      <c r="N41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16">
        <v>21.84</v>
      </c>
      <c r="P416">
        <v>54.6</v>
      </c>
      <c r="Q416">
        <v>80.64</v>
      </c>
      <c r="R416">
        <v>44.377200000000002</v>
      </c>
      <c r="S416">
        <v>0.2</v>
      </c>
      <c r="T416">
        <v>0.02</v>
      </c>
      <c r="U416" s="8">
        <f>Table3[[#This Row],[PrimaNeta]]*Table3[[#This Row],[Comisión]]</f>
        <v>3882.5367622799999</v>
      </c>
      <c r="V416" s="15">
        <f>Table3[[#This Row],[PrimaComercial Anual]]-Table3[[#This Row],[PrimaComercial Anual]]*SUM(Table3[[#This Row],[APS]:[IVA]])</f>
        <v>19412.683811399998</v>
      </c>
      <c r="W416" s="2">
        <v>1.4800000000000001E-2</v>
      </c>
      <c r="X416" s="2">
        <v>8.4501000000000007E-2</v>
      </c>
      <c r="Y416">
        <v>0.03</v>
      </c>
      <c r="Z416">
        <v>0.13</v>
      </c>
      <c r="AA416" s="20">
        <f>Table3[[#This Row],[APS]]*Table3[[#This Row],[PrimaComercial Anual]]</f>
        <v>387.88727999999998</v>
      </c>
      <c r="AB416" s="8">
        <f>Table3[[#This Row],[PrimaComercial Anual]]*Table3[[#This Row],[Recargo adicional]]</f>
        <v>2214.6529086</v>
      </c>
      <c r="AC416" s="8">
        <f>Table3[[#This Row],[PrimaComercial Anual]]*Table3[[#This Row],[IT]]</f>
        <v>786.25799999999992</v>
      </c>
      <c r="AD416" s="8">
        <f>Table3[[#This Row],[PrimaComercial Anual]]*Table3[[#This Row],[IVA]]</f>
        <v>3407.1179999999999</v>
      </c>
      <c r="AE416" s="15">
        <f>Table3[[#This Row],[PrimaComercial Anual Asistencia]]</f>
        <v>26208.6</v>
      </c>
      <c r="AG416">
        <v>26208.6</v>
      </c>
    </row>
    <row r="417" spans="1:33" x14ac:dyDescent="0.25">
      <c r="A417" t="s">
        <v>18</v>
      </c>
      <c r="B417">
        <v>140000</v>
      </c>
      <c r="C417">
        <v>84</v>
      </c>
      <c r="D417" s="2">
        <f>Table3[[#This Row],[PrimaTécnica]]-Table3[[#This Row],[PrimaTécnica]]*SUM(Table3[[#This Row],[Gastos Adm]:[Cobranza]])</f>
        <v>11956.378082313597</v>
      </c>
      <c r="E417">
        <v>0</v>
      </c>
      <c r="F417">
        <v>0.15</v>
      </c>
      <c r="G417">
        <v>0.05</v>
      </c>
      <c r="H417">
        <v>0.01</v>
      </c>
      <c r="I417">
        <v>0.01</v>
      </c>
      <c r="J417" s="8">
        <f>Table3[[#This Row],[PrimaTécnica]]*Table3[[#This Row],[Gastos Adm]]</f>
        <v>2299.3034773679997</v>
      </c>
      <c r="K417" s="8">
        <f>Table3[[#This Row],[PrimaTécnica]]*Table3[[#This Row],[Utilidad]]</f>
        <v>766.43449245599993</v>
      </c>
      <c r="L417" s="8">
        <f>Table3[[#This Row],[PrimaTécnica]]*Table3[[#This Row],[Marketing]]</f>
        <v>153.28689849119996</v>
      </c>
      <c r="M417" s="8">
        <f>Table3[[#This Row],[PrimaTécnica]]*Table3[[#This Row],[Cobranza]]</f>
        <v>153.28689849119996</v>
      </c>
      <c r="N41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17">
        <v>21.84</v>
      </c>
      <c r="P417">
        <v>54.6</v>
      </c>
      <c r="Q417">
        <v>80.64</v>
      </c>
      <c r="R417">
        <v>44.377200000000002</v>
      </c>
      <c r="S417">
        <v>0.2</v>
      </c>
      <c r="T417">
        <v>0.02</v>
      </c>
      <c r="U417" s="8">
        <f>Table3[[#This Row],[PrimaNeta]]*Table3[[#This Row],[Comisión]]</f>
        <v>3882.5367622799999</v>
      </c>
      <c r="V417" s="15">
        <f>Table3[[#This Row],[PrimaComercial Anual]]-Table3[[#This Row],[PrimaComercial Anual]]*SUM(Table3[[#This Row],[APS]:[IVA]])</f>
        <v>19412.683811399998</v>
      </c>
      <c r="W417" s="2">
        <v>1.4800000000000001E-2</v>
      </c>
      <c r="X417" s="2">
        <v>8.4501000000000007E-2</v>
      </c>
      <c r="Y417">
        <v>0.03</v>
      </c>
      <c r="Z417">
        <v>0.13</v>
      </c>
      <c r="AA417" s="20">
        <f>Table3[[#This Row],[APS]]*Table3[[#This Row],[PrimaComercial Anual]]</f>
        <v>387.88727999999998</v>
      </c>
      <c r="AB417" s="8">
        <f>Table3[[#This Row],[PrimaComercial Anual]]*Table3[[#This Row],[Recargo adicional]]</f>
        <v>2214.6529086</v>
      </c>
      <c r="AC417" s="8">
        <f>Table3[[#This Row],[PrimaComercial Anual]]*Table3[[#This Row],[IT]]</f>
        <v>786.25799999999992</v>
      </c>
      <c r="AD417" s="8">
        <f>Table3[[#This Row],[PrimaComercial Anual]]*Table3[[#This Row],[IVA]]</f>
        <v>3407.1179999999999</v>
      </c>
      <c r="AE417" s="15">
        <f>Table3[[#This Row],[PrimaComercial Anual Asistencia]]</f>
        <v>26208.6</v>
      </c>
      <c r="AG417">
        <v>26208.6</v>
      </c>
    </row>
    <row r="418" spans="1:33" x14ac:dyDescent="0.25">
      <c r="A418" t="s">
        <v>18</v>
      </c>
      <c r="B418">
        <v>140000</v>
      </c>
      <c r="C418">
        <v>85</v>
      </c>
      <c r="D418" s="2">
        <f>Table3[[#This Row],[PrimaTécnica]]-Table3[[#This Row],[PrimaTécnica]]*SUM(Table3[[#This Row],[Gastos Adm]:[Cobranza]])</f>
        <v>11956.378082313597</v>
      </c>
      <c r="E418">
        <v>0</v>
      </c>
      <c r="F418">
        <v>0.15</v>
      </c>
      <c r="G418">
        <v>0.05</v>
      </c>
      <c r="H418">
        <v>0.01</v>
      </c>
      <c r="I418">
        <v>0.01</v>
      </c>
      <c r="J418" s="8">
        <f>Table3[[#This Row],[PrimaTécnica]]*Table3[[#This Row],[Gastos Adm]]</f>
        <v>2299.3034773679997</v>
      </c>
      <c r="K418" s="8">
        <f>Table3[[#This Row],[PrimaTécnica]]*Table3[[#This Row],[Utilidad]]</f>
        <v>766.43449245599993</v>
      </c>
      <c r="L418" s="8">
        <f>Table3[[#This Row],[PrimaTécnica]]*Table3[[#This Row],[Marketing]]</f>
        <v>153.28689849119996</v>
      </c>
      <c r="M418" s="8">
        <f>Table3[[#This Row],[PrimaTécnica]]*Table3[[#This Row],[Cobranza]]</f>
        <v>153.28689849119996</v>
      </c>
      <c r="N41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18">
        <v>21.84</v>
      </c>
      <c r="P418">
        <v>54.6</v>
      </c>
      <c r="Q418">
        <v>80.64</v>
      </c>
      <c r="R418">
        <v>44.377200000000002</v>
      </c>
      <c r="S418">
        <v>0.2</v>
      </c>
      <c r="T418">
        <v>0.02</v>
      </c>
      <c r="U418" s="8">
        <f>Table3[[#This Row],[PrimaNeta]]*Table3[[#This Row],[Comisión]]</f>
        <v>3882.5367622799999</v>
      </c>
      <c r="V418" s="15">
        <f>Table3[[#This Row],[PrimaComercial Anual]]-Table3[[#This Row],[PrimaComercial Anual]]*SUM(Table3[[#This Row],[APS]:[IVA]])</f>
        <v>19412.683811399998</v>
      </c>
      <c r="W418" s="2">
        <v>1.4800000000000001E-2</v>
      </c>
      <c r="X418" s="2">
        <v>8.4501000000000007E-2</v>
      </c>
      <c r="Y418">
        <v>0.03</v>
      </c>
      <c r="Z418">
        <v>0.13</v>
      </c>
      <c r="AA418" s="20">
        <f>Table3[[#This Row],[APS]]*Table3[[#This Row],[PrimaComercial Anual]]</f>
        <v>387.88727999999998</v>
      </c>
      <c r="AB418" s="8">
        <f>Table3[[#This Row],[PrimaComercial Anual]]*Table3[[#This Row],[Recargo adicional]]</f>
        <v>2214.6529086</v>
      </c>
      <c r="AC418" s="8">
        <f>Table3[[#This Row],[PrimaComercial Anual]]*Table3[[#This Row],[IT]]</f>
        <v>786.25799999999992</v>
      </c>
      <c r="AD418" s="8">
        <f>Table3[[#This Row],[PrimaComercial Anual]]*Table3[[#This Row],[IVA]]</f>
        <v>3407.1179999999999</v>
      </c>
      <c r="AE418" s="15">
        <f>Table3[[#This Row],[PrimaComercial Anual Asistencia]]</f>
        <v>26208.6</v>
      </c>
      <c r="AG418">
        <v>26208.6</v>
      </c>
    </row>
    <row r="419" spans="1:33" x14ac:dyDescent="0.25">
      <c r="A419" t="s">
        <v>18</v>
      </c>
      <c r="B419">
        <v>140000</v>
      </c>
      <c r="C419">
        <v>86</v>
      </c>
      <c r="D419" s="2">
        <f>Table3[[#This Row],[PrimaTécnica]]-Table3[[#This Row],[PrimaTécnica]]*SUM(Table3[[#This Row],[Gastos Adm]:[Cobranza]])</f>
        <v>11956.378082313597</v>
      </c>
      <c r="E419">
        <v>0</v>
      </c>
      <c r="F419">
        <v>0.15</v>
      </c>
      <c r="G419">
        <v>0.05</v>
      </c>
      <c r="H419">
        <v>0.01</v>
      </c>
      <c r="I419">
        <v>0.01</v>
      </c>
      <c r="J419" s="8">
        <f>Table3[[#This Row],[PrimaTécnica]]*Table3[[#This Row],[Gastos Adm]]</f>
        <v>2299.3034773679997</v>
      </c>
      <c r="K419" s="8">
        <f>Table3[[#This Row],[PrimaTécnica]]*Table3[[#This Row],[Utilidad]]</f>
        <v>766.43449245599993</v>
      </c>
      <c r="L419" s="8">
        <f>Table3[[#This Row],[PrimaTécnica]]*Table3[[#This Row],[Marketing]]</f>
        <v>153.28689849119996</v>
      </c>
      <c r="M419" s="8">
        <f>Table3[[#This Row],[PrimaTécnica]]*Table3[[#This Row],[Cobranza]]</f>
        <v>153.28689849119996</v>
      </c>
      <c r="N41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19">
        <v>21.84</v>
      </c>
      <c r="P419">
        <v>54.6</v>
      </c>
      <c r="Q419">
        <v>80.64</v>
      </c>
      <c r="R419">
        <v>44.377200000000002</v>
      </c>
      <c r="S419">
        <v>0.2</v>
      </c>
      <c r="T419">
        <v>0.02</v>
      </c>
      <c r="U419" s="8">
        <f>Table3[[#This Row],[PrimaNeta]]*Table3[[#This Row],[Comisión]]</f>
        <v>3882.5367622799999</v>
      </c>
      <c r="V419" s="15">
        <f>Table3[[#This Row],[PrimaComercial Anual]]-Table3[[#This Row],[PrimaComercial Anual]]*SUM(Table3[[#This Row],[APS]:[IVA]])</f>
        <v>19412.683811399998</v>
      </c>
      <c r="W419" s="2">
        <v>1.4800000000000001E-2</v>
      </c>
      <c r="X419" s="2">
        <v>8.4501000000000007E-2</v>
      </c>
      <c r="Y419">
        <v>0.03</v>
      </c>
      <c r="Z419">
        <v>0.13</v>
      </c>
      <c r="AA419" s="20">
        <f>Table3[[#This Row],[APS]]*Table3[[#This Row],[PrimaComercial Anual]]</f>
        <v>387.88727999999998</v>
      </c>
      <c r="AB419" s="8">
        <f>Table3[[#This Row],[PrimaComercial Anual]]*Table3[[#This Row],[Recargo adicional]]</f>
        <v>2214.6529086</v>
      </c>
      <c r="AC419" s="8">
        <f>Table3[[#This Row],[PrimaComercial Anual]]*Table3[[#This Row],[IT]]</f>
        <v>786.25799999999992</v>
      </c>
      <c r="AD419" s="8">
        <f>Table3[[#This Row],[PrimaComercial Anual]]*Table3[[#This Row],[IVA]]</f>
        <v>3407.1179999999999</v>
      </c>
      <c r="AE419" s="15">
        <f>Table3[[#This Row],[PrimaComercial Anual Asistencia]]</f>
        <v>26208.6</v>
      </c>
      <c r="AG419">
        <v>26208.6</v>
      </c>
    </row>
    <row r="420" spans="1:33" x14ac:dyDescent="0.25">
      <c r="A420" t="s">
        <v>18</v>
      </c>
      <c r="B420">
        <v>140000</v>
      </c>
      <c r="C420">
        <v>87</v>
      </c>
      <c r="D420" s="2">
        <f>Table3[[#This Row],[PrimaTécnica]]-Table3[[#This Row],[PrimaTécnica]]*SUM(Table3[[#This Row],[Gastos Adm]:[Cobranza]])</f>
        <v>11956.378082313597</v>
      </c>
      <c r="E420">
        <v>0</v>
      </c>
      <c r="F420">
        <v>0.15</v>
      </c>
      <c r="G420">
        <v>0.05</v>
      </c>
      <c r="H420">
        <v>0.01</v>
      </c>
      <c r="I420">
        <v>0.01</v>
      </c>
      <c r="J420" s="8">
        <f>Table3[[#This Row],[PrimaTécnica]]*Table3[[#This Row],[Gastos Adm]]</f>
        <v>2299.3034773679997</v>
      </c>
      <c r="K420" s="8">
        <f>Table3[[#This Row],[PrimaTécnica]]*Table3[[#This Row],[Utilidad]]</f>
        <v>766.43449245599993</v>
      </c>
      <c r="L420" s="8">
        <f>Table3[[#This Row],[PrimaTécnica]]*Table3[[#This Row],[Marketing]]</f>
        <v>153.28689849119996</v>
      </c>
      <c r="M420" s="8">
        <f>Table3[[#This Row],[PrimaTécnica]]*Table3[[#This Row],[Cobranza]]</f>
        <v>153.28689849119996</v>
      </c>
      <c r="N42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20">
        <v>21.84</v>
      </c>
      <c r="P420">
        <v>54.6</v>
      </c>
      <c r="Q420">
        <v>80.64</v>
      </c>
      <c r="R420">
        <v>44.377200000000002</v>
      </c>
      <c r="S420">
        <v>0.2</v>
      </c>
      <c r="T420">
        <v>0.02</v>
      </c>
      <c r="U420" s="8">
        <f>Table3[[#This Row],[PrimaNeta]]*Table3[[#This Row],[Comisión]]</f>
        <v>3882.5367622799999</v>
      </c>
      <c r="V420" s="15">
        <f>Table3[[#This Row],[PrimaComercial Anual]]-Table3[[#This Row],[PrimaComercial Anual]]*SUM(Table3[[#This Row],[APS]:[IVA]])</f>
        <v>19412.683811399998</v>
      </c>
      <c r="W420" s="2">
        <v>1.4800000000000001E-2</v>
      </c>
      <c r="X420" s="2">
        <v>8.4501000000000007E-2</v>
      </c>
      <c r="Y420">
        <v>0.03</v>
      </c>
      <c r="Z420">
        <v>0.13</v>
      </c>
      <c r="AA420" s="20">
        <f>Table3[[#This Row],[APS]]*Table3[[#This Row],[PrimaComercial Anual]]</f>
        <v>387.88727999999998</v>
      </c>
      <c r="AB420" s="8">
        <f>Table3[[#This Row],[PrimaComercial Anual]]*Table3[[#This Row],[Recargo adicional]]</f>
        <v>2214.6529086</v>
      </c>
      <c r="AC420" s="8">
        <f>Table3[[#This Row],[PrimaComercial Anual]]*Table3[[#This Row],[IT]]</f>
        <v>786.25799999999992</v>
      </c>
      <c r="AD420" s="8">
        <f>Table3[[#This Row],[PrimaComercial Anual]]*Table3[[#This Row],[IVA]]</f>
        <v>3407.1179999999999</v>
      </c>
      <c r="AE420" s="15">
        <f>Table3[[#This Row],[PrimaComercial Anual Asistencia]]</f>
        <v>26208.6</v>
      </c>
      <c r="AG420">
        <v>26208.6</v>
      </c>
    </row>
    <row r="421" spans="1:33" x14ac:dyDescent="0.25">
      <c r="A421" t="s">
        <v>18</v>
      </c>
      <c r="B421">
        <v>140000</v>
      </c>
      <c r="C421">
        <v>88</v>
      </c>
      <c r="D421" s="2">
        <f>Table3[[#This Row],[PrimaTécnica]]-Table3[[#This Row],[PrimaTécnica]]*SUM(Table3[[#This Row],[Gastos Adm]:[Cobranza]])</f>
        <v>11956.378082313597</v>
      </c>
      <c r="E421">
        <v>0</v>
      </c>
      <c r="F421">
        <v>0.15</v>
      </c>
      <c r="G421">
        <v>0.05</v>
      </c>
      <c r="H421">
        <v>0.01</v>
      </c>
      <c r="I421">
        <v>0.01</v>
      </c>
      <c r="J421" s="8">
        <f>Table3[[#This Row],[PrimaTécnica]]*Table3[[#This Row],[Gastos Adm]]</f>
        <v>2299.3034773679997</v>
      </c>
      <c r="K421" s="8">
        <f>Table3[[#This Row],[PrimaTécnica]]*Table3[[#This Row],[Utilidad]]</f>
        <v>766.43449245599993</v>
      </c>
      <c r="L421" s="8">
        <f>Table3[[#This Row],[PrimaTécnica]]*Table3[[#This Row],[Marketing]]</f>
        <v>153.28689849119996</v>
      </c>
      <c r="M421" s="8">
        <f>Table3[[#This Row],[PrimaTécnica]]*Table3[[#This Row],[Cobranza]]</f>
        <v>153.28689849119996</v>
      </c>
      <c r="N42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21">
        <v>21.84</v>
      </c>
      <c r="P421">
        <v>54.6</v>
      </c>
      <c r="Q421">
        <v>80.64</v>
      </c>
      <c r="R421">
        <v>44.377200000000002</v>
      </c>
      <c r="S421">
        <v>0.2</v>
      </c>
      <c r="T421">
        <v>0.02</v>
      </c>
      <c r="U421" s="8">
        <f>Table3[[#This Row],[PrimaNeta]]*Table3[[#This Row],[Comisión]]</f>
        <v>3882.5367622799999</v>
      </c>
      <c r="V421" s="15">
        <f>Table3[[#This Row],[PrimaComercial Anual]]-Table3[[#This Row],[PrimaComercial Anual]]*SUM(Table3[[#This Row],[APS]:[IVA]])</f>
        <v>19412.683811399998</v>
      </c>
      <c r="W421" s="2">
        <v>1.4800000000000001E-2</v>
      </c>
      <c r="X421" s="2">
        <v>8.4501000000000007E-2</v>
      </c>
      <c r="Y421">
        <v>0.03</v>
      </c>
      <c r="Z421">
        <v>0.13</v>
      </c>
      <c r="AA421" s="20">
        <f>Table3[[#This Row],[APS]]*Table3[[#This Row],[PrimaComercial Anual]]</f>
        <v>387.88727999999998</v>
      </c>
      <c r="AB421" s="8">
        <f>Table3[[#This Row],[PrimaComercial Anual]]*Table3[[#This Row],[Recargo adicional]]</f>
        <v>2214.6529086</v>
      </c>
      <c r="AC421" s="8">
        <f>Table3[[#This Row],[PrimaComercial Anual]]*Table3[[#This Row],[IT]]</f>
        <v>786.25799999999992</v>
      </c>
      <c r="AD421" s="8">
        <f>Table3[[#This Row],[PrimaComercial Anual]]*Table3[[#This Row],[IVA]]</f>
        <v>3407.1179999999999</v>
      </c>
      <c r="AE421" s="15">
        <f>Table3[[#This Row],[PrimaComercial Anual Asistencia]]</f>
        <v>26208.6</v>
      </c>
      <c r="AG421">
        <v>26208.6</v>
      </c>
    </row>
    <row r="422" spans="1:33" x14ac:dyDescent="0.25">
      <c r="A422" t="s">
        <v>18</v>
      </c>
      <c r="B422">
        <v>140000</v>
      </c>
      <c r="C422">
        <v>89</v>
      </c>
      <c r="D422" s="2">
        <f>Table3[[#This Row],[PrimaTécnica]]-Table3[[#This Row],[PrimaTécnica]]*SUM(Table3[[#This Row],[Gastos Adm]:[Cobranza]])</f>
        <v>11956.378082313597</v>
      </c>
      <c r="E422">
        <v>0</v>
      </c>
      <c r="F422">
        <v>0.15</v>
      </c>
      <c r="G422">
        <v>0.05</v>
      </c>
      <c r="H422">
        <v>0.01</v>
      </c>
      <c r="I422">
        <v>0.01</v>
      </c>
      <c r="J422" s="8">
        <f>Table3[[#This Row],[PrimaTécnica]]*Table3[[#This Row],[Gastos Adm]]</f>
        <v>2299.3034773679997</v>
      </c>
      <c r="K422" s="8">
        <f>Table3[[#This Row],[PrimaTécnica]]*Table3[[#This Row],[Utilidad]]</f>
        <v>766.43449245599993</v>
      </c>
      <c r="L422" s="8">
        <f>Table3[[#This Row],[PrimaTécnica]]*Table3[[#This Row],[Marketing]]</f>
        <v>153.28689849119996</v>
      </c>
      <c r="M422" s="8">
        <f>Table3[[#This Row],[PrimaTécnica]]*Table3[[#This Row],[Cobranza]]</f>
        <v>153.28689849119996</v>
      </c>
      <c r="N42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22">
        <v>21.84</v>
      </c>
      <c r="P422">
        <v>54.6</v>
      </c>
      <c r="Q422">
        <v>80.64</v>
      </c>
      <c r="R422">
        <v>44.377200000000002</v>
      </c>
      <c r="S422">
        <v>0.2</v>
      </c>
      <c r="T422">
        <v>0.02</v>
      </c>
      <c r="U422" s="8">
        <f>Table3[[#This Row],[PrimaNeta]]*Table3[[#This Row],[Comisión]]</f>
        <v>3882.5367622799999</v>
      </c>
      <c r="V422" s="15">
        <f>Table3[[#This Row],[PrimaComercial Anual]]-Table3[[#This Row],[PrimaComercial Anual]]*SUM(Table3[[#This Row],[APS]:[IVA]])</f>
        <v>19412.683811399998</v>
      </c>
      <c r="W422" s="2">
        <v>1.4800000000000001E-2</v>
      </c>
      <c r="X422" s="2">
        <v>8.4501000000000007E-2</v>
      </c>
      <c r="Y422">
        <v>0.03</v>
      </c>
      <c r="Z422">
        <v>0.13</v>
      </c>
      <c r="AA422" s="20">
        <f>Table3[[#This Row],[APS]]*Table3[[#This Row],[PrimaComercial Anual]]</f>
        <v>387.88727999999998</v>
      </c>
      <c r="AB422" s="8">
        <f>Table3[[#This Row],[PrimaComercial Anual]]*Table3[[#This Row],[Recargo adicional]]</f>
        <v>2214.6529086</v>
      </c>
      <c r="AC422" s="8">
        <f>Table3[[#This Row],[PrimaComercial Anual]]*Table3[[#This Row],[IT]]</f>
        <v>786.25799999999992</v>
      </c>
      <c r="AD422" s="8">
        <f>Table3[[#This Row],[PrimaComercial Anual]]*Table3[[#This Row],[IVA]]</f>
        <v>3407.1179999999999</v>
      </c>
      <c r="AE422" s="15">
        <f>Table3[[#This Row],[PrimaComercial Anual Asistencia]]</f>
        <v>26208.6</v>
      </c>
      <c r="AG422">
        <v>26208.6</v>
      </c>
    </row>
    <row r="423" spans="1:33" x14ac:dyDescent="0.25">
      <c r="A423" t="s">
        <v>18</v>
      </c>
      <c r="B423">
        <v>140000</v>
      </c>
      <c r="C423">
        <v>90</v>
      </c>
      <c r="D423" s="2">
        <f>Table3[[#This Row],[PrimaTécnica]]-Table3[[#This Row],[PrimaTécnica]]*SUM(Table3[[#This Row],[Gastos Adm]:[Cobranza]])</f>
        <v>11956.378082313597</v>
      </c>
      <c r="E423">
        <v>0</v>
      </c>
      <c r="F423">
        <v>0.15</v>
      </c>
      <c r="G423">
        <v>0.05</v>
      </c>
      <c r="H423">
        <v>0.01</v>
      </c>
      <c r="I423">
        <v>0.01</v>
      </c>
      <c r="J423" s="8">
        <f>Table3[[#This Row],[PrimaTécnica]]*Table3[[#This Row],[Gastos Adm]]</f>
        <v>2299.3034773679997</v>
      </c>
      <c r="K423" s="8">
        <f>Table3[[#This Row],[PrimaTécnica]]*Table3[[#This Row],[Utilidad]]</f>
        <v>766.43449245599993</v>
      </c>
      <c r="L423" s="8">
        <f>Table3[[#This Row],[PrimaTécnica]]*Table3[[#This Row],[Marketing]]</f>
        <v>153.28689849119996</v>
      </c>
      <c r="M423" s="8">
        <f>Table3[[#This Row],[PrimaTécnica]]*Table3[[#This Row],[Cobranza]]</f>
        <v>153.28689849119996</v>
      </c>
      <c r="N42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23">
        <v>21.84</v>
      </c>
      <c r="P423">
        <v>54.6</v>
      </c>
      <c r="Q423">
        <v>80.64</v>
      </c>
      <c r="R423">
        <v>44.377200000000002</v>
      </c>
      <c r="S423">
        <v>0.2</v>
      </c>
      <c r="T423">
        <v>0.02</v>
      </c>
      <c r="U423" s="8">
        <f>Table3[[#This Row],[PrimaNeta]]*Table3[[#This Row],[Comisión]]</f>
        <v>3882.5367622799999</v>
      </c>
      <c r="V423" s="15">
        <f>Table3[[#This Row],[PrimaComercial Anual]]-Table3[[#This Row],[PrimaComercial Anual]]*SUM(Table3[[#This Row],[APS]:[IVA]])</f>
        <v>19412.683811399998</v>
      </c>
      <c r="W423" s="2">
        <v>1.4800000000000001E-2</v>
      </c>
      <c r="X423" s="2">
        <v>8.4501000000000007E-2</v>
      </c>
      <c r="Y423">
        <v>0.03</v>
      </c>
      <c r="Z423">
        <v>0.13</v>
      </c>
      <c r="AA423" s="20">
        <f>Table3[[#This Row],[APS]]*Table3[[#This Row],[PrimaComercial Anual]]</f>
        <v>387.88727999999998</v>
      </c>
      <c r="AB423" s="8">
        <f>Table3[[#This Row],[PrimaComercial Anual]]*Table3[[#This Row],[Recargo adicional]]</f>
        <v>2214.6529086</v>
      </c>
      <c r="AC423" s="8">
        <f>Table3[[#This Row],[PrimaComercial Anual]]*Table3[[#This Row],[IT]]</f>
        <v>786.25799999999992</v>
      </c>
      <c r="AD423" s="8">
        <f>Table3[[#This Row],[PrimaComercial Anual]]*Table3[[#This Row],[IVA]]</f>
        <v>3407.1179999999999</v>
      </c>
      <c r="AE423" s="15">
        <f>Table3[[#This Row],[PrimaComercial Anual Asistencia]]</f>
        <v>26208.6</v>
      </c>
      <c r="AG423">
        <v>26208.6</v>
      </c>
    </row>
    <row r="424" spans="1:33" x14ac:dyDescent="0.25">
      <c r="A424" t="s">
        <v>18</v>
      </c>
      <c r="B424">
        <v>140000</v>
      </c>
      <c r="C424">
        <v>91</v>
      </c>
      <c r="D424" s="2">
        <f>Table3[[#This Row],[PrimaTécnica]]-Table3[[#This Row],[PrimaTécnica]]*SUM(Table3[[#This Row],[Gastos Adm]:[Cobranza]])</f>
        <v>11956.378082313597</v>
      </c>
      <c r="E424">
        <v>0</v>
      </c>
      <c r="F424">
        <v>0.15</v>
      </c>
      <c r="G424">
        <v>0.05</v>
      </c>
      <c r="H424">
        <v>0.01</v>
      </c>
      <c r="I424">
        <v>0.01</v>
      </c>
      <c r="J424" s="8">
        <f>Table3[[#This Row],[PrimaTécnica]]*Table3[[#This Row],[Gastos Adm]]</f>
        <v>2299.3034773679997</v>
      </c>
      <c r="K424" s="8">
        <f>Table3[[#This Row],[PrimaTécnica]]*Table3[[#This Row],[Utilidad]]</f>
        <v>766.43449245599993</v>
      </c>
      <c r="L424" s="8">
        <f>Table3[[#This Row],[PrimaTécnica]]*Table3[[#This Row],[Marketing]]</f>
        <v>153.28689849119996</v>
      </c>
      <c r="M424" s="8">
        <f>Table3[[#This Row],[PrimaTécnica]]*Table3[[#This Row],[Cobranza]]</f>
        <v>153.28689849119996</v>
      </c>
      <c r="N42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24">
        <v>21.84</v>
      </c>
      <c r="P424">
        <v>54.6</v>
      </c>
      <c r="Q424">
        <v>80.64</v>
      </c>
      <c r="R424">
        <v>44.377200000000002</v>
      </c>
      <c r="S424">
        <v>0.2</v>
      </c>
      <c r="T424">
        <v>0.02</v>
      </c>
      <c r="U424" s="8">
        <f>Table3[[#This Row],[PrimaNeta]]*Table3[[#This Row],[Comisión]]</f>
        <v>3882.5367622799999</v>
      </c>
      <c r="V424" s="15">
        <f>Table3[[#This Row],[PrimaComercial Anual]]-Table3[[#This Row],[PrimaComercial Anual]]*SUM(Table3[[#This Row],[APS]:[IVA]])</f>
        <v>19412.683811399998</v>
      </c>
      <c r="W424" s="2">
        <v>1.4800000000000001E-2</v>
      </c>
      <c r="X424" s="2">
        <v>8.4501000000000007E-2</v>
      </c>
      <c r="Y424">
        <v>0.03</v>
      </c>
      <c r="Z424">
        <v>0.13</v>
      </c>
      <c r="AA424" s="20">
        <f>Table3[[#This Row],[APS]]*Table3[[#This Row],[PrimaComercial Anual]]</f>
        <v>387.88727999999998</v>
      </c>
      <c r="AB424" s="8">
        <f>Table3[[#This Row],[PrimaComercial Anual]]*Table3[[#This Row],[Recargo adicional]]</f>
        <v>2214.6529086</v>
      </c>
      <c r="AC424" s="8">
        <f>Table3[[#This Row],[PrimaComercial Anual]]*Table3[[#This Row],[IT]]</f>
        <v>786.25799999999992</v>
      </c>
      <c r="AD424" s="8">
        <f>Table3[[#This Row],[PrimaComercial Anual]]*Table3[[#This Row],[IVA]]</f>
        <v>3407.1179999999999</v>
      </c>
      <c r="AE424" s="15">
        <f>Table3[[#This Row],[PrimaComercial Anual Asistencia]]</f>
        <v>26208.6</v>
      </c>
      <c r="AG424">
        <v>26208.6</v>
      </c>
    </row>
    <row r="425" spans="1:33" x14ac:dyDescent="0.25">
      <c r="A425" t="s">
        <v>18</v>
      </c>
      <c r="B425">
        <v>140000</v>
      </c>
      <c r="C425">
        <v>92</v>
      </c>
      <c r="D425" s="2">
        <f>Table3[[#This Row],[PrimaTécnica]]-Table3[[#This Row],[PrimaTécnica]]*SUM(Table3[[#This Row],[Gastos Adm]:[Cobranza]])</f>
        <v>11956.378082313597</v>
      </c>
      <c r="E425">
        <v>0</v>
      </c>
      <c r="F425">
        <v>0.15</v>
      </c>
      <c r="G425">
        <v>0.05</v>
      </c>
      <c r="H425">
        <v>0.01</v>
      </c>
      <c r="I425">
        <v>0.01</v>
      </c>
      <c r="J425" s="8">
        <f>Table3[[#This Row],[PrimaTécnica]]*Table3[[#This Row],[Gastos Adm]]</f>
        <v>2299.3034773679997</v>
      </c>
      <c r="K425" s="8">
        <f>Table3[[#This Row],[PrimaTécnica]]*Table3[[#This Row],[Utilidad]]</f>
        <v>766.43449245599993</v>
      </c>
      <c r="L425" s="8">
        <f>Table3[[#This Row],[PrimaTécnica]]*Table3[[#This Row],[Marketing]]</f>
        <v>153.28689849119996</v>
      </c>
      <c r="M425" s="8">
        <f>Table3[[#This Row],[PrimaTécnica]]*Table3[[#This Row],[Cobranza]]</f>
        <v>153.28689849119996</v>
      </c>
      <c r="N42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25">
        <v>21.84</v>
      </c>
      <c r="P425">
        <v>54.6</v>
      </c>
      <c r="Q425">
        <v>80.64</v>
      </c>
      <c r="R425">
        <v>44.377200000000002</v>
      </c>
      <c r="S425">
        <v>0.2</v>
      </c>
      <c r="T425">
        <v>0.02</v>
      </c>
      <c r="U425" s="8">
        <f>Table3[[#This Row],[PrimaNeta]]*Table3[[#This Row],[Comisión]]</f>
        <v>3882.5367622799999</v>
      </c>
      <c r="V425" s="15">
        <f>Table3[[#This Row],[PrimaComercial Anual]]-Table3[[#This Row],[PrimaComercial Anual]]*SUM(Table3[[#This Row],[APS]:[IVA]])</f>
        <v>19412.683811399998</v>
      </c>
      <c r="W425" s="2">
        <v>1.4800000000000001E-2</v>
      </c>
      <c r="X425" s="2">
        <v>8.4501000000000007E-2</v>
      </c>
      <c r="Y425">
        <v>0.03</v>
      </c>
      <c r="Z425">
        <v>0.13</v>
      </c>
      <c r="AA425" s="20">
        <f>Table3[[#This Row],[APS]]*Table3[[#This Row],[PrimaComercial Anual]]</f>
        <v>387.88727999999998</v>
      </c>
      <c r="AB425" s="8">
        <f>Table3[[#This Row],[PrimaComercial Anual]]*Table3[[#This Row],[Recargo adicional]]</f>
        <v>2214.6529086</v>
      </c>
      <c r="AC425" s="8">
        <f>Table3[[#This Row],[PrimaComercial Anual]]*Table3[[#This Row],[IT]]</f>
        <v>786.25799999999992</v>
      </c>
      <c r="AD425" s="8">
        <f>Table3[[#This Row],[PrimaComercial Anual]]*Table3[[#This Row],[IVA]]</f>
        <v>3407.1179999999999</v>
      </c>
      <c r="AE425" s="15">
        <f>Table3[[#This Row],[PrimaComercial Anual Asistencia]]</f>
        <v>26208.6</v>
      </c>
      <c r="AG425">
        <v>26208.6</v>
      </c>
    </row>
    <row r="426" spans="1:33" x14ac:dyDescent="0.25">
      <c r="A426" t="s">
        <v>18</v>
      </c>
      <c r="B426">
        <v>140000</v>
      </c>
      <c r="C426">
        <v>93</v>
      </c>
      <c r="D426" s="2">
        <f>Table3[[#This Row],[PrimaTécnica]]-Table3[[#This Row],[PrimaTécnica]]*SUM(Table3[[#This Row],[Gastos Adm]:[Cobranza]])</f>
        <v>11956.378082313597</v>
      </c>
      <c r="E426">
        <v>0</v>
      </c>
      <c r="F426">
        <v>0.15</v>
      </c>
      <c r="G426">
        <v>0.05</v>
      </c>
      <c r="H426">
        <v>0.01</v>
      </c>
      <c r="I426">
        <v>0.01</v>
      </c>
      <c r="J426" s="8">
        <f>Table3[[#This Row],[PrimaTécnica]]*Table3[[#This Row],[Gastos Adm]]</f>
        <v>2299.3034773679997</v>
      </c>
      <c r="K426" s="8">
        <f>Table3[[#This Row],[PrimaTécnica]]*Table3[[#This Row],[Utilidad]]</f>
        <v>766.43449245599993</v>
      </c>
      <c r="L426" s="8">
        <f>Table3[[#This Row],[PrimaTécnica]]*Table3[[#This Row],[Marketing]]</f>
        <v>153.28689849119996</v>
      </c>
      <c r="M426" s="8">
        <f>Table3[[#This Row],[PrimaTécnica]]*Table3[[#This Row],[Cobranza]]</f>
        <v>153.28689849119996</v>
      </c>
      <c r="N42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26">
        <v>21.84</v>
      </c>
      <c r="P426">
        <v>54.6</v>
      </c>
      <c r="Q426">
        <v>80.64</v>
      </c>
      <c r="R426">
        <v>44.377200000000002</v>
      </c>
      <c r="S426">
        <v>0.2</v>
      </c>
      <c r="T426">
        <v>0.02</v>
      </c>
      <c r="U426" s="8">
        <f>Table3[[#This Row],[PrimaNeta]]*Table3[[#This Row],[Comisión]]</f>
        <v>3882.5367622799999</v>
      </c>
      <c r="V426" s="15">
        <f>Table3[[#This Row],[PrimaComercial Anual]]-Table3[[#This Row],[PrimaComercial Anual]]*SUM(Table3[[#This Row],[APS]:[IVA]])</f>
        <v>19412.683811399998</v>
      </c>
      <c r="W426" s="2">
        <v>1.4800000000000001E-2</v>
      </c>
      <c r="X426" s="2">
        <v>8.4501000000000007E-2</v>
      </c>
      <c r="Y426">
        <v>0.03</v>
      </c>
      <c r="Z426">
        <v>0.13</v>
      </c>
      <c r="AA426" s="20">
        <f>Table3[[#This Row],[APS]]*Table3[[#This Row],[PrimaComercial Anual]]</f>
        <v>387.88727999999998</v>
      </c>
      <c r="AB426" s="8">
        <f>Table3[[#This Row],[PrimaComercial Anual]]*Table3[[#This Row],[Recargo adicional]]</f>
        <v>2214.6529086</v>
      </c>
      <c r="AC426" s="8">
        <f>Table3[[#This Row],[PrimaComercial Anual]]*Table3[[#This Row],[IT]]</f>
        <v>786.25799999999992</v>
      </c>
      <c r="AD426" s="8">
        <f>Table3[[#This Row],[PrimaComercial Anual]]*Table3[[#This Row],[IVA]]</f>
        <v>3407.1179999999999</v>
      </c>
      <c r="AE426" s="15">
        <f>Table3[[#This Row],[PrimaComercial Anual Asistencia]]</f>
        <v>26208.6</v>
      </c>
      <c r="AG426">
        <v>26208.6</v>
      </c>
    </row>
    <row r="427" spans="1:33" x14ac:dyDescent="0.25">
      <c r="A427" t="s">
        <v>18</v>
      </c>
      <c r="B427">
        <v>140000</v>
      </c>
      <c r="C427">
        <v>94</v>
      </c>
      <c r="D427" s="2">
        <f>Table3[[#This Row],[PrimaTécnica]]-Table3[[#This Row],[PrimaTécnica]]*SUM(Table3[[#This Row],[Gastos Adm]:[Cobranza]])</f>
        <v>11956.378082313597</v>
      </c>
      <c r="E427">
        <v>0</v>
      </c>
      <c r="F427">
        <v>0.15</v>
      </c>
      <c r="G427">
        <v>0.05</v>
      </c>
      <c r="H427">
        <v>0.01</v>
      </c>
      <c r="I427">
        <v>0.01</v>
      </c>
      <c r="J427" s="8">
        <f>Table3[[#This Row],[PrimaTécnica]]*Table3[[#This Row],[Gastos Adm]]</f>
        <v>2299.3034773679997</v>
      </c>
      <c r="K427" s="8">
        <f>Table3[[#This Row],[PrimaTécnica]]*Table3[[#This Row],[Utilidad]]</f>
        <v>766.43449245599993</v>
      </c>
      <c r="L427" s="8">
        <f>Table3[[#This Row],[PrimaTécnica]]*Table3[[#This Row],[Marketing]]</f>
        <v>153.28689849119996</v>
      </c>
      <c r="M427" s="8">
        <f>Table3[[#This Row],[PrimaTécnica]]*Table3[[#This Row],[Cobranza]]</f>
        <v>153.28689849119996</v>
      </c>
      <c r="N42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27">
        <v>21.84</v>
      </c>
      <c r="P427">
        <v>54.6</v>
      </c>
      <c r="Q427">
        <v>80.64</v>
      </c>
      <c r="R427">
        <v>44.377200000000002</v>
      </c>
      <c r="S427">
        <v>0.2</v>
      </c>
      <c r="T427">
        <v>0.02</v>
      </c>
      <c r="U427" s="8">
        <f>Table3[[#This Row],[PrimaNeta]]*Table3[[#This Row],[Comisión]]</f>
        <v>3882.5367622799999</v>
      </c>
      <c r="V427" s="15">
        <f>Table3[[#This Row],[PrimaComercial Anual]]-Table3[[#This Row],[PrimaComercial Anual]]*SUM(Table3[[#This Row],[APS]:[IVA]])</f>
        <v>19412.683811399998</v>
      </c>
      <c r="W427" s="2">
        <v>1.4800000000000001E-2</v>
      </c>
      <c r="X427" s="2">
        <v>8.4501000000000007E-2</v>
      </c>
      <c r="Y427">
        <v>0.03</v>
      </c>
      <c r="Z427">
        <v>0.13</v>
      </c>
      <c r="AA427" s="20">
        <f>Table3[[#This Row],[APS]]*Table3[[#This Row],[PrimaComercial Anual]]</f>
        <v>387.88727999999998</v>
      </c>
      <c r="AB427" s="8">
        <f>Table3[[#This Row],[PrimaComercial Anual]]*Table3[[#This Row],[Recargo adicional]]</f>
        <v>2214.6529086</v>
      </c>
      <c r="AC427" s="8">
        <f>Table3[[#This Row],[PrimaComercial Anual]]*Table3[[#This Row],[IT]]</f>
        <v>786.25799999999992</v>
      </c>
      <c r="AD427" s="8">
        <f>Table3[[#This Row],[PrimaComercial Anual]]*Table3[[#This Row],[IVA]]</f>
        <v>3407.1179999999999</v>
      </c>
      <c r="AE427" s="15">
        <f>Table3[[#This Row],[PrimaComercial Anual Asistencia]]</f>
        <v>26208.6</v>
      </c>
      <c r="AG427">
        <v>26208.6</v>
      </c>
    </row>
    <row r="428" spans="1:33" x14ac:dyDescent="0.25">
      <c r="A428" t="s">
        <v>18</v>
      </c>
      <c r="B428">
        <v>140000</v>
      </c>
      <c r="C428">
        <v>95</v>
      </c>
      <c r="D428" s="2">
        <f>Table3[[#This Row],[PrimaTécnica]]-Table3[[#This Row],[PrimaTécnica]]*SUM(Table3[[#This Row],[Gastos Adm]:[Cobranza]])</f>
        <v>11956.378082313597</v>
      </c>
      <c r="E428">
        <v>0</v>
      </c>
      <c r="F428">
        <v>0.15</v>
      </c>
      <c r="G428">
        <v>0.05</v>
      </c>
      <c r="H428">
        <v>0.01</v>
      </c>
      <c r="I428">
        <v>0.01</v>
      </c>
      <c r="J428" s="8">
        <f>Table3[[#This Row],[PrimaTécnica]]*Table3[[#This Row],[Gastos Adm]]</f>
        <v>2299.3034773679997</v>
      </c>
      <c r="K428" s="8">
        <f>Table3[[#This Row],[PrimaTécnica]]*Table3[[#This Row],[Utilidad]]</f>
        <v>766.43449245599993</v>
      </c>
      <c r="L428" s="8">
        <f>Table3[[#This Row],[PrimaTécnica]]*Table3[[#This Row],[Marketing]]</f>
        <v>153.28689849119996</v>
      </c>
      <c r="M428" s="8">
        <f>Table3[[#This Row],[PrimaTécnica]]*Table3[[#This Row],[Cobranza]]</f>
        <v>153.28689849119996</v>
      </c>
      <c r="N42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28">
        <v>21.84</v>
      </c>
      <c r="P428">
        <v>54.6</v>
      </c>
      <c r="Q428">
        <v>80.64</v>
      </c>
      <c r="R428">
        <v>44.377200000000002</v>
      </c>
      <c r="S428">
        <v>0.2</v>
      </c>
      <c r="T428">
        <v>0.02</v>
      </c>
      <c r="U428" s="8">
        <f>Table3[[#This Row],[PrimaNeta]]*Table3[[#This Row],[Comisión]]</f>
        <v>3882.5367622799999</v>
      </c>
      <c r="V428" s="15">
        <f>Table3[[#This Row],[PrimaComercial Anual]]-Table3[[#This Row],[PrimaComercial Anual]]*SUM(Table3[[#This Row],[APS]:[IVA]])</f>
        <v>19412.683811399998</v>
      </c>
      <c r="W428" s="2">
        <v>1.4800000000000001E-2</v>
      </c>
      <c r="X428" s="2">
        <v>8.4501000000000007E-2</v>
      </c>
      <c r="Y428">
        <v>0.03</v>
      </c>
      <c r="Z428">
        <v>0.13</v>
      </c>
      <c r="AA428" s="20">
        <f>Table3[[#This Row],[APS]]*Table3[[#This Row],[PrimaComercial Anual]]</f>
        <v>387.88727999999998</v>
      </c>
      <c r="AB428" s="8">
        <f>Table3[[#This Row],[PrimaComercial Anual]]*Table3[[#This Row],[Recargo adicional]]</f>
        <v>2214.6529086</v>
      </c>
      <c r="AC428" s="8">
        <f>Table3[[#This Row],[PrimaComercial Anual]]*Table3[[#This Row],[IT]]</f>
        <v>786.25799999999992</v>
      </c>
      <c r="AD428" s="8">
        <f>Table3[[#This Row],[PrimaComercial Anual]]*Table3[[#This Row],[IVA]]</f>
        <v>3407.1179999999999</v>
      </c>
      <c r="AE428" s="15">
        <f>Table3[[#This Row],[PrimaComercial Anual Asistencia]]</f>
        <v>26208.6</v>
      </c>
      <c r="AG428">
        <v>26208.6</v>
      </c>
    </row>
    <row r="429" spans="1:33" x14ac:dyDescent="0.25">
      <c r="A429" t="s">
        <v>18</v>
      </c>
      <c r="B429">
        <v>140000</v>
      </c>
      <c r="C429">
        <v>96</v>
      </c>
      <c r="D429" s="2">
        <f>Table3[[#This Row],[PrimaTécnica]]-Table3[[#This Row],[PrimaTécnica]]*SUM(Table3[[#This Row],[Gastos Adm]:[Cobranza]])</f>
        <v>11956.378082313597</v>
      </c>
      <c r="E429">
        <v>0</v>
      </c>
      <c r="F429">
        <v>0.15</v>
      </c>
      <c r="G429">
        <v>0.05</v>
      </c>
      <c r="H429">
        <v>0.01</v>
      </c>
      <c r="I429">
        <v>0.01</v>
      </c>
      <c r="J429" s="8">
        <f>Table3[[#This Row],[PrimaTécnica]]*Table3[[#This Row],[Gastos Adm]]</f>
        <v>2299.3034773679997</v>
      </c>
      <c r="K429" s="8">
        <f>Table3[[#This Row],[PrimaTécnica]]*Table3[[#This Row],[Utilidad]]</f>
        <v>766.43449245599993</v>
      </c>
      <c r="L429" s="8">
        <f>Table3[[#This Row],[PrimaTécnica]]*Table3[[#This Row],[Marketing]]</f>
        <v>153.28689849119996</v>
      </c>
      <c r="M429" s="8">
        <f>Table3[[#This Row],[PrimaTécnica]]*Table3[[#This Row],[Cobranza]]</f>
        <v>153.28689849119996</v>
      </c>
      <c r="N42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29">
        <v>21.84</v>
      </c>
      <c r="P429">
        <v>54.6</v>
      </c>
      <c r="Q429">
        <v>80.64</v>
      </c>
      <c r="R429">
        <v>44.377200000000002</v>
      </c>
      <c r="S429">
        <v>0.2</v>
      </c>
      <c r="T429">
        <v>0.02</v>
      </c>
      <c r="U429" s="8">
        <f>Table3[[#This Row],[PrimaNeta]]*Table3[[#This Row],[Comisión]]</f>
        <v>3882.5367622799999</v>
      </c>
      <c r="V429" s="15">
        <f>Table3[[#This Row],[PrimaComercial Anual]]-Table3[[#This Row],[PrimaComercial Anual]]*SUM(Table3[[#This Row],[APS]:[IVA]])</f>
        <v>19412.683811399998</v>
      </c>
      <c r="W429" s="2">
        <v>1.4800000000000001E-2</v>
      </c>
      <c r="X429" s="2">
        <v>8.4501000000000007E-2</v>
      </c>
      <c r="Y429">
        <v>0.03</v>
      </c>
      <c r="Z429">
        <v>0.13</v>
      </c>
      <c r="AA429" s="20">
        <f>Table3[[#This Row],[APS]]*Table3[[#This Row],[PrimaComercial Anual]]</f>
        <v>387.88727999999998</v>
      </c>
      <c r="AB429" s="8">
        <f>Table3[[#This Row],[PrimaComercial Anual]]*Table3[[#This Row],[Recargo adicional]]</f>
        <v>2214.6529086</v>
      </c>
      <c r="AC429" s="8">
        <f>Table3[[#This Row],[PrimaComercial Anual]]*Table3[[#This Row],[IT]]</f>
        <v>786.25799999999992</v>
      </c>
      <c r="AD429" s="8">
        <f>Table3[[#This Row],[PrimaComercial Anual]]*Table3[[#This Row],[IVA]]</f>
        <v>3407.1179999999999</v>
      </c>
      <c r="AE429" s="15">
        <f>Table3[[#This Row],[PrimaComercial Anual Asistencia]]</f>
        <v>26208.6</v>
      </c>
      <c r="AG429">
        <v>26208.6</v>
      </c>
    </row>
    <row r="430" spans="1:33" x14ac:dyDescent="0.25">
      <c r="A430" t="s">
        <v>18</v>
      </c>
      <c r="B430">
        <v>140000</v>
      </c>
      <c r="C430">
        <v>97</v>
      </c>
      <c r="D430" s="2">
        <f>Table3[[#This Row],[PrimaTécnica]]-Table3[[#This Row],[PrimaTécnica]]*SUM(Table3[[#This Row],[Gastos Adm]:[Cobranza]])</f>
        <v>11956.378082313597</v>
      </c>
      <c r="E430">
        <v>0</v>
      </c>
      <c r="F430">
        <v>0.15</v>
      </c>
      <c r="G430">
        <v>0.05</v>
      </c>
      <c r="H430">
        <v>0.01</v>
      </c>
      <c r="I430">
        <v>0.01</v>
      </c>
      <c r="J430" s="8">
        <f>Table3[[#This Row],[PrimaTécnica]]*Table3[[#This Row],[Gastos Adm]]</f>
        <v>2299.3034773679997</v>
      </c>
      <c r="K430" s="8">
        <f>Table3[[#This Row],[PrimaTécnica]]*Table3[[#This Row],[Utilidad]]</f>
        <v>766.43449245599993</v>
      </c>
      <c r="L430" s="8">
        <f>Table3[[#This Row],[PrimaTécnica]]*Table3[[#This Row],[Marketing]]</f>
        <v>153.28689849119996</v>
      </c>
      <c r="M430" s="8">
        <f>Table3[[#This Row],[PrimaTécnica]]*Table3[[#This Row],[Cobranza]]</f>
        <v>153.28689849119996</v>
      </c>
      <c r="N43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30">
        <v>21.84</v>
      </c>
      <c r="P430">
        <v>54.6</v>
      </c>
      <c r="Q430">
        <v>80.64</v>
      </c>
      <c r="R430">
        <v>44.377200000000002</v>
      </c>
      <c r="S430">
        <v>0.2</v>
      </c>
      <c r="T430">
        <v>0.02</v>
      </c>
      <c r="U430" s="8">
        <f>Table3[[#This Row],[PrimaNeta]]*Table3[[#This Row],[Comisión]]</f>
        <v>3882.5367622799999</v>
      </c>
      <c r="V430" s="15">
        <f>Table3[[#This Row],[PrimaComercial Anual]]-Table3[[#This Row],[PrimaComercial Anual]]*SUM(Table3[[#This Row],[APS]:[IVA]])</f>
        <v>19412.683811399998</v>
      </c>
      <c r="W430" s="2">
        <v>1.4800000000000001E-2</v>
      </c>
      <c r="X430" s="2">
        <v>8.4501000000000007E-2</v>
      </c>
      <c r="Y430">
        <v>0.03</v>
      </c>
      <c r="Z430">
        <v>0.13</v>
      </c>
      <c r="AA430" s="20">
        <f>Table3[[#This Row],[APS]]*Table3[[#This Row],[PrimaComercial Anual]]</f>
        <v>387.88727999999998</v>
      </c>
      <c r="AB430" s="8">
        <f>Table3[[#This Row],[PrimaComercial Anual]]*Table3[[#This Row],[Recargo adicional]]</f>
        <v>2214.6529086</v>
      </c>
      <c r="AC430" s="8">
        <f>Table3[[#This Row],[PrimaComercial Anual]]*Table3[[#This Row],[IT]]</f>
        <v>786.25799999999992</v>
      </c>
      <c r="AD430" s="8">
        <f>Table3[[#This Row],[PrimaComercial Anual]]*Table3[[#This Row],[IVA]]</f>
        <v>3407.1179999999999</v>
      </c>
      <c r="AE430" s="15">
        <f>Table3[[#This Row],[PrimaComercial Anual Asistencia]]</f>
        <v>26208.6</v>
      </c>
      <c r="AG430">
        <v>26208.6</v>
      </c>
    </row>
    <row r="431" spans="1:33" x14ac:dyDescent="0.25">
      <c r="A431" t="s">
        <v>18</v>
      </c>
      <c r="B431">
        <v>140000</v>
      </c>
      <c r="C431">
        <v>98</v>
      </c>
      <c r="D431" s="2">
        <f>Table3[[#This Row],[PrimaTécnica]]-Table3[[#This Row],[PrimaTécnica]]*SUM(Table3[[#This Row],[Gastos Adm]:[Cobranza]])</f>
        <v>11956.378082313597</v>
      </c>
      <c r="E431">
        <v>0</v>
      </c>
      <c r="F431">
        <v>0.15</v>
      </c>
      <c r="G431">
        <v>0.05</v>
      </c>
      <c r="H431">
        <v>0.01</v>
      </c>
      <c r="I431">
        <v>0.01</v>
      </c>
      <c r="J431" s="8">
        <f>Table3[[#This Row],[PrimaTécnica]]*Table3[[#This Row],[Gastos Adm]]</f>
        <v>2299.3034773679997</v>
      </c>
      <c r="K431" s="8">
        <f>Table3[[#This Row],[PrimaTécnica]]*Table3[[#This Row],[Utilidad]]</f>
        <v>766.43449245599993</v>
      </c>
      <c r="L431" s="8">
        <f>Table3[[#This Row],[PrimaTécnica]]*Table3[[#This Row],[Marketing]]</f>
        <v>153.28689849119996</v>
      </c>
      <c r="M431" s="8">
        <f>Table3[[#This Row],[PrimaTécnica]]*Table3[[#This Row],[Cobranza]]</f>
        <v>153.28689849119996</v>
      </c>
      <c r="N43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31">
        <v>21.84</v>
      </c>
      <c r="P431">
        <v>54.6</v>
      </c>
      <c r="Q431">
        <v>80.64</v>
      </c>
      <c r="R431">
        <v>44.377200000000002</v>
      </c>
      <c r="S431">
        <v>0.2</v>
      </c>
      <c r="T431">
        <v>0.02</v>
      </c>
      <c r="U431" s="8">
        <f>Table3[[#This Row],[PrimaNeta]]*Table3[[#This Row],[Comisión]]</f>
        <v>3882.5367622799999</v>
      </c>
      <c r="V431" s="15">
        <f>Table3[[#This Row],[PrimaComercial Anual]]-Table3[[#This Row],[PrimaComercial Anual]]*SUM(Table3[[#This Row],[APS]:[IVA]])</f>
        <v>19412.683811399998</v>
      </c>
      <c r="W431" s="2">
        <v>1.4800000000000001E-2</v>
      </c>
      <c r="X431" s="2">
        <v>8.4501000000000007E-2</v>
      </c>
      <c r="Y431">
        <v>0.03</v>
      </c>
      <c r="Z431">
        <v>0.13</v>
      </c>
      <c r="AA431" s="20">
        <f>Table3[[#This Row],[APS]]*Table3[[#This Row],[PrimaComercial Anual]]</f>
        <v>387.88727999999998</v>
      </c>
      <c r="AB431" s="8">
        <f>Table3[[#This Row],[PrimaComercial Anual]]*Table3[[#This Row],[Recargo adicional]]</f>
        <v>2214.6529086</v>
      </c>
      <c r="AC431" s="8">
        <f>Table3[[#This Row],[PrimaComercial Anual]]*Table3[[#This Row],[IT]]</f>
        <v>786.25799999999992</v>
      </c>
      <c r="AD431" s="8">
        <f>Table3[[#This Row],[PrimaComercial Anual]]*Table3[[#This Row],[IVA]]</f>
        <v>3407.1179999999999</v>
      </c>
      <c r="AE431" s="15">
        <f>Table3[[#This Row],[PrimaComercial Anual Asistencia]]</f>
        <v>26208.6</v>
      </c>
      <c r="AG431">
        <v>26208.6</v>
      </c>
    </row>
    <row r="432" spans="1:33" x14ac:dyDescent="0.25">
      <c r="A432" t="s">
        <v>18</v>
      </c>
      <c r="B432">
        <v>140000</v>
      </c>
      <c r="C432">
        <v>99</v>
      </c>
      <c r="D432" s="2">
        <f>Table3[[#This Row],[PrimaTécnica]]-Table3[[#This Row],[PrimaTécnica]]*SUM(Table3[[#This Row],[Gastos Adm]:[Cobranza]])</f>
        <v>11956.378082313597</v>
      </c>
      <c r="E432">
        <v>0</v>
      </c>
      <c r="F432">
        <v>0.15</v>
      </c>
      <c r="G432">
        <v>0.05</v>
      </c>
      <c r="H432">
        <v>0.01</v>
      </c>
      <c r="I432">
        <v>0.01</v>
      </c>
      <c r="J432" s="8">
        <f>Table3[[#This Row],[PrimaTécnica]]*Table3[[#This Row],[Gastos Adm]]</f>
        <v>2299.3034773679997</v>
      </c>
      <c r="K432" s="8">
        <f>Table3[[#This Row],[PrimaTécnica]]*Table3[[#This Row],[Utilidad]]</f>
        <v>766.43449245599993</v>
      </c>
      <c r="L432" s="8">
        <f>Table3[[#This Row],[PrimaTécnica]]*Table3[[#This Row],[Marketing]]</f>
        <v>153.28689849119996</v>
      </c>
      <c r="M432" s="8">
        <f>Table3[[#This Row],[PrimaTécnica]]*Table3[[#This Row],[Cobranza]]</f>
        <v>153.28689849119996</v>
      </c>
      <c r="N43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15328.689849119997</v>
      </c>
      <c r="O432">
        <v>21.84</v>
      </c>
      <c r="P432">
        <v>54.6</v>
      </c>
      <c r="Q432">
        <v>80.64</v>
      </c>
      <c r="R432">
        <v>44.377200000000002</v>
      </c>
      <c r="S432">
        <v>0.2</v>
      </c>
      <c r="T432">
        <v>0.02</v>
      </c>
      <c r="U432" s="8">
        <f>Table3[[#This Row],[PrimaNeta]]*Table3[[#This Row],[Comisión]]</f>
        <v>3882.5367622799999</v>
      </c>
      <c r="V432" s="15">
        <f>Table3[[#This Row],[PrimaComercial Anual]]-Table3[[#This Row],[PrimaComercial Anual]]*SUM(Table3[[#This Row],[APS]:[IVA]])</f>
        <v>19412.683811399998</v>
      </c>
      <c r="W432" s="2">
        <v>1.4800000000000001E-2</v>
      </c>
      <c r="X432" s="2">
        <v>8.4501000000000007E-2</v>
      </c>
      <c r="Y432">
        <v>0.03</v>
      </c>
      <c r="Z432">
        <v>0.13</v>
      </c>
      <c r="AA432" s="20">
        <f>Table3[[#This Row],[APS]]*Table3[[#This Row],[PrimaComercial Anual]]</f>
        <v>387.88727999999998</v>
      </c>
      <c r="AB432" s="8">
        <f>Table3[[#This Row],[PrimaComercial Anual]]*Table3[[#This Row],[Recargo adicional]]</f>
        <v>2214.6529086</v>
      </c>
      <c r="AC432" s="8">
        <f>Table3[[#This Row],[PrimaComercial Anual]]*Table3[[#This Row],[IT]]</f>
        <v>786.25799999999992</v>
      </c>
      <c r="AD432" s="8">
        <f>Table3[[#This Row],[PrimaComercial Anual]]*Table3[[#This Row],[IVA]]</f>
        <v>3407.1179999999999</v>
      </c>
      <c r="AE432" s="15">
        <f>Table3[[#This Row],[PrimaComercial Anual Asistencia]]</f>
        <v>26208.6</v>
      </c>
      <c r="AG432">
        <v>26208.6</v>
      </c>
    </row>
    <row r="433" spans="1:33" x14ac:dyDescent="0.25">
      <c r="A433" t="s">
        <v>19</v>
      </c>
      <c r="B433">
        <v>140000</v>
      </c>
      <c r="C433">
        <v>19</v>
      </c>
      <c r="D433" s="2">
        <f>Table3[[#This Row],[PrimaTécnica]]-Table3[[#This Row],[PrimaTécnica]]*SUM(Table3[[#This Row],[Gastos Adm]:[Cobranza]])</f>
        <v>2256.0820581312</v>
      </c>
      <c r="E433">
        <v>754.47197279999989</v>
      </c>
      <c r="F433">
        <v>0.15</v>
      </c>
      <c r="G433">
        <v>0.05</v>
      </c>
      <c r="H433">
        <v>0.01</v>
      </c>
      <c r="I433">
        <v>0.01</v>
      </c>
      <c r="J433" s="8">
        <f>Table3[[#This Row],[PrimaTécnica]]*Table3[[#This Row],[Gastos Adm]]</f>
        <v>433.86193425599998</v>
      </c>
      <c r="K433" s="8">
        <f>Table3[[#This Row],[PrimaTécnica]]*Table3[[#This Row],[Utilidad]]</f>
        <v>144.620644752</v>
      </c>
      <c r="L433" s="8">
        <f>Table3[[#This Row],[PrimaTécnica]]*Table3[[#This Row],[Marketing]]</f>
        <v>28.9241289504</v>
      </c>
      <c r="M433" s="8">
        <f>Table3[[#This Row],[PrimaTécnica]]*Table3[[#This Row],[Cobranza]]</f>
        <v>28.9241289504</v>
      </c>
      <c r="N43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433">
        <v>21.84</v>
      </c>
      <c r="P433">
        <v>54.6</v>
      </c>
      <c r="Q433">
        <v>80.64</v>
      </c>
      <c r="R433">
        <v>44.377200000000002</v>
      </c>
      <c r="S433">
        <v>0.2</v>
      </c>
      <c r="T433">
        <v>0.02</v>
      </c>
      <c r="U433" s="8">
        <f>Table3[[#This Row],[PrimaNeta]]*Table3[[#This Row],[Comisión]]</f>
        <v>773.46752375999995</v>
      </c>
      <c r="V433" s="15">
        <f>Table3[[#This Row],[PrimaComercial Anual]]-Table3[[#This Row],[PrimaComercial Anual]]*SUM(Table3[[#This Row],[APS]:[IVA]])</f>
        <v>3867.3376187999997</v>
      </c>
      <c r="W433" s="2">
        <v>1.4800000000000001E-2</v>
      </c>
      <c r="X433" s="2">
        <v>8.4501000000000007E-2</v>
      </c>
      <c r="Y433">
        <v>0.03</v>
      </c>
      <c r="Z433">
        <v>0.13</v>
      </c>
      <c r="AA433" s="20">
        <f>Table3[[#This Row],[APS]]*Table3[[#This Row],[PrimaComercial Anual]]</f>
        <v>77.273759999999996</v>
      </c>
      <c r="AB433" s="8">
        <f>Table3[[#This Row],[PrimaComercial Anual]]*Table3[[#This Row],[Recargo adicional]]</f>
        <v>441.19662120000004</v>
      </c>
      <c r="AC433" s="8">
        <f>Table3[[#This Row],[PrimaComercial Anual]]*Table3[[#This Row],[IT]]</f>
        <v>156.636</v>
      </c>
      <c r="AD433" s="8">
        <f>Table3[[#This Row],[PrimaComercial Anual]]*Table3[[#This Row],[IVA]]</f>
        <v>678.75599999999997</v>
      </c>
      <c r="AE433" s="15">
        <f>Table3[[#This Row],[PrimaComercial Anual Asistencia]]</f>
        <v>5221.2</v>
      </c>
      <c r="AF433">
        <v>1675.8</v>
      </c>
      <c r="AG433">
        <v>5221.2</v>
      </c>
    </row>
    <row r="434" spans="1:33" x14ac:dyDescent="0.25">
      <c r="A434" t="s">
        <v>19</v>
      </c>
      <c r="B434">
        <v>140000</v>
      </c>
      <c r="C434">
        <v>20</v>
      </c>
      <c r="D434" s="2">
        <f>Table3[[#This Row],[PrimaTécnica]]-Table3[[#This Row],[PrimaTécnica]]*SUM(Table3[[#This Row],[Gastos Adm]:[Cobranza]])</f>
        <v>2256.0820581312</v>
      </c>
      <c r="E434">
        <v>754.47197279999989</v>
      </c>
      <c r="F434">
        <v>0.15</v>
      </c>
      <c r="G434">
        <v>0.05</v>
      </c>
      <c r="H434">
        <v>0.01</v>
      </c>
      <c r="I434">
        <v>0.01</v>
      </c>
      <c r="J434" s="8">
        <f>Table3[[#This Row],[PrimaTécnica]]*Table3[[#This Row],[Gastos Adm]]</f>
        <v>433.86193425599998</v>
      </c>
      <c r="K434" s="8">
        <f>Table3[[#This Row],[PrimaTécnica]]*Table3[[#This Row],[Utilidad]]</f>
        <v>144.620644752</v>
      </c>
      <c r="L434" s="8">
        <f>Table3[[#This Row],[PrimaTécnica]]*Table3[[#This Row],[Marketing]]</f>
        <v>28.9241289504</v>
      </c>
      <c r="M434" s="8">
        <f>Table3[[#This Row],[PrimaTécnica]]*Table3[[#This Row],[Cobranza]]</f>
        <v>28.9241289504</v>
      </c>
      <c r="N43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434">
        <v>21.84</v>
      </c>
      <c r="P434">
        <v>54.6</v>
      </c>
      <c r="Q434">
        <v>80.64</v>
      </c>
      <c r="R434">
        <v>44.377200000000002</v>
      </c>
      <c r="S434">
        <v>0.2</v>
      </c>
      <c r="T434">
        <v>0.02</v>
      </c>
      <c r="U434" s="8">
        <f>Table3[[#This Row],[PrimaNeta]]*Table3[[#This Row],[Comisión]]</f>
        <v>773.46752375999995</v>
      </c>
      <c r="V434" s="15">
        <f>Table3[[#This Row],[PrimaComercial Anual]]-Table3[[#This Row],[PrimaComercial Anual]]*SUM(Table3[[#This Row],[APS]:[IVA]])</f>
        <v>3867.3376187999997</v>
      </c>
      <c r="W434" s="2">
        <v>1.4800000000000001E-2</v>
      </c>
      <c r="X434" s="2">
        <v>8.4501000000000007E-2</v>
      </c>
      <c r="Y434">
        <v>0.03</v>
      </c>
      <c r="Z434">
        <v>0.13</v>
      </c>
      <c r="AA434" s="20">
        <f>Table3[[#This Row],[APS]]*Table3[[#This Row],[PrimaComercial Anual]]</f>
        <v>77.273759999999996</v>
      </c>
      <c r="AB434" s="8">
        <f>Table3[[#This Row],[PrimaComercial Anual]]*Table3[[#This Row],[Recargo adicional]]</f>
        <v>441.19662120000004</v>
      </c>
      <c r="AC434" s="8">
        <f>Table3[[#This Row],[PrimaComercial Anual]]*Table3[[#This Row],[IT]]</f>
        <v>156.636</v>
      </c>
      <c r="AD434" s="8">
        <f>Table3[[#This Row],[PrimaComercial Anual]]*Table3[[#This Row],[IVA]]</f>
        <v>678.75599999999997</v>
      </c>
      <c r="AE434" s="15">
        <f>Table3[[#This Row],[PrimaComercial Anual Asistencia]]</f>
        <v>5221.2</v>
      </c>
      <c r="AF434">
        <v>1675.8</v>
      </c>
      <c r="AG434">
        <v>5221.2</v>
      </c>
    </row>
    <row r="435" spans="1:33" x14ac:dyDescent="0.25">
      <c r="A435" t="s">
        <v>19</v>
      </c>
      <c r="B435">
        <v>140000</v>
      </c>
      <c r="C435">
        <v>21</v>
      </c>
      <c r="D435" s="2">
        <f>Table3[[#This Row],[PrimaTécnica]]-Table3[[#This Row],[PrimaTécnica]]*SUM(Table3[[#This Row],[Gastos Adm]:[Cobranza]])</f>
        <v>2256.0820581312</v>
      </c>
      <c r="E435">
        <v>754.47197279999989</v>
      </c>
      <c r="F435">
        <v>0.15</v>
      </c>
      <c r="G435">
        <v>0.05</v>
      </c>
      <c r="H435">
        <v>0.01</v>
      </c>
      <c r="I435">
        <v>0.01</v>
      </c>
      <c r="J435" s="8">
        <f>Table3[[#This Row],[PrimaTécnica]]*Table3[[#This Row],[Gastos Adm]]</f>
        <v>433.86193425599998</v>
      </c>
      <c r="K435" s="8">
        <f>Table3[[#This Row],[PrimaTécnica]]*Table3[[#This Row],[Utilidad]]</f>
        <v>144.620644752</v>
      </c>
      <c r="L435" s="8">
        <f>Table3[[#This Row],[PrimaTécnica]]*Table3[[#This Row],[Marketing]]</f>
        <v>28.9241289504</v>
      </c>
      <c r="M435" s="8">
        <f>Table3[[#This Row],[PrimaTécnica]]*Table3[[#This Row],[Cobranza]]</f>
        <v>28.9241289504</v>
      </c>
      <c r="N43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435">
        <v>21.84</v>
      </c>
      <c r="P435">
        <v>54.6</v>
      </c>
      <c r="Q435">
        <v>80.64</v>
      </c>
      <c r="R435">
        <v>44.377200000000002</v>
      </c>
      <c r="S435">
        <v>0.2</v>
      </c>
      <c r="T435">
        <v>0.02</v>
      </c>
      <c r="U435" s="8">
        <f>Table3[[#This Row],[PrimaNeta]]*Table3[[#This Row],[Comisión]]</f>
        <v>773.46752375999995</v>
      </c>
      <c r="V435" s="15">
        <f>Table3[[#This Row],[PrimaComercial Anual]]-Table3[[#This Row],[PrimaComercial Anual]]*SUM(Table3[[#This Row],[APS]:[IVA]])</f>
        <v>3867.3376187999997</v>
      </c>
      <c r="W435" s="2">
        <v>1.4800000000000001E-2</v>
      </c>
      <c r="X435" s="2">
        <v>8.4501000000000007E-2</v>
      </c>
      <c r="Y435">
        <v>0.03</v>
      </c>
      <c r="Z435">
        <v>0.13</v>
      </c>
      <c r="AA435" s="20">
        <f>Table3[[#This Row],[APS]]*Table3[[#This Row],[PrimaComercial Anual]]</f>
        <v>77.273759999999996</v>
      </c>
      <c r="AB435" s="8">
        <f>Table3[[#This Row],[PrimaComercial Anual]]*Table3[[#This Row],[Recargo adicional]]</f>
        <v>441.19662120000004</v>
      </c>
      <c r="AC435" s="8">
        <f>Table3[[#This Row],[PrimaComercial Anual]]*Table3[[#This Row],[IT]]</f>
        <v>156.636</v>
      </c>
      <c r="AD435" s="8">
        <f>Table3[[#This Row],[PrimaComercial Anual]]*Table3[[#This Row],[IVA]]</f>
        <v>678.75599999999997</v>
      </c>
      <c r="AE435" s="15">
        <f>Table3[[#This Row],[PrimaComercial Anual Asistencia]]</f>
        <v>5221.2</v>
      </c>
      <c r="AF435">
        <v>1675.8</v>
      </c>
      <c r="AG435">
        <v>5221.2</v>
      </c>
    </row>
    <row r="436" spans="1:33" x14ac:dyDescent="0.25">
      <c r="A436" t="s">
        <v>19</v>
      </c>
      <c r="B436">
        <v>140000</v>
      </c>
      <c r="C436">
        <v>22</v>
      </c>
      <c r="D436" s="2">
        <f>Table3[[#This Row],[PrimaTécnica]]-Table3[[#This Row],[PrimaTécnica]]*SUM(Table3[[#This Row],[Gastos Adm]:[Cobranza]])</f>
        <v>2256.0820581312</v>
      </c>
      <c r="E436">
        <v>754.47197279999989</v>
      </c>
      <c r="F436">
        <v>0.15</v>
      </c>
      <c r="G436">
        <v>0.05</v>
      </c>
      <c r="H436">
        <v>0.01</v>
      </c>
      <c r="I436">
        <v>0.01</v>
      </c>
      <c r="J436" s="8">
        <f>Table3[[#This Row],[PrimaTécnica]]*Table3[[#This Row],[Gastos Adm]]</f>
        <v>433.86193425599998</v>
      </c>
      <c r="K436" s="8">
        <f>Table3[[#This Row],[PrimaTécnica]]*Table3[[#This Row],[Utilidad]]</f>
        <v>144.620644752</v>
      </c>
      <c r="L436" s="8">
        <f>Table3[[#This Row],[PrimaTécnica]]*Table3[[#This Row],[Marketing]]</f>
        <v>28.9241289504</v>
      </c>
      <c r="M436" s="8">
        <f>Table3[[#This Row],[PrimaTécnica]]*Table3[[#This Row],[Cobranza]]</f>
        <v>28.9241289504</v>
      </c>
      <c r="N43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436">
        <v>21.84</v>
      </c>
      <c r="P436">
        <v>54.6</v>
      </c>
      <c r="Q436">
        <v>80.64</v>
      </c>
      <c r="R436">
        <v>44.377200000000002</v>
      </c>
      <c r="S436">
        <v>0.2</v>
      </c>
      <c r="T436">
        <v>0.02</v>
      </c>
      <c r="U436" s="8">
        <f>Table3[[#This Row],[PrimaNeta]]*Table3[[#This Row],[Comisión]]</f>
        <v>773.46752375999995</v>
      </c>
      <c r="V436" s="15">
        <f>Table3[[#This Row],[PrimaComercial Anual]]-Table3[[#This Row],[PrimaComercial Anual]]*SUM(Table3[[#This Row],[APS]:[IVA]])</f>
        <v>3867.3376187999997</v>
      </c>
      <c r="W436" s="2">
        <v>1.4800000000000001E-2</v>
      </c>
      <c r="X436" s="2">
        <v>8.4501000000000007E-2</v>
      </c>
      <c r="Y436">
        <v>0.03</v>
      </c>
      <c r="Z436">
        <v>0.13</v>
      </c>
      <c r="AA436" s="20">
        <f>Table3[[#This Row],[APS]]*Table3[[#This Row],[PrimaComercial Anual]]</f>
        <v>77.273759999999996</v>
      </c>
      <c r="AB436" s="8">
        <f>Table3[[#This Row],[PrimaComercial Anual]]*Table3[[#This Row],[Recargo adicional]]</f>
        <v>441.19662120000004</v>
      </c>
      <c r="AC436" s="8">
        <f>Table3[[#This Row],[PrimaComercial Anual]]*Table3[[#This Row],[IT]]</f>
        <v>156.636</v>
      </c>
      <c r="AD436" s="8">
        <f>Table3[[#This Row],[PrimaComercial Anual]]*Table3[[#This Row],[IVA]]</f>
        <v>678.75599999999997</v>
      </c>
      <c r="AE436" s="15">
        <f>Table3[[#This Row],[PrimaComercial Anual Asistencia]]</f>
        <v>5221.2</v>
      </c>
      <c r="AF436">
        <v>1675.8</v>
      </c>
      <c r="AG436">
        <v>5221.2</v>
      </c>
    </row>
    <row r="437" spans="1:33" x14ac:dyDescent="0.25">
      <c r="A437" t="s">
        <v>19</v>
      </c>
      <c r="B437">
        <v>140000</v>
      </c>
      <c r="C437">
        <v>23</v>
      </c>
      <c r="D437" s="2">
        <f>Table3[[#This Row],[PrimaTécnica]]-Table3[[#This Row],[PrimaTécnica]]*SUM(Table3[[#This Row],[Gastos Adm]:[Cobranza]])</f>
        <v>2256.0820581312</v>
      </c>
      <c r="E437">
        <v>754.47197279999989</v>
      </c>
      <c r="F437">
        <v>0.15</v>
      </c>
      <c r="G437">
        <v>0.05</v>
      </c>
      <c r="H437">
        <v>0.01</v>
      </c>
      <c r="I437">
        <v>0.01</v>
      </c>
      <c r="J437" s="8">
        <f>Table3[[#This Row],[PrimaTécnica]]*Table3[[#This Row],[Gastos Adm]]</f>
        <v>433.86193425599998</v>
      </c>
      <c r="K437" s="8">
        <f>Table3[[#This Row],[PrimaTécnica]]*Table3[[#This Row],[Utilidad]]</f>
        <v>144.620644752</v>
      </c>
      <c r="L437" s="8">
        <f>Table3[[#This Row],[PrimaTécnica]]*Table3[[#This Row],[Marketing]]</f>
        <v>28.9241289504</v>
      </c>
      <c r="M437" s="8">
        <f>Table3[[#This Row],[PrimaTécnica]]*Table3[[#This Row],[Cobranza]]</f>
        <v>28.9241289504</v>
      </c>
      <c r="N43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437">
        <v>21.84</v>
      </c>
      <c r="P437">
        <v>54.6</v>
      </c>
      <c r="Q437">
        <v>80.64</v>
      </c>
      <c r="R437">
        <v>44.377200000000002</v>
      </c>
      <c r="S437">
        <v>0.2</v>
      </c>
      <c r="T437">
        <v>0.02</v>
      </c>
      <c r="U437" s="8">
        <f>Table3[[#This Row],[PrimaNeta]]*Table3[[#This Row],[Comisión]]</f>
        <v>773.46752375999995</v>
      </c>
      <c r="V437" s="15">
        <f>Table3[[#This Row],[PrimaComercial Anual]]-Table3[[#This Row],[PrimaComercial Anual]]*SUM(Table3[[#This Row],[APS]:[IVA]])</f>
        <v>3867.3376187999997</v>
      </c>
      <c r="W437" s="2">
        <v>1.4800000000000001E-2</v>
      </c>
      <c r="X437" s="2">
        <v>8.4501000000000007E-2</v>
      </c>
      <c r="Y437">
        <v>0.03</v>
      </c>
      <c r="Z437">
        <v>0.13</v>
      </c>
      <c r="AA437" s="20">
        <f>Table3[[#This Row],[APS]]*Table3[[#This Row],[PrimaComercial Anual]]</f>
        <v>77.273759999999996</v>
      </c>
      <c r="AB437" s="8">
        <f>Table3[[#This Row],[PrimaComercial Anual]]*Table3[[#This Row],[Recargo adicional]]</f>
        <v>441.19662120000004</v>
      </c>
      <c r="AC437" s="8">
        <f>Table3[[#This Row],[PrimaComercial Anual]]*Table3[[#This Row],[IT]]</f>
        <v>156.636</v>
      </c>
      <c r="AD437" s="8">
        <f>Table3[[#This Row],[PrimaComercial Anual]]*Table3[[#This Row],[IVA]]</f>
        <v>678.75599999999997</v>
      </c>
      <c r="AE437" s="15">
        <f>Table3[[#This Row],[PrimaComercial Anual Asistencia]]</f>
        <v>5221.2</v>
      </c>
      <c r="AF437">
        <v>1675.8</v>
      </c>
      <c r="AG437">
        <v>5221.2</v>
      </c>
    </row>
    <row r="438" spans="1:33" x14ac:dyDescent="0.25">
      <c r="A438" t="s">
        <v>19</v>
      </c>
      <c r="B438">
        <v>140000</v>
      </c>
      <c r="C438">
        <v>24</v>
      </c>
      <c r="D438" s="2">
        <f>Table3[[#This Row],[PrimaTécnica]]-Table3[[#This Row],[PrimaTécnica]]*SUM(Table3[[#This Row],[Gastos Adm]:[Cobranza]])</f>
        <v>2256.0820581312</v>
      </c>
      <c r="E438">
        <v>754.47197279999989</v>
      </c>
      <c r="F438">
        <v>0.15</v>
      </c>
      <c r="G438">
        <v>0.05</v>
      </c>
      <c r="H438">
        <v>0.01</v>
      </c>
      <c r="I438">
        <v>0.01</v>
      </c>
      <c r="J438" s="8">
        <f>Table3[[#This Row],[PrimaTécnica]]*Table3[[#This Row],[Gastos Adm]]</f>
        <v>433.86193425599998</v>
      </c>
      <c r="K438" s="8">
        <f>Table3[[#This Row],[PrimaTécnica]]*Table3[[#This Row],[Utilidad]]</f>
        <v>144.620644752</v>
      </c>
      <c r="L438" s="8">
        <f>Table3[[#This Row],[PrimaTécnica]]*Table3[[#This Row],[Marketing]]</f>
        <v>28.9241289504</v>
      </c>
      <c r="M438" s="8">
        <f>Table3[[#This Row],[PrimaTécnica]]*Table3[[#This Row],[Cobranza]]</f>
        <v>28.9241289504</v>
      </c>
      <c r="N43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438">
        <v>21.84</v>
      </c>
      <c r="P438">
        <v>54.6</v>
      </c>
      <c r="Q438">
        <v>80.64</v>
      </c>
      <c r="R438">
        <v>44.377200000000002</v>
      </c>
      <c r="S438">
        <v>0.2</v>
      </c>
      <c r="T438">
        <v>0.02</v>
      </c>
      <c r="U438" s="8">
        <f>Table3[[#This Row],[PrimaNeta]]*Table3[[#This Row],[Comisión]]</f>
        <v>773.46752375999995</v>
      </c>
      <c r="V438" s="15">
        <f>Table3[[#This Row],[PrimaComercial Anual]]-Table3[[#This Row],[PrimaComercial Anual]]*SUM(Table3[[#This Row],[APS]:[IVA]])</f>
        <v>3867.3376187999997</v>
      </c>
      <c r="W438" s="2">
        <v>1.4800000000000001E-2</v>
      </c>
      <c r="X438" s="2">
        <v>8.4501000000000007E-2</v>
      </c>
      <c r="Y438">
        <v>0.03</v>
      </c>
      <c r="Z438">
        <v>0.13</v>
      </c>
      <c r="AA438" s="20">
        <f>Table3[[#This Row],[APS]]*Table3[[#This Row],[PrimaComercial Anual]]</f>
        <v>77.273759999999996</v>
      </c>
      <c r="AB438" s="8">
        <f>Table3[[#This Row],[PrimaComercial Anual]]*Table3[[#This Row],[Recargo adicional]]</f>
        <v>441.19662120000004</v>
      </c>
      <c r="AC438" s="8">
        <f>Table3[[#This Row],[PrimaComercial Anual]]*Table3[[#This Row],[IT]]</f>
        <v>156.636</v>
      </c>
      <c r="AD438" s="8">
        <f>Table3[[#This Row],[PrimaComercial Anual]]*Table3[[#This Row],[IVA]]</f>
        <v>678.75599999999997</v>
      </c>
      <c r="AE438" s="15">
        <f>Table3[[#This Row],[PrimaComercial Anual Asistencia]]</f>
        <v>5221.2</v>
      </c>
      <c r="AF438">
        <v>1675.8</v>
      </c>
      <c r="AG438">
        <v>5221.2</v>
      </c>
    </row>
    <row r="439" spans="1:33" x14ac:dyDescent="0.25">
      <c r="A439" t="s">
        <v>19</v>
      </c>
      <c r="B439">
        <v>140000</v>
      </c>
      <c r="C439">
        <v>25</v>
      </c>
      <c r="D439" s="2">
        <f>Table3[[#This Row],[PrimaTécnica]]-Table3[[#This Row],[PrimaTécnica]]*SUM(Table3[[#This Row],[Gastos Adm]:[Cobranza]])</f>
        <v>2256.0820581312</v>
      </c>
      <c r="E439">
        <v>754.47197279999989</v>
      </c>
      <c r="F439">
        <v>0.15</v>
      </c>
      <c r="G439">
        <v>0.05</v>
      </c>
      <c r="H439">
        <v>0.01</v>
      </c>
      <c r="I439">
        <v>0.01</v>
      </c>
      <c r="J439" s="8">
        <f>Table3[[#This Row],[PrimaTécnica]]*Table3[[#This Row],[Gastos Adm]]</f>
        <v>433.86193425599998</v>
      </c>
      <c r="K439" s="8">
        <f>Table3[[#This Row],[PrimaTécnica]]*Table3[[#This Row],[Utilidad]]</f>
        <v>144.620644752</v>
      </c>
      <c r="L439" s="8">
        <f>Table3[[#This Row],[PrimaTécnica]]*Table3[[#This Row],[Marketing]]</f>
        <v>28.9241289504</v>
      </c>
      <c r="M439" s="8">
        <f>Table3[[#This Row],[PrimaTécnica]]*Table3[[#This Row],[Cobranza]]</f>
        <v>28.9241289504</v>
      </c>
      <c r="N43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439">
        <v>21.84</v>
      </c>
      <c r="P439">
        <v>54.6</v>
      </c>
      <c r="Q439">
        <v>80.64</v>
      </c>
      <c r="R439">
        <v>44.377200000000002</v>
      </c>
      <c r="S439">
        <v>0.2</v>
      </c>
      <c r="T439">
        <v>0.02</v>
      </c>
      <c r="U439" s="8">
        <f>Table3[[#This Row],[PrimaNeta]]*Table3[[#This Row],[Comisión]]</f>
        <v>773.46752375999995</v>
      </c>
      <c r="V439" s="15">
        <f>Table3[[#This Row],[PrimaComercial Anual]]-Table3[[#This Row],[PrimaComercial Anual]]*SUM(Table3[[#This Row],[APS]:[IVA]])</f>
        <v>3867.3376187999997</v>
      </c>
      <c r="W439" s="2">
        <v>1.4800000000000001E-2</v>
      </c>
      <c r="X439" s="2">
        <v>8.4501000000000007E-2</v>
      </c>
      <c r="Y439">
        <v>0.03</v>
      </c>
      <c r="Z439">
        <v>0.13</v>
      </c>
      <c r="AA439" s="20">
        <f>Table3[[#This Row],[APS]]*Table3[[#This Row],[PrimaComercial Anual]]</f>
        <v>77.273759999999996</v>
      </c>
      <c r="AB439" s="8">
        <f>Table3[[#This Row],[PrimaComercial Anual]]*Table3[[#This Row],[Recargo adicional]]</f>
        <v>441.19662120000004</v>
      </c>
      <c r="AC439" s="8">
        <f>Table3[[#This Row],[PrimaComercial Anual]]*Table3[[#This Row],[IT]]</f>
        <v>156.636</v>
      </c>
      <c r="AD439" s="8">
        <f>Table3[[#This Row],[PrimaComercial Anual]]*Table3[[#This Row],[IVA]]</f>
        <v>678.75599999999997</v>
      </c>
      <c r="AE439" s="15">
        <f>Table3[[#This Row],[PrimaComercial Anual Asistencia]]</f>
        <v>5221.2</v>
      </c>
      <c r="AF439">
        <v>1675.8</v>
      </c>
      <c r="AG439">
        <v>5221.2</v>
      </c>
    </row>
    <row r="440" spans="1:33" x14ac:dyDescent="0.25">
      <c r="A440" t="s">
        <v>19</v>
      </c>
      <c r="B440">
        <v>140000</v>
      </c>
      <c r="C440">
        <v>26</v>
      </c>
      <c r="D440" s="2">
        <f>Table3[[#This Row],[PrimaTécnica]]-Table3[[#This Row],[PrimaTécnica]]*SUM(Table3[[#This Row],[Gastos Adm]:[Cobranza]])</f>
        <v>2256.0820581312</v>
      </c>
      <c r="E440">
        <v>754.47197279999989</v>
      </c>
      <c r="F440">
        <v>0.15</v>
      </c>
      <c r="G440">
        <v>0.05</v>
      </c>
      <c r="H440">
        <v>0.01</v>
      </c>
      <c r="I440">
        <v>0.01</v>
      </c>
      <c r="J440" s="8">
        <f>Table3[[#This Row],[PrimaTécnica]]*Table3[[#This Row],[Gastos Adm]]</f>
        <v>433.86193425599998</v>
      </c>
      <c r="K440" s="8">
        <f>Table3[[#This Row],[PrimaTécnica]]*Table3[[#This Row],[Utilidad]]</f>
        <v>144.620644752</v>
      </c>
      <c r="L440" s="8">
        <f>Table3[[#This Row],[PrimaTécnica]]*Table3[[#This Row],[Marketing]]</f>
        <v>28.9241289504</v>
      </c>
      <c r="M440" s="8">
        <f>Table3[[#This Row],[PrimaTécnica]]*Table3[[#This Row],[Cobranza]]</f>
        <v>28.9241289504</v>
      </c>
      <c r="N44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440">
        <v>21.84</v>
      </c>
      <c r="P440">
        <v>54.6</v>
      </c>
      <c r="Q440">
        <v>80.64</v>
      </c>
      <c r="R440">
        <v>44.377200000000002</v>
      </c>
      <c r="S440">
        <v>0.2</v>
      </c>
      <c r="T440">
        <v>0.02</v>
      </c>
      <c r="U440" s="8">
        <f>Table3[[#This Row],[PrimaNeta]]*Table3[[#This Row],[Comisión]]</f>
        <v>773.46752375999995</v>
      </c>
      <c r="V440" s="15">
        <f>Table3[[#This Row],[PrimaComercial Anual]]-Table3[[#This Row],[PrimaComercial Anual]]*SUM(Table3[[#This Row],[APS]:[IVA]])</f>
        <v>3867.3376187999997</v>
      </c>
      <c r="W440" s="2">
        <v>1.4800000000000001E-2</v>
      </c>
      <c r="X440" s="2">
        <v>8.4501000000000007E-2</v>
      </c>
      <c r="Y440">
        <v>0.03</v>
      </c>
      <c r="Z440">
        <v>0.13</v>
      </c>
      <c r="AA440" s="20">
        <f>Table3[[#This Row],[APS]]*Table3[[#This Row],[PrimaComercial Anual]]</f>
        <v>77.273759999999996</v>
      </c>
      <c r="AB440" s="8">
        <f>Table3[[#This Row],[PrimaComercial Anual]]*Table3[[#This Row],[Recargo adicional]]</f>
        <v>441.19662120000004</v>
      </c>
      <c r="AC440" s="8">
        <f>Table3[[#This Row],[PrimaComercial Anual]]*Table3[[#This Row],[IT]]</f>
        <v>156.636</v>
      </c>
      <c r="AD440" s="8">
        <f>Table3[[#This Row],[PrimaComercial Anual]]*Table3[[#This Row],[IVA]]</f>
        <v>678.75599999999997</v>
      </c>
      <c r="AE440" s="15">
        <f>Table3[[#This Row],[PrimaComercial Anual Asistencia]]</f>
        <v>5221.2</v>
      </c>
      <c r="AF440">
        <v>1675.8</v>
      </c>
      <c r="AG440">
        <v>5221.2</v>
      </c>
    </row>
    <row r="441" spans="1:33" x14ac:dyDescent="0.25">
      <c r="A441" t="s">
        <v>19</v>
      </c>
      <c r="B441">
        <v>140000</v>
      </c>
      <c r="C441">
        <v>27</v>
      </c>
      <c r="D441" s="2">
        <f>Table3[[#This Row],[PrimaTécnica]]-Table3[[#This Row],[PrimaTécnica]]*SUM(Table3[[#This Row],[Gastos Adm]:[Cobranza]])</f>
        <v>2256.0820581312</v>
      </c>
      <c r="E441">
        <v>754.47197279999989</v>
      </c>
      <c r="F441">
        <v>0.15</v>
      </c>
      <c r="G441">
        <v>0.05</v>
      </c>
      <c r="H441">
        <v>0.01</v>
      </c>
      <c r="I441">
        <v>0.01</v>
      </c>
      <c r="J441" s="8">
        <f>Table3[[#This Row],[PrimaTécnica]]*Table3[[#This Row],[Gastos Adm]]</f>
        <v>433.86193425599998</v>
      </c>
      <c r="K441" s="8">
        <f>Table3[[#This Row],[PrimaTécnica]]*Table3[[#This Row],[Utilidad]]</f>
        <v>144.620644752</v>
      </c>
      <c r="L441" s="8">
        <f>Table3[[#This Row],[PrimaTécnica]]*Table3[[#This Row],[Marketing]]</f>
        <v>28.9241289504</v>
      </c>
      <c r="M441" s="8">
        <f>Table3[[#This Row],[PrimaTécnica]]*Table3[[#This Row],[Cobranza]]</f>
        <v>28.9241289504</v>
      </c>
      <c r="N44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441">
        <v>21.84</v>
      </c>
      <c r="P441">
        <v>54.6</v>
      </c>
      <c r="Q441">
        <v>80.64</v>
      </c>
      <c r="R441">
        <v>44.377200000000002</v>
      </c>
      <c r="S441">
        <v>0.2</v>
      </c>
      <c r="T441">
        <v>0.02</v>
      </c>
      <c r="U441" s="8">
        <f>Table3[[#This Row],[PrimaNeta]]*Table3[[#This Row],[Comisión]]</f>
        <v>773.46752375999995</v>
      </c>
      <c r="V441" s="15">
        <f>Table3[[#This Row],[PrimaComercial Anual]]-Table3[[#This Row],[PrimaComercial Anual]]*SUM(Table3[[#This Row],[APS]:[IVA]])</f>
        <v>3867.3376187999997</v>
      </c>
      <c r="W441" s="2">
        <v>1.4800000000000001E-2</v>
      </c>
      <c r="X441" s="2">
        <v>8.4501000000000007E-2</v>
      </c>
      <c r="Y441">
        <v>0.03</v>
      </c>
      <c r="Z441">
        <v>0.13</v>
      </c>
      <c r="AA441" s="20">
        <f>Table3[[#This Row],[APS]]*Table3[[#This Row],[PrimaComercial Anual]]</f>
        <v>77.273759999999996</v>
      </c>
      <c r="AB441" s="8">
        <f>Table3[[#This Row],[PrimaComercial Anual]]*Table3[[#This Row],[Recargo adicional]]</f>
        <v>441.19662120000004</v>
      </c>
      <c r="AC441" s="8">
        <f>Table3[[#This Row],[PrimaComercial Anual]]*Table3[[#This Row],[IT]]</f>
        <v>156.636</v>
      </c>
      <c r="AD441" s="8">
        <f>Table3[[#This Row],[PrimaComercial Anual]]*Table3[[#This Row],[IVA]]</f>
        <v>678.75599999999997</v>
      </c>
      <c r="AE441" s="15">
        <f>Table3[[#This Row],[PrimaComercial Anual Asistencia]]</f>
        <v>5221.2</v>
      </c>
      <c r="AF441">
        <v>1675.8</v>
      </c>
      <c r="AG441">
        <v>5221.2</v>
      </c>
    </row>
    <row r="442" spans="1:33" x14ac:dyDescent="0.25">
      <c r="A442" t="s">
        <v>19</v>
      </c>
      <c r="B442">
        <v>140000</v>
      </c>
      <c r="C442">
        <v>28</v>
      </c>
      <c r="D442" s="2">
        <f>Table3[[#This Row],[PrimaTécnica]]-Table3[[#This Row],[PrimaTécnica]]*SUM(Table3[[#This Row],[Gastos Adm]:[Cobranza]])</f>
        <v>2256.0820581312</v>
      </c>
      <c r="E442">
        <v>754.47197279999989</v>
      </c>
      <c r="F442">
        <v>0.15</v>
      </c>
      <c r="G442">
        <v>0.05</v>
      </c>
      <c r="H442">
        <v>0.01</v>
      </c>
      <c r="I442">
        <v>0.01</v>
      </c>
      <c r="J442" s="8">
        <f>Table3[[#This Row],[PrimaTécnica]]*Table3[[#This Row],[Gastos Adm]]</f>
        <v>433.86193425599998</v>
      </c>
      <c r="K442" s="8">
        <f>Table3[[#This Row],[PrimaTécnica]]*Table3[[#This Row],[Utilidad]]</f>
        <v>144.620644752</v>
      </c>
      <c r="L442" s="8">
        <f>Table3[[#This Row],[PrimaTécnica]]*Table3[[#This Row],[Marketing]]</f>
        <v>28.9241289504</v>
      </c>
      <c r="M442" s="8">
        <f>Table3[[#This Row],[PrimaTécnica]]*Table3[[#This Row],[Cobranza]]</f>
        <v>28.9241289504</v>
      </c>
      <c r="N44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442">
        <v>21.84</v>
      </c>
      <c r="P442">
        <v>54.6</v>
      </c>
      <c r="Q442">
        <v>80.64</v>
      </c>
      <c r="R442">
        <v>44.377200000000002</v>
      </c>
      <c r="S442">
        <v>0.2</v>
      </c>
      <c r="T442">
        <v>0.02</v>
      </c>
      <c r="U442" s="8">
        <f>Table3[[#This Row],[PrimaNeta]]*Table3[[#This Row],[Comisión]]</f>
        <v>773.46752375999995</v>
      </c>
      <c r="V442" s="15">
        <f>Table3[[#This Row],[PrimaComercial Anual]]-Table3[[#This Row],[PrimaComercial Anual]]*SUM(Table3[[#This Row],[APS]:[IVA]])</f>
        <v>3867.3376187999997</v>
      </c>
      <c r="W442" s="2">
        <v>1.4800000000000001E-2</v>
      </c>
      <c r="X442" s="2">
        <v>8.4501000000000007E-2</v>
      </c>
      <c r="Y442">
        <v>0.03</v>
      </c>
      <c r="Z442">
        <v>0.13</v>
      </c>
      <c r="AA442" s="20">
        <f>Table3[[#This Row],[APS]]*Table3[[#This Row],[PrimaComercial Anual]]</f>
        <v>77.273759999999996</v>
      </c>
      <c r="AB442" s="8">
        <f>Table3[[#This Row],[PrimaComercial Anual]]*Table3[[#This Row],[Recargo adicional]]</f>
        <v>441.19662120000004</v>
      </c>
      <c r="AC442" s="8">
        <f>Table3[[#This Row],[PrimaComercial Anual]]*Table3[[#This Row],[IT]]</f>
        <v>156.636</v>
      </c>
      <c r="AD442" s="8">
        <f>Table3[[#This Row],[PrimaComercial Anual]]*Table3[[#This Row],[IVA]]</f>
        <v>678.75599999999997</v>
      </c>
      <c r="AE442" s="15">
        <f>Table3[[#This Row],[PrimaComercial Anual Asistencia]]</f>
        <v>5221.2</v>
      </c>
      <c r="AF442">
        <v>1675.8</v>
      </c>
      <c r="AG442">
        <v>5221.2</v>
      </c>
    </row>
    <row r="443" spans="1:33" x14ac:dyDescent="0.25">
      <c r="A443" t="s">
        <v>19</v>
      </c>
      <c r="B443">
        <v>140000</v>
      </c>
      <c r="C443">
        <v>29</v>
      </c>
      <c r="D443" s="2">
        <f>Table3[[#This Row],[PrimaTécnica]]-Table3[[#This Row],[PrimaTécnica]]*SUM(Table3[[#This Row],[Gastos Adm]:[Cobranza]])</f>
        <v>2256.0820581312</v>
      </c>
      <c r="E443">
        <v>754.47197279999989</v>
      </c>
      <c r="F443">
        <v>0.15</v>
      </c>
      <c r="G443">
        <v>0.05</v>
      </c>
      <c r="H443">
        <v>0.01</v>
      </c>
      <c r="I443">
        <v>0.01</v>
      </c>
      <c r="J443" s="8">
        <f>Table3[[#This Row],[PrimaTécnica]]*Table3[[#This Row],[Gastos Adm]]</f>
        <v>433.86193425599998</v>
      </c>
      <c r="K443" s="8">
        <f>Table3[[#This Row],[PrimaTécnica]]*Table3[[#This Row],[Utilidad]]</f>
        <v>144.620644752</v>
      </c>
      <c r="L443" s="8">
        <f>Table3[[#This Row],[PrimaTécnica]]*Table3[[#This Row],[Marketing]]</f>
        <v>28.9241289504</v>
      </c>
      <c r="M443" s="8">
        <f>Table3[[#This Row],[PrimaTécnica]]*Table3[[#This Row],[Cobranza]]</f>
        <v>28.9241289504</v>
      </c>
      <c r="N44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443">
        <v>21.84</v>
      </c>
      <c r="P443">
        <v>54.6</v>
      </c>
      <c r="Q443">
        <v>80.64</v>
      </c>
      <c r="R443">
        <v>44.377200000000002</v>
      </c>
      <c r="S443">
        <v>0.2</v>
      </c>
      <c r="T443">
        <v>0.02</v>
      </c>
      <c r="U443" s="8">
        <f>Table3[[#This Row],[PrimaNeta]]*Table3[[#This Row],[Comisión]]</f>
        <v>773.46752375999995</v>
      </c>
      <c r="V443" s="15">
        <f>Table3[[#This Row],[PrimaComercial Anual]]-Table3[[#This Row],[PrimaComercial Anual]]*SUM(Table3[[#This Row],[APS]:[IVA]])</f>
        <v>3867.3376187999997</v>
      </c>
      <c r="W443" s="2">
        <v>1.4800000000000001E-2</v>
      </c>
      <c r="X443" s="2">
        <v>8.4501000000000007E-2</v>
      </c>
      <c r="Y443">
        <v>0.03</v>
      </c>
      <c r="Z443">
        <v>0.13</v>
      </c>
      <c r="AA443" s="20">
        <f>Table3[[#This Row],[APS]]*Table3[[#This Row],[PrimaComercial Anual]]</f>
        <v>77.273759999999996</v>
      </c>
      <c r="AB443" s="8">
        <f>Table3[[#This Row],[PrimaComercial Anual]]*Table3[[#This Row],[Recargo adicional]]</f>
        <v>441.19662120000004</v>
      </c>
      <c r="AC443" s="8">
        <f>Table3[[#This Row],[PrimaComercial Anual]]*Table3[[#This Row],[IT]]</f>
        <v>156.636</v>
      </c>
      <c r="AD443" s="8">
        <f>Table3[[#This Row],[PrimaComercial Anual]]*Table3[[#This Row],[IVA]]</f>
        <v>678.75599999999997</v>
      </c>
      <c r="AE443" s="15">
        <f>Table3[[#This Row],[PrimaComercial Anual Asistencia]]</f>
        <v>5221.2</v>
      </c>
      <c r="AF443">
        <v>1675.8</v>
      </c>
      <c r="AG443">
        <v>5221.2</v>
      </c>
    </row>
    <row r="444" spans="1:33" x14ac:dyDescent="0.25">
      <c r="A444" t="s">
        <v>19</v>
      </c>
      <c r="B444">
        <v>140000</v>
      </c>
      <c r="C444">
        <v>30</v>
      </c>
      <c r="D444" s="2">
        <f>Table3[[#This Row],[PrimaTécnica]]-Table3[[#This Row],[PrimaTécnica]]*SUM(Table3[[#This Row],[Gastos Adm]:[Cobranza]])</f>
        <v>2329.8485678207999</v>
      </c>
      <c r="E444">
        <v>1077.817104</v>
      </c>
      <c r="F444">
        <v>0.15</v>
      </c>
      <c r="G444">
        <v>0.05</v>
      </c>
      <c r="H444">
        <v>0.01</v>
      </c>
      <c r="I444">
        <v>0.01</v>
      </c>
      <c r="J444" s="8">
        <f>Table3[[#This Row],[PrimaTécnica]]*Table3[[#This Row],[Gastos Adm]]</f>
        <v>448.04780150400001</v>
      </c>
      <c r="K444" s="8">
        <f>Table3[[#This Row],[PrimaTécnica]]*Table3[[#This Row],[Utilidad]]</f>
        <v>149.34926716800001</v>
      </c>
      <c r="L444" s="8">
        <f>Table3[[#This Row],[PrimaTécnica]]*Table3[[#This Row],[Marketing]]</f>
        <v>29.869853433600003</v>
      </c>
      <c r="M444" s="8">
        <f>Table3[[#This Row],[PrimaTécnica]]*Table3[[#This Row],[Cobranza]]</f>
        <v>29.869853433600003</v>
      </c>
      <c r="N44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444">
        <v>21.84</v>
      </c>
      <c r="P444">
        <v>54.6</v>
      </c>
      <c r="Q444">
        <v>80.64</v>
      </c>
      <c r="R444">
        <v>44.377200000000002</v>
      </c>
      <c r="S444">
        <v>0.2</v>
      </c>
      <c r="T444">
        <v>0.02</v>
      </c>
      <c r="U444" s="8">
        <f>Table3[[#This Row],[PrimaNeta]]*Table3[[#This Row],[Comisión]]</f>
        <v>797.1106358400001</v>
      </c>
      <c r="V444" s="15">
        <f>Table3[[#This Row],[PrimaComercial Anual]]-Table3[[#This Row],[PrimaComercial Anual]]*SUM(Table3[[#This Row],[APS]:[IVA]])</f>
        <v>3985.5531792000002</v>
      </c>
      <c r="W444" s="2">
        <v>1.4800000000000001E-2</v>
      </c>
      <c r="X444" s="2">
        <v>8.4501000000000007E-2</v>
      </c>
      <c r="Y444">
        <v>0.03</v>
      </c>
      <c r="Z444">
        <v>0.13</v>
      </c>
      <c r="AA444" s="20">
        <f>Table3[[#This Row],[APS]]*Table3[[#This Row],[PrimaComercial Anual]]</f>
        <v>79.635840000000002</v>
      </c>
      <c r="AB444" s="8">
        <f>Table3[[#This Row],[PrimaComercial Anual]]*Table3[[#This Row],[Recargo adicional]]</f>
        <v>454.68298080000005</v>
      </c>
      <c r="AC444" s="8">
        <f>Table3[[#This Row],[PrimaComercial Anual]]*Table3[[#This Row],[IT]]</f>
        <v>161.42400000000001</v>
      </c>
      <c r="AD444" s="8">
        <f>Table3[[#This Row],[PrimaComercial Anual]]*Table3[[#This Row],[IVA]]</f>
        <v>699.50400000000002</v>
      </c>
      <c r="AE444" s="15">
        <f>Table3[[#This Row],[PrimaComercial Anual Asistencia]]</f>
        <v>5380.8</v>
      </c>
      <c r="AF444">
        <v>2394</v>
      </c>
      <c r="AG444">
        <v>5380.8</v>
      </c>
    </row>
    <row r="445" spans="1:33" x14ac:dyDescent="0.25">
      <c r="A445" t="s">
        <v>19</v>
      </c>
      <c r="B445">
        <v>140000</v>
      </c>
      <c r="C445">
        <v>31</v>
      </c>
      <c r="D445" s="2">
        <f>Table3[[#This Row],[PrimaTécnica]]-Table3[[#This Row],[PrimaTécnica]]*SUM(Table3[[#This Row],[Gastos Adm]:[Cobranza]])</f>
        <v>2329.8485678207999</v>
      </c>
      <c r="E445">
        <v>1077.817104</v>
      </c>
      <c r="F445">
        <v>0.15</v>
      </c>
      <c r="G445">
        <v>0.05</v>
      </c>
      <c r="H445">
        <v>0.01</v>
      </c>
      <c r="I445">
        <v>0.01</v>
      </c>
      <c r="J445" s="8">
        <f>Table3[[#This Row],[PrimaTécnica]]*Table3[[#This Row],[Gastos Adm]]</f>
        <v>448.04780150400001</v>
      </c>
      <c r="K445" s="8">
        <f>Table3[[#This Row],[PrimaTécnica]]*Table3[[#This Row],[Utilidad]]</f>
        <v>149.34926716800001</v>
      </c>
      <c r="L445" s="8">
        <f>Table3[[#This Row],[PrimaTécnica]]*Table3[[#This Row],[Marketing]]</f>
        <v>29.869853433600003</v>
      </c>
      <c r="M445" s="8">
        <f>Table3[[#This Row],[PrimaTécnica]]*Table3[[#This Row],[Cobranza]]</f>
        <v>29.869853433600003</v>
      </c>
      <c r="N44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445">
        <v>21.84</v>
      </c>
      <c r="P445">
        <v>54.6</v>
      </c>
      <c r="Q445">
        <v>80.64</v>
      </c>
      <c r="R445">
        <v>44.377200000000002</v>
      </c>
      <c r="S445">
        <v>0.2</v>
      </c>
      <c r="T445">
        <v>0.02</v>
      </c>
      <c r="U445" s="8">
        <f>Table3[[#This Row],[PrimaNeta]]*Table3[[#This Row],[Comisión]]</f>
        <v>797.1106358400001</v>
      </c>
      <c r="V445" s="15">
        <f>Table3[[#This Row],[PrimaComercial Anual]]-Table3[[#This Row],[PrimaComercial Anual]]*SUM(Table3[[#This Row],[APS]:[IVA]])</f>
        <v>3985.5531792000002</v>
      </c>
      <c r="W445" s="2">
        <v>1.4800000000000001E-2</v>
      </c>
      <c r="X445" s="2">
        <v>8.4501000000000007E-2</v>
      </c>
      <c r="Y445">
        <v>0.03</v>
      </c>
      <c r="Z445">
        <v>0.13</v>
      </c>
      <c r="AA445" s="20">
        <f>Table3[[#This Row],[APS]]*Table3[[#This Row],[PrimaComercial Anual]]</f>
        <v>79.635840000000002</v>
      </c>
      <c r="AB445" s="8">
        <f>Table3[[#This Row],[PrimaComercial Anual]]*Table3[[#This Row],[Recargo adicional]]</f>
        <v>454.68298080000005</v>
      </c>
      <c r="AC445" s="8">
        <f>Table3[[#This Row],[PrimaComercial Anual]]*Table3[[#This Row],[IT]]</f>
        <v>161.42400000000001</v>
      </c>
      <c r="AD445" s="8">
        <f>Table3[[#This Row],[PrimaComercial Anual]]*Table3[[#This Row],[IVA]]</f>
        <v>699.50400000000002</v>
      </c>
      <c r="AE445" s="15">
        <f>Table3[[#This Row],[PrimaComercial Anual Asistencia]]</f>
        <v>5380.8</v>
      </c>
      <c r="AF445">
        <v>2394</v>
      </c>
      <c r="AG445">
        <v>5380.8</v>
      </c>
    </row>
    <row r="446" spans="1:33" x14ac:dyDescent="0.25">
      <c r="A446" t="s">
        <v>19</v>
      </c>
      <c r="B446">
        <v>140000</v>
      </c>
      <c r="C446">
        <v>32</v>
      </c>
      <c r="D446" s="2">
        <f>Table3[[#This Row],[PrimaTécnica]]-Table3[[#This Row],[PrimaTécnica]]*SUM(Table3[[#This Row],[Gastos Adm]:[Cobranza]])</f>
        <v>2329.8485678207999</v>
      </c>
      <c r="E446">
        <v>1077.817104</v>
      </c>
      <c r="F446">
        <v>0.15</v>
      </c>
      <c r="G446">
        <v>0.05</v>
      </c>
      <c r="H446">
        <v>0.01</v>
      </c>
      <c r="I446">
        <v>0.01</v>
      </c>
      <c r="J446" s="8">
        <f>Table3[[#This Row],[PrimaTécnica]]*Table3[[#This Row],[Gastos Adm]]</f>
        <v>448.04780150400001</v>
      </c>
      <c r="K446" s="8">
        <f>Table3[[#This Row],[PrimaTécnica]]*Table3[[#This Row],[Utilidad]]</f>
        <v>149.34926716800001</v>
      </c>
      <c r="L446" s="8">
        <f>Table3[[#This Row],[PrimaTécnica]]*Table3[[#This Row],[Marketing]]</f>
        <v>29.869853433600003</v>
      </c>
      <c r="M446" s="8">
        <f>Table3[[#This Row],[PrimaTécnica]]*Table3[[#This Row],[Cobranza]]</f>
        <v>29.869853433600003</v>
      </c>
      <c r="N44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446">
        <v>21.84</v>
      </c>
      <c r="P446">
        <v>54.6</v>
      </c>
      <c r="Q446">
        <v>80.64</v>
      </c>
      <c r="R446">
        <v>44.377200000000002</v>
      </c>
      <c r="S446">
        <v>0.2</v>
      </c>
      <c r="T446">
        <v>0.02</v>
      </c>
      <c r="U446" s="8">
        <f>Table3[[#This Row],[PrimaNeta]]*Table3[[#This Row],[Comisión]]</f>
        <v>797.1106358400001</v>
      </c>
      <c r="V446" s="15">
        <f>Table3[[#This Row],[PrimaComercial Anual]]-Table3[[#This Row],[PrimaComercial Anual]]*SUM(Table3[[#This Row],[APS]:[IVA]])</f>
        <v>3985.5531792000002</v>
      </c>
      <c r="W446" s="2">
        <v>1.4800000000000001E-2</v>
      </c>
      <c r="X446" s="2">
        <v>8.4501000000000007E-2</v>
      </c>
      <c r="Y446">
        <v>0.03</v>
      </c>
      <c r="Z446">
        <v>0.13</v>
      </c>
      <c r="AA446" s="20">
        <f>Table3[[#This Row],[APS]]*Table3[[#This Row],[PrimaComercial Anual]]</f>
        <v>79.635840000000002</v>
      </c>
      <c r="AB446" s="8">
        <f>Table3[[#This Row],[PrimaComercial Anual]]*Table3[[#This Row],[Recargo adicional]]</f>
        <v>454.68298080000005</v>
      </c>
      <c r="AC446" s="8">
        <f>Table3[[#This Row],[PrimaComercial Anual]]*Table3[[#This Row],[IT]]</f>
        <v>161.42400000000001</v>
      </c>
      <c r="AD446" s="8">
        <f>Table3[[#This Row],[PrimaComercial Anual]]*Table3[[#This Row],[IVA]]</f>
        <v>699.50400000000002</v>
      </c>
      <c r="AE446" s="15">
        <f>Table3[[#This Row],[PrimaComercial Anual Asistencia]]</f>
        <v>5380.8</v>
      </c>
      <c r="AF446">
        <v>2394</v>
      </c>
      <c r="AG446">
        <v>5380.8</v>
      </c>
    </row>
    <row r="447" spans="1:33" x14ac:dyDescent="0.25">
      <c r="A447" t="s">
        <v>19</v>
      </c>
      <c r="B447">
        <v>140000</v>
      </c>
      <c r="C447">
        <v>33</v>
      </c>
      <c r="D447" s="2">
        <f>Table3[[#This Row],[PrimaTécnica]]-Table3[[#This Row],[PrimaTécnica]]*SUM(Table3[[#This Row],[Gastos Adm]:[Cobranza]])</f>
        <v>2329.8485678207999</v>
      </c>
      <c r="E447">
        <v>1077.817104</v>
      </c>
      <c r="F447">
        <v>0.15</v>
      </c>
      <c r="G447">
        <v>0.05</v>
      </c>
      <c r="H447">
        <v>0.01</v>
      </c>
      <c r="I447">
        <v>0.01</v>
      </c>
      <c r="J447" s="8">
        <f>Table3[[#This Row],[PrimaTécnica]]*Table3[[#This Row],[Gastos Adm]]</f>
        <v>448.04780150400001</v>
      </c>
      <c r="K447" s="8">
        <f>Table3[[#This Row],[PrimaTécnica]]*Table3[[#This Row],[Utilidad]]</f>
        <v>149.34926716800001</v>
      </c>
      <c r="L447" s="8">
        <f>Table3[[#This Row],[PrimaTécnica]]*Table3[[#This Row],[Marketing]]</f>
        <v>29.869853433600003</v>
      </c>
      <c r="M447" s="8">
        <f>Table3[[#This Row],[PrimaTécnica]]*Table3[[#This Row],[Cobranza]]</f>
        <v>29.869853433600003</v>
      </c>
      <c r="N44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447">
        <v>21.84</v>
      </c>
      <c r="P447">
        <v>54.6</v>
      </c>
      <c r="Q447">
        <v>80.64</v>
      </c>
      <c r="R447">
        <v>44.377200000000002</v>
      </c>
      <c r="S447">
        <v>0.2</v>
      </c>
      <c r="T447">
        <v>0.02</v>
      </c>
      <c r="U447" s="8">
        <f>Table3[[#This Row],[PrimaNeta]]*Table3[[#This Row],[Comisión]]</f>
        <v>797.1106358400001</v>
      </c>
      <c r="V447" s="15">
        <f>Table3[[#This Row],[PrimaComercial Anual]]-Table3[[#This Row],[PrimaComercial Anual]]*SUM(Table3[[#This Row],[APS]:[IVA]])</f>
        <v>3985.5531792000002</v>
      </c>
      <c r="W447" s="2">
        <v>1.4800000000000001E-2</v>
      </c>
      <c r="X447" s="2">
        <v>8.4501000000000007E-2</v>
      </c>
      <c r="Y447">
        <v>0.03</v>
      </c>
      <c r="Z447">
        <v>0.13</v>
      </c>
      <c r="AA447" s="20">
        <f>Table3[[#This Row],[APS]]*Table3[[#This Row],[PrimaComercial Anual]]</f>
        <v>79.635840000000002</v>
      </c>
      <c r="AB447" s="8">
        <f>Table3[[#This Row],[PrimaComercial Anual]]*Table3[[#This Row],[Recargo adicional]]</f>
        <v>454.68298080000005</v>
      </c>
      <c r="AC447" s="8">
        <f>Table3[[#This Row],[PrimaComercial Anual]]*Table3[[#This Row],[IT]]</f>
        <v>161.42400000000001</v>
      </c>
      <c r="AD447" s="8">
        <f>Table3[[#This Row],[PrimaComercial Anual]]*Table3[[#This Row],[IVA]]</f>
        <v>699.50400000000002</v>
      </c>
      <c r="AE447" s="15">
        <f>Table3[[#This Row],[PrimaComercial Anual Asistencia]]</f>
        <v>5380.8</v>
      </c>
      <c r="AF447">
        <v>2394</v>
      </c>
      <c r="AG447">
        <v>5380.8</v>
      </c>
    </row>
    <row r="448" spans="1:33" x14ac:dyDescent="0.25">
      <c r="A448" t="s">
        <v>19</v>
      </c>
      <c r="B448">
        <v>140000</v>
      </c>
      <c r="C448">
        <v>34</v>
      </c>
      <c r="D448" s="2">
        <f>Table3[[#This Row],[PrimaTécnica]]-Table3[[#This Row],[PrimaTécnica]]*SUM(Table3[[#This Row],[Gastos Adm]:[Cobranza]])</f>
        <v>2329.8485678207999</v>
      </c>
      <c r="E448">
        <v>1077.817104</v>
      </c>
      <c r="F448">
        <v>0.15</v>
      </c>
      <c r="G448">
        <v>0.05</v>
      </c>
      <c r="H448">
        <v>0.01</v>
      </c>
      <c r="I448">
        <v>0.01</v>
      </c>
      <c r="J448" s="8">
        <f>Table3[[#This Row],[PrimaTécnica]]*Table3[[#This Row],[Gastos Adm]]</f>
        <v>448.04780150400001</v>
      </c>
      <c r="K448" s="8">
        <f>Table3[[#This Row],[PrimaTécnica]]*Table3[[#This Row],[Utilidad]]</f>
        <v>149.34926716800001</v>
      </c>
      <c r="L448" s="8">
        <f>Table3[[#This Row],[PrimaTécnica]]*Table3[[#This Row],[Marketing]]</f>
        <v>29.869853433600003</v>
      </c>
      <c r="M448" s="8">
        <f>Table3[[#This Row],[PrimaTécnica]]*Table3[[#This Row],[Cobranza]]</f>
        <v>29.869853433600003</v>
      </c>
      <c r="N44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448">
        <v>21.84</v>
      </c>
      <c r="P448">
        <v>54.6</v>
      </c>
      <c r="Q448">
        <v>80.64</v>
      </c>
      <c r="R448">
        <v>44.377200000000002</v>
      </c>
      <c r="S448">
        <v>0.2</v>
      </c>
      <c r="T448">
        <v>0.02</v>
      </c>
      <c r="U448" s="8">
        <f>Table3[[#This Row],[PrimaNeta]]*Table3[[#This Row],[Comisión]]</f>
        <v>797.1106358400001</v>
      </c>
      <c r="V448" s="15">
        <f>Table3[[#This Row],[PrimaComercial Anual]]-Table3[[#This Row],[PrimaComercial Anual]]*SUM(Table3[[#This Row],[APS]:[IVA]])</f>
        <v>3985.5531792000002</v>
      </c>
      <c r="W448" s="2">
        <v>1.4800000000000001E-2</v>
      </c>
      <c r="X448" s="2">
        <v>8.4501000000000007E-2</v>
      </c>
      <c r="Y448">
        <v>0.03</v>
      </c>
      <c r="Z448">
        <v>0.13</v>
      </c>
      <c r="AA448" s="20">
        <f>Table3[[#This Row],[APS]]*Table3[[#This Row],[PrimaComercial Anual]]</f>
        <v>79.635840000000002</v>
      </c>
      <c r="AB448" s="8">
        <f>Table3[[#This Row],[PrimaComercial Anual]]*Table3[[#This Row],[Recargo adicional]]</f>
        <v>454.68298080000005</v>
      </c>
      <c r="AC448" s="8">
        <f>Table3[[#This Row],[PrimaComercial Anual]]*Table3[[#This Row],[IT]]</f>
        <v>161.42400000000001</v>
      </c>
      <c r="AD448" s="8">
        <f>Table3[[#This Row],[PrimaComercial Anual]]*Table3[[#This Row],[IVA]]</f>
        <v>699.50400000000002</v>
      </c>
      <c r="AE448" s="15">
        <f>Table3[[#This Row],[PrimaComercial Anual Asistencia]]</f>
        <v>5380.8</v>
      </c>
      <c r="AF448">
        <v>2394</v>
      </c>
      <c r="AG448">
        <v>5380.8</v>
      </c>
    </row>
    <row r="449" spans="1:33" x14ac:dyDescent="0.25">
      <c r="A449" t="s">
        <v>19</v>
      </c>
      <c r="B449">
        <v>140000</v>
      </c>
      <c r="C449">
        <v>35</v>
      </c>
      <c r="D449" s="2">
        <f>Table3[[#This Row],[PrimaTécnica]]-Table3[[#This Row],[PrimaTécnica]]*SUM(Table3[[#This Row],[Gastos Adm]:[Cobranza]])</f>
        <v>2329.8485678207999</v>
      </c>
      <c r="E449">
        <v>1077.817104</v>
      </c>
      <c r="F449">
        <v>0.15</v>
      </c>
      <c r="G449">
        <v>0.05</v>
      </c>
      <c r="H449">
        <v>0.01</v>
      </c>
      <c r="I449">
        <v>0.01</v>
      </c>
      <c r="J449" s="8">
        <f>Table3[[#This Row],[PrimaTécnica]]*Table3[[#This Row],[Gastos Adm]]</f>
        <v>448.04780150400001</v>
      </c>
      <c r="K449" s="8">
        <f>Table3[[#This Row],[PrimaTécnica]]*Table3[[#This Row],[Utilidad]]</f>
        <v>149.34926716800001</v>
      </c>
      <c r="L449" s="8">
        <f>Table3[[#This Row],[PrimaTécnica]]*Table3[[#This Row],[Marketing]]</f>
        <v>29.869853433600003</v>
      </c>
      <c r="M449" s="8">
        <f>Table3[[#This Row],[PrimaTécnica]]*Table3[[#This Row],[Cobranza]]</f>
        <v>29.869853433600003</v>
      </c>
      <c r="N44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449">
        <v>21.84</v>
      </c>
      <c r="P449">
        <v>54.6</v>
      </c>
      <c r="Q449">
        <v>80.64</v>
      </c>
      <c r="R449">
        <v>44.377200000000002</v>
      </c>
      <c r="S449">
        <v>0.2</v>
      </c>
      <c r="T449">
        <v>0.02</v>
      </c>
      <c r="U449" s="8">
        <f>Table3[[#This Row],[PrimaNeta]]*Table3[[#This Row],[Comisión]]</f>
        <v>797.1106358400001</v>
      </c>
      <c r="V449" s="15">
        <f>Table3[[#This Row],[PrimaComercial Anual]]-Table3[[#This Row],[PrimaComercial Anual]]*SUM(Table3[[#This Row],[APS]:[IVA]])</f>
        <v>3985.5531792000002</v>
      </c>
      <c r="W449" s="2">
        <v>1.4800000000000001E-2</v>
      </c>
      <c r="X449" s="2">
        <v>8.4501000000000007E-2</v>
      </c>
      <c r="Y449">
        <v>0.03</v>
      </c>
      <c r="Z449">
        <v>0.13</v>
      </c>
      <c r="AA449" s="20">
        <f>Table3[[#This Row],[APS]]*Table3[[#This Row],[PrimaComercial Anual]]</f>
        <v>79.635840000000002</v>
      </c>
      <c r="AB449" s="8">
        <f>Table3[[#This Row],[PrimaComercial Anual]]*Table3[[#This Row],[Recargo adicional]]</f>
        <v>454.68298080000005</v>
      </c>
      <c r="AC449" s="8">
        <f>Table3[[#This Row],[PrimaComercial Anual]]*Table3[[#This Row],[IT]]</f>
        <v>161.42400000000001</v>
      </c>
      <c r="AD449" s="8">
        <f>Table3[[#This Row],[PrimaComercial Anual]]*Table3[[#This Row],[IVA]]</f>
        <v>699.50400000000002</v>
      </c>
      <c r="AE449" s="15">
        <f>Table3[[#This Row],[PrimaComercial Anual Asistencia]]</f>
        <v>5380.8</v>
      </c>
      <c r="AF449">
        <v>2394</v>
      </c>
      <c r="AG449">
        <v>5380.8</v>
      </c>
    </row>
    <row r="450" spans="1:33" x14ac:dyDescent="0.25">
      <c r="A450" t="s">
        <v>19</v>
      </c>
      <c r="B450">
        <v>140000</v>
      </c>
      <c r="C450">
        <v>36</v>
      </c>
      <c r="D450" s="2">
        <f>Table3[[#This Row],[PrimaTécnica]]-Table3[[#This Row],[PrimaTécnica]]*SUM(Table3[[#This Row],[Gastos Adm]:[Cobranza]])</f>
        <v>2329.8485678207999</v>
      </c>
      <c r="E450">
        <v>1077.817104</v>
      </c>
      <c r="F450">
        <v>0.15</v>
      </c>
      <c r="G450">
        <v>0.05</v>
      </c>
      <c r="H450">
        <v>0.01</v>
      </c>
      <c r="I450">
        <v>0.01</v>
      </c>
      <c r="J450" s="8">
        <f>Table3[[#This Row],[PrimaTécnica]]*Table3[[#This Row],[Gastos Adm]]</f>
        <v>448.04780150400001</v>
      </c>
      <c r="K450" s="8">
        <f>Table3[[#This Row],[PrimaTécnica]]*Table3[[#This Row],[Utilidad]]</f>
        <v>149.34926716800001</v>
      </c>
      <c r="L450" s="8">
        <f>Table3[[#This Row],[PrimaTécnica]]*Table3[[#This Row],[Marketing]]</f>
        <v>29.869853433600003</v>
      </c>
      <c r="M450" s="8">
        <f>Table3[[#This Row],[PrimaTécnica]]*Table3[[#This Row],[Cobranza]]</f>
        <v>29.869853433600003</v>
      </c>
      <c r="N45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450">
        <v>21.84</v>
      </c>
      <c r="P450">
        <v>54.6</v>
      </c>
      <c r="Q450">
        <v>80.64</v>
      </c>
      <c r="R450">
        <v>44.377200000000002</v>
      </c>
      <c r="S450">
        <v>0.2</v>
      </c>
      <c r="T450">
        <v>0.02</v>
      </c>
      <c r="U450" s="8">
        <f>Table3[[#This Row],[PrimaNeta]]*Table3[[#This Row],[Comisión]]</f>
        <v>797.1106358400001</v>
      </c>
      <c r="V450" s="15">
        <f>Table3[[#This Row],[PrimaComercial Anual]]-Table3[[#This Row],[PrimaComercial Anual]]*SUM(Table3[[#This Row],[APS]:[IVA]])</f>
        <v>3985.5531792000002</v>
      </c>
      <c r="W450" s="2">
        <v>1.4800000000000001E-2</v>
      </c>
      <c r="X450" s="2">
        <v>8.4501000000000007E-2</v>
      </c>
      <c r="Y450">
        <v>0.03</v>
      </c>
      <c r="Z450">
        <v>0.13</v>
      </c>
      <c r="AA450" s="20">
        <f>Table3[[#This Row],[APS]]*Table3[[#This Row],[PrimaComercial Anual]]</f>
        <v>79.635840000000002</v>
      </c>
      <c r="AB450" s="8">
        <f>Table3[[#This Row],[PrimaComercial Anual]]*Table3[[#This Row],[Recargo adicional]]</f>
        <v>454.68298080000005</v>
      </c>
      <c r="AC450" s="8">
        <f>Table3[[#This Row],[PrimaComercial Anual]]*Table3[[#This Row],[IT]]</f>
        <v>161.42400000000001</v>
      </c>
      <c r="AD450" s="8">
        <f>Table3[[#This Row],[PrimaComercial Anual]]*Table3[[#This Row],[IVA]]</f>
        <v>699.50400000000002</v>
      </c>
      <c r="AE450" s="15">
        <f>Table3[[#This Row],[PrimaComercial Anual Asistencia]]</f>
        <v>5380.8</v>
      </c>
      <c r="AF450">
        <v>2394</v>
      </c>
      <c r="AG450">
        <v>5380.8</v>
      </c>
    </row>
    <row r="451" spans="1:33" x14ac:dyDescent="0.25">
      <c r="A451" t="s">
        <v>19</v>
      </c>
      <c r="B451">
        <v>140000</v>
      </c>
      <c r="C451">
        <v>37</v>
      </c>
      <c r="D451" s="2">
        <f>Table3[[#This Row],[PrimaTécnica]]-Table3[[#This Row],[PrimaTécnica]]*SUM(Table3[[#This Row],[Gastos Adm]:[Cobranza]])</f>
        <v>2329.8485678207999</v>
      </c>
      <c r="E451">
        <v>1077.817104</v>
      </c>
      <c r="F451">
        <v>0.15</v>
      </c>
      <c r="G451">
        <v>0.05</v>
      </c>
      <c r="H451">
        <v>0.01</v>
      </c>
      <c r="I451">
        <v>0.01</v>
      </c>
      <c r="J451" s="8">
        <f>Table3[[#This Row],[PrimaTécnica]]*Table3[[#This Row],[Gastos Adm]]</f>
        <v>448.04780150400001</v>
      </c>
      <c r="K451" s="8">
        <f>Table3[[#This Row],[PrimaTécnica]]*Table3[[#This Row],[Utilidad]]</f>
        <v>149.34926716800001</v>
      </c>
      <c r="L451" s="8">
        <f>Table3[[#This Row],[PrimaTécnica]]*Table3[[#This Row],[Marketing]]</f>
        <v>29.869853433600003</v>
      </c>
      <c r="M451" s="8">
        <f>Table3[[#This Row],[PrimaTécnica]]*Table3[[#This Row],[Cobranza]]</f>
        <v>29.869853433600003</v>
      </c>
      <c r="N45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451">
        <v>21.84</v>
      </c>
      <c r="P451">
        <v>54.6</v>
      </c>
      <c r="Q451">
        <v>80.64</v>
      </c>
      <c r="R451">
        <v>44.377200000000002</v>
      </c>
      <c r="S451">
        <v>0.2</v>
      </c>
      <c r="T451">
        <v>0.02</v>
      </c>
      <c r="U451" s="8">
        <f>Table3[[#This Row],[PrimaNeta]]*Table3[[#This Row],[Comisión]]</f>
        <v>797.1106358400001</v>
      </c>
      <c r="V451" s="15">
        <f>Table3[[#This Row],[PrimaComercial Anual]]-Table3[[#This Row],[PrimaComercial Anual]]*SUM(Table3[[#This Row],[APS]:[IVA]])</f>
        <v>3985.5531792000002</v>
      </c>
      <c r="W451" s="2">
        <v>1.4800000000000001E-2</v>
      </c>
      <c r="X451" s="2">
        <v>8.4501000000000007E-2</v>
      </c>
      <c r="Y451">
        <v>0.03</v>
      </c>
      <c r="Z451">
        <v>0.13</v>
      </c>
      <c r="AA451" s="20">
        <f>Table3[[#This Row],[APS]]*Table3[[#This Row],[PrimaComercial Anual]]</f>
        <v>79.635840000000002</v>
      </c>
      <c r="AB451" s="8">
        <f>Table3[[#This Row],[PrimaComercial Anual]]*Table3[[#This Row],[Recargo adicional]]</f>
        <v>454.68298080000005</v>
      </c>
      <c r="AC451" s="8">
        <f>Table3[[#This Row],[PrimaComercial Anual]]*Table3[[#This Row],[IT]]</f>
        <v>161.42400000000001</v>
      </c>
      <c r="AD451" s="8">
        <f>Table3[[#This Row],[PrimaComercial Anual]]*Table3[[#This Row],[IVA]]</f>
        <v>699.50400000000002</v>
      </c>
      <c r="AE451" s="15">
        <f>Table3[[#This Row],[PrimaComercial Anual Asistencia]]</f>
        <v>5380.8</v>
      </c>
      <c r="AF451">
        <v>2394</v>
      </c>
      <c r="AG451">
        <v>5380.8</v>
      </c>
    </row>
    <row r="452" spans="1:33" x14ac:dyDescent="0.25">
      <c r="A452" t="s">
        <v>19</v>
      </c>
      <c r="B452">
        <v>140000</v>
      </c>
      <c r="C452">
        <v>38</v>
      </c>
      <c r="D452" s="2">
        <f>Table3[[#This Row],[PrimaTécnica]]-Table3[[#This Row],[PrimaTécnica]]*SUM(Table3[[#This Row],[Gastos Adm]:[Cobranza]])</f>
        <v>2329.8485678207999</v>
      </c>
      <c r="E452">
        <v>1077.817104</v>
      </c>
      <c r="F452">
        <v>0.15</v>
      </c>
      <c r="G452">
        <v>0.05</v>
      </c>
      <c r="H452">
        <v>0.01</v>
      </c>
      <c r="I452">
        <v>0.01</v>
      </c>
      <c r="J452" s="8">
        <f>Table3[[#This Row],[PrimaTécnica]]*Table3[[#This Row],[Gastos Adm]]</f>
        <v>448.04780150400001</v>
      </c>
      <c r="K452" s="8">
        <f>Table3[[#This Row],[PrimaTécnica]]*Table3[[#This Row],[Utilidad]]</f>
        <v>149.34926716800001</v>
      </c>
      <c r="L452" s="8">
        <f>Table3[[#This Row],[PrimaTécnica]]*Table3[[#This Row],[Marketing]]</f>
        <v>29.869853433600003</v>
      </c>
      <c r="M452" s="8">
        <f>Table3[[#This Row],[PrimaTécnica]]*Table3[[#This Row],[Cobranza]]</f>
        <v>29.869853433600003</v>
      </c>
      <c r="N45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452">
        <v>21.84</v>
      </c>
      <c r="P452">
        <v>54.6</v>
      </c>
      <c r="Q452">
        <v>80.64</v>
      </c>
      <c r="R452">
        <v>44.377200000000002</v>
      </c>
      <c r="S452">
        <v>0.2</v>
      </c>
      <c r="T452">
        <v>0.02</v>
      </c>
      <c r="U452" s="8">
        <f>Table3[[#This Row],[PrimaNeta]]*Table3[[#This Row],[Comisión]]</f>
        <v>797.1106358400001</v>
      </c>
      <c r="V452" s="15">
        <f>Table3[[#This Row],[PrimaComercial Anual]]-Table3[[#This Row],[PrimaComercial Anual]]*SUM(Table3[[#This Row],[APS]:[IVA]])</f>
        <v>3985.5531792000002</v>
      </c>
      <c r="W452" s="2">
        <v>1.4800000000000001E-2</v>
      </c>
      <c r="X452" s="2">
        <v>8.4501000000000007E-2</v>
      </c>
      <c r="Y452">
        <v>0.03</v>
      </c>
      <c r="Z452">
        <v>0.13</v>
      </c>
      <c r="AA452" s="20">
        <f>Table3[[#This Row],[APS]]*Table3[[#This Row],[PrimaComercial Anual]]</f>
        <v>79.635840000000002</v>
      </c>
      <c r="AB452" s="8">
        <f>Table3[[#This Row],[PrimaComercial Anual]]*Table3[[#This Row],[Recargo adicional]]</f>
        <v>454.68298080000005</v>
      </c>
      <c r="AC452" s="8">
        <f>Table3[[#This Row],[PrimaComercial Anual]]*Table3[[#This Row],[IT]]</f>
        <v>161.42400000000001</v>
      </c>
      <c r="AD452" s="8">
        <f>Table3[[#This Row],[PrimaComercial Anual]]*Table3[[#This Row],[IVA]]</f>
        <v>699.50400000000002</v>
      </c>
      <c r="AE452" s="15">
        <f>Table3[[#This Row],[PrimaComercial Anual Asistencia]]</f>
        <v>5380.8</v>
      </c>
      <c r="AF452">
        <v>2394</v>
      </c>
      <c r="AG452">
        <v>5380.8</v>
      </c>
    </row>
    <row r="453" spans="1:33" x14ac:dyDescent="0.25">
      <c r="A453" t="s">
        <v>19</v>
      </c>
      <c r="B453">
        <v>140000</v>
      </c>
      <c r="C453">
        <v>39</v>
      </c>
      <c r="D453" s="2">
        <f>Table3[[#This Row],[PrimaTécnica]]-Table3[[#This Row],[PrimaTécnica]]*SUM(Table3[[#This Row],[Gastos Adm]:[Cobranza]])</f>
        <v>2329.8485678207999</v>
      </c>
      <c r="E453">
        <v>1077.817104</v>
      </c>
      <c r="F453">
        <v>0.15</v>
      </c>
      <c r="G453">
        <v>0.05</v>
      </c>
      <c r="H453">
        <v>0.01</v>
      </c>
      <c r="I453">
        <v>0.01</v>
      </c>
      <c r="J453" s="8">
        <f>Table3[[#This Row],[PrimaTécnica]]*Table3[[#This Row],[Gastos Adm]]</f>
        <v>448.04780150400001</v>
      </c>
      <c r="K453" s="8">
        <f>Table3[[#This Row],[PrimaTécnica]]*Table3[[#This Row],[Utilidad]]</f>
        <v>149.34926716800001</v>
      </c>
      <c r="L453" s="8">
        <f>Table3[[#This Row],[PrimaTécnica]]*Table3[[#This Row],[Marketing]]</f>
        <v>29.869853433600003</v>
      </c>
      <c r="M453" s="8">
        <f>Table3[[#This Row],[PrimaTécnica]]*Table3[[#This Row],[Cobranza]]</f>
        <v>29.869853433600003</v>
      </c>
      <c r="N45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453">
        <v>21.84</v>
      </c>
      <c r="P453">
        <v>54.6</v>
      </c>
      <c r="Q453">
        <v>80.64</v>
      </c>
      <c r="R453">
        <v>44.377200000000002</v>
      </c>
      <c r="S453">
        <v>0.2</v>
      </c>
      <c r="T453">
        <v>0.02</v>
      </c>
      <c r="U453" s="8">
        <f>Table3[[#This Row],[PrimaNeta]]*Table3[[#This Row],[Comisión]]</f>
        <v>797.1106358400001</v>
      </c>
      <c r="V453" s="15">
        <f>Table3[[#This Row],[PrimaComercial Anual]]-Table3[[#This Row],[PrimaComercial Anual]]*SUM(Table3[[#This Row],[APS]:[IVA]])</f>
        <v>3985.5531792000002</v>
      </c>
      <c r="W453" s="2">
        <v>1.4800000000000001E-2</v>
      </c>
      <c r="X453" s="2">
        <v>8.4501000000000007E-2</v>
      </c>
      <c r="Y453">
        <v>0.03</v>
      </c>
      <c r="Z453">
        <v>0.13</v>
      </c>
      <c r="AA453" s="20">
        <f>Table3[[#This Row],[APS]]*Table3[[#This Row],[PrimaComercial Anual]]</f>
        <v>79.635840000000002</v>
      </c>
      <c r="AB453" s="8">
        <f>Table3[[#This Row],[PrimaComercial Anual]]*Table3[[#This Row],[Recargo adicional]]</f>
        <v>454.68298080000005</v>
      </c>
      <c r="AC453" s="8">
        <f>Table3[[#This Row],[PrimaComercial Anual]]*Table3[[#This Row],[IT]]</f>
        <v>161.42400000000001</v>
      </c>
      <c r="AD453" s="8">
        <f>Table3[[#This Row],[PrimaComercial Anual]]*Table3[[#This Row],[IVA]]</f>
        <v>699.50400000000002</v>
      </c>
      <c r="AE453" s="15">
        <f>Table3[[#This Row],[PrimaComercial Anual Asistencia]]</f>
        <v>5380.8</v>
      </c>
      <c r="AF453">
        <v>2394</v>
      </c>
      <c r="AG453">
        <v>5380.8</v>
      </c>
    </row>
    <row r="454" spans="1:33" x14ac:dyDescent="0.25">
      <c r="A454" t="s">
        <v>19</v>
      </c>
      <c r="B454">
        <v>140000</v>
      </c>
      <c r="C454">
        <v>40</v>
      </c>
      <c r="D454" s="2">
        <f>Table3[[#This Row],[PrimaTécnica]]-Table3[[#This Row],[PrimaTécnica]]*SUM(Table3[[#This Row],[Gastos Adm]:[Cobranza]])</f>
        <v>3362.5797034751995</v>
      </c>
      <c r="E454">
        <v>287.41789439999997</v>
      </c>
      <c r="F454">
        <v>0.15</v>
      </c>
      <c r="G454">
        <v>0.05</v>
      </c>
      <c r="H454">
        <v>0.01</v>
      </c>
      <c r="I454">
        <v>0.01</v>
      </c>
      <c r="J454" s="8">
        <f>Table3[[#This Row],[PrimaTécnica]]*Table3[[#This Row],[Gastos Adm]]</f>
        <v>646.64994297599992</v>
      </c>
      <c r="K454" s="8">
        <f>Table3[[#This Row],[PrimaTécnica]]*Table3[[#This Row],[Utilidad]]</f>
        <v>215.54998099199997</v>
      </c>
      <c r="L454" s="8">
        <f>Table3[[#This Row],[PrimaTécnica]]*Table3[[#This Row],[Marketing]]</f>
        <v>43.109996198399998</v>
      </c>
      <c r="M454" s="8">
        <f>Table3[[#This Row],[PrimaTécnica]]*Table3[[#This Row],[Cobranza]]</f>
        <v>43.109996198399998</v>
      </c>
      <c r="N45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4310.9996198399995</v>
      </c>
      <c r="O454">
        <v>21.84</v>
      </c>
      <c r="P454">
        <v>54.6</v>
      </c>
      <c r="Q454">
        <v>80.64</v>
      </c>
      <c r="R454">
        <v>44.377200000000002</v>
      </c>
      <c r="S454">
        <v>0.2</v>
      </c>
      <c r="T454">
        <v>0.02</v>
      </c>
      <c r="U454" s="8">
        <f>Table3[[#This Row],[PrimaNeta]]*Table3[[#This Row],[Comisión]]</f>
        <v>1128.1142049600001</v>
      </c>
      <c r="V454" s="15">
        <f>Table3[[#This Row],[PrimaComercial Anual]]-Table3[[#This Row],[PrimaComercial Anual]]*SUM(Table3[[#This Row],[APS]:[IVA]])</f>
        <v>5640.5710248000005</v>
      </c>
      <c r="W454" s="2">
        <v>1.4800000000000001E-2</v>
      </c>
      <c r="X454" s="2">
        <v>8.4501000000000007E-2</v>
      </c>
      <c r="Y454">
        <v>0.03</v>
      </c>
      <c r="Z454">
        <v>0.13</v>
      </c>
      <c r="AA454" s="20">
        <f>Table3[[#This Row],[APS]]*Table3[[#This Row],[PrimaComercial Anual]]</f>
        <v>112.70496000000001</v>
      </c>
      <c r="AB454" s="8">
        <f>Table3[[#This Row],[PrimaComercial Anual]]*Table3[[#This Row],[Recargo adicional]]</f>
        <v>643.49201520000008</v>
      </c>
      <c r="AC454" s="8">
        <f>Table3[[#This Row],[PrimaComercial Anual]]*Table3[[#This Row],[IT]]</f>
        <v>228.45600000000002</v>
      </c>
      <c r="AD454" s="8">
        <f>Table3[[#This Row],[PrimaComercial Anual]]*Table3[[#This Row],[IVA]]</f>
        <v>989.97600000000011</v>
      </c>
      <c r="AE454" s="15">
        <f>Table3[[#This Row],[PrimaComercial Anual Asistencia]]</f>
        <v>7615.2000000000007</v>
      </c>
      <c r="AF454">
        <v>638.4</v>
      </c>
      <c r="AG454">
        <v>7615.2000000000007</v>
      </c>
    </row>
    <row r="455" spans="1:33" x14ac:dyDescent="0.25">
      <c r="A455" t="s">
        <v>19</v>
      </c>
      <c r="B455">
        <v>140000</v>
      </c>
      <c r="C455">
        <v>41</v>
      </c>
      <c r="D455" s="2">
        <f>Table3[[#This Row],[PrimaTécnica]]-Table3[[#This Row],[PrimaTécnica]]*SUM(Table3[[#This Row],[Gastos Adm]:[Cobranza]])</f>
        <v>3362.5797034751995</v>
      </c>
      <c r="E455">
        <v>287.41789439999997</v>
      </c>
      <c r="F455">
        <v>0.15</v>
      </c>
      <c r="G455">
        <v>0.05</v>
      </c>
      <c r="H455">
        <v>0.01</v>
      </c>
      <c r="I455">
        <v>0.01</v>
      </c>
      <c r="J455" s="8">
        <f>Table3[[#This Row],[PrimaTécnica]]*Table3[[#This Row],[Gastos Adm]]</f>
        <v>646.64994297599992</v>
      </c>
      <c r="K455" s="8">
        <f>Table3[[#This Row],[PrimaTécnica]]*Table3[[#This Row],[Utilidad]]</f>
        <v>215.54998099199997</v>
      </c>
      <c r="L455" s="8">
        <f>Table3[[#This Row],[PrimaTécnica]]*Table3[[#This Row],[Marketing]]</f>
        <v>43.109996198399998</v>
      </c>
      <c r="M455" s="8">
        <f>Table3[[#This Row],[PrimaTécnica]]*Table3[[#This Row],[Cobranza]]</f>
        <v>43.109996198399998</v>
      </c>
      <c r="N45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4310.9996198399995</v>
      </c>
      <c r="O455">
        <v>21.84</v>
      </c>
      <c r="P455">
        <v>54.6</v>
      </c>
      <c r="Q455">
        <v>80.64</v>
      </c>
      <c r="R455">
        <v>44.377200000000002</v>
      </c>
      <c r="S455">
        <v>0.2</v>
      </c>
      <c r="T455">
        <v>0.02</v>
      </c>
      <c r="U455" s="8">
        <f>Table3[[#This Row],[PrimaNeta]]*Table3[[#This Row],[Comisión]]</f>
        <v>1128.1142049600001</v>
      </c>
      <c r="V455" s="15">
        <f>Table3[[#This Row],[PrimaComercial Anual]]-Table3[[#This Row],[PrimaComercial Anual]]*SUM(Table3[[#This Row],[APS]:[IVA]])</f>
        <v>5640.5710248000005</v>
      </c>
      <c r="W455" s="2">
        <v>1.4800000000000001E-2</v>
      </c>
      <c r="X455" s="2">
        <v>8.4501000000000007E-2</v>
      </c>
      <c r="Y455">
        <v>0.03</v>
      </c>
      <c r="Z455">
        <v>0.13</v>
      </c>
      <c r="AA455" s="20">
        <f>Table3[[#This Row],[APS]]*Table3[[#This Row],[PrimaComercial Anual]]</f>
        <v>112.70496000000001</v>
      </c>
      <c r="AB455" s="8">
        <f>Table3[[#This Row],[PrimaComercial Anual]]*Table3[[#This Row],[Recargo adicional]]</f>
        <v>643.49201520000008</v>
      </c>
      <c r="AC455" s="8">
        <f>Table3[[#This Row],[PrimaComercial Anual]]*Table3[[#This Row],[IT]]</f>
        <v>228.45600000000002</v>
      </c>
      <c r="AD455" s="8">
        <f>Table3[[#This Row],[PrimaComercial Anual]]*Table3[[#This Row],[IVA]]</f>
        <v>989.97600000000011</v>
      </c>
      <c r="AE455" s="15">
        <f>Table3[[#This Row],[PrimaComercial Anual Asistencia]]</f>
        <v>7615.2000000000007</v>
      </c>
      <c r="AF455">
        <v>638.4</v>
      </c>
      <c r="AG455">
        <v>7615.2000000000007</v>
      </c>
    </row>
    <row r="456" spans="1:33" x14ac:dyDescent="0.25">
      <c r="A456" t="s">
        <v>19</v>
      </c>
      <c r="B456">
        <v>140000</v>
      </c>
      <c r="C456">
        <v>42</v>
      </c>
      <c r="D456" s="2">
        <f>Table3[[#This Row],[PrimaTécnica]]-Table3[[#This Row],[PrimaTécnica]]*SUM(Table3[[#This Row],[Gastos Adm]:[Cobranza]])</f>
        <v>3362.5797034751995</v>
      </c>
      <c r="E456">
        <v>287.41789439999997</v>
      </c>
      <c r="F456">
        <v>0.15</v>
      </c>
      <c r="G456">
        <v>0.05</v>
      </c>
      <c r="H456">
        <v>0.01</v>
      </c>
      <c r="I456">
        <v>0.01</v>
      </c>
      <c r="J456" s="8">
        <f>Table3[[#This Row],[PrimaTécnica]]*Table3[[#This Row],[Gastos Adm]]</f>
        <v>646.64994297599992</v>
      </c>
      <c r="K456" s="8">
        <f>Table3[[#This Row],[PrimaTécnica]]*Table3[[#This Row],[Utilidad]]</f>
        <v>215.54998099199997</v>
      </c>
      <c r="L456" s="8">
        <f>Table3[[#This Row],[PrimaTécnica]]*Table3[[#This Row],[Marketing]]</f>
        <v>43.109996198399998</v>
      </c>
      <c r="M456" s="8">
        <f>Table3[[#This Row],[PrimaTécnica]]*Table3[[#This Row],[Cobranza]]</f>
        <v>43.109996198399998</v>
      </c>
      <c r="N45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4310.9996198399995</v>
      </c>
      <c r="O456">
        <v>21.84</v>
      </c>
      <c r="P456">
        <v>54.6</v>
      </c>
      <c r="Q456">
        <v>80.64</v>
      </c>
      <c r="R456">
        <v>44.377200000000002</v>
      </c>
      <c r="S456">
        <v>0.2</v>
      </c>
      <c r="T456">
        <v>0.02</v>
      </c>
      <c r="U456" s="8">
        <f>Table3[[#This Row],[PrimaNeta]]*Table3[[#This Row],[Comisión]]</f>
        <v>1128.1142049600001</v>
      </c>
      <c r="V456" s="15">
        <f>Table3[[#This Row],[PrimaComercial Anual]]-Table3[[#This Row],[PrimaComercial Anual]]*SUM(Table3[[#This Row],[APS]:[IVA]])</f>
        <v>5640.5710248000005</v>
      </c>
      <c r="W456" s="2">
        <v>1.4800000000000001E-2</v>
      </c>
      <c r="X456" s="2">
        <v>8.4501000000000007E-2</v>
      </c>
      <c r="Y456">
        <v>0.03</v>
      </c>
      <c r="Z456">
        <v>0.13</v>
      </c>
      <c r="AA456" s="20">
        <f>Table3[[#This Row],[APS]]*Table3[[#This Row],[PrimaComercial Anual]]</f>
        <v>112.70496000000001</v>
      </c>
      <c r="AB456" s="8">
        <f>Table3[[#This Row],[PrimaComercial Anual]]*Table3[[#This Row],[Recargo adicional]]</f>
        <v>643.49201520000008</v>
      </c>
      <c r="AC456" s="8">
        <f>Table3[[#This Row],[PrimaComercial Anual]]*Table3[[#This Row],[IT]]</f>
        <v>228.45600000000002</v>
      </c>
      <c r="AD456" s="8">
        <f>Table3[[#This Row],[PrimaComercial Anual]]*Table3[[#This Row],[IVA]]</f>
        <v>989.97600000000011</v>
      </c>
      <c r="AE456" s="15">
        <f>Table3[[#This Row],[PrimaComercial Anual Asistencia]]</f>
        <v>7615.2000000000007</v>
      </c>
      <c r="AF456">
        <v>638.4</v>
      </c>
      <c r="AG456">
        <v>7615.2000000000007</v>
      </c>
    </row>
    <row r="457" spans="1:33" x14ac:dyDescent="0.25">
      <c r="A457" t="s">
        <v>19</v>
      </c>
      <c r="B457">
        <v>140000</v>
      </c>
      <c r="C457">
        <v>43</v>
      </c>
      <c r="D457" s="2">
        <f>Table3[[#This Row],[PrimaTécnica]]-Table3[[#This Row],[PrimaTécnica]]*SUM(Table3[[#This Row],[Gastos Adm]:[Cobranza]])</f>
        <v>3362.5797034751995</v>
      </c>
      <c r="E457">
        <v>287.41789439999997</v>
      </c>
      <c r="F457">
        <v>0.15</v>
      </c>
      <c r="G457">
        <v>0.05</v>
      </c>
      <c r="H457">
        <v>0.01</v>
      </c>
      <c r="I457">
        <v>0.01</v>
      </c>
      <c r="J457" s="8">
        <f>Table3[[#This Row],[PrimaTécnica]]*Table3[[#This Row],[Gastos Adm]]</f>
        <v>646.64994297599992</v>
      </c>
      <c r="K457" s="8">
        <f>Table3[[#This Row],[PrimaTécnica]]*Table3[[#This Row],[Utilidad]]</f>
        <v>215.54998099199997</v>
      </c>
      <c r="L457" s="8">
        <f>Table3[[#This Row],[PrimaTécnica]]*Table3[[#This Row],[Marketing]]</f>
        <v>43.109996198399998</v>
      </c>
      <c r="M457" s="8">
        <f>Table3[[#This Row],[PrimaTécnica]]*Table3[[#This Row],[Cobranza]]</f>
        <v>43.109996198399998</v>
      </c>
      <c r="N45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4310.9996198399995</v>
      </c>
      <c r="O457">
        <v>21.84</v>
      </c>
      <c r="P457">
        <v>54.6</v>
      </c>
      <c r="Q457">
        <v>80.64</v>
      </c>
      <c r="R457">
        <v>44.377200000000002</v>
      </c>
      <c r="S457">
        <v>0.2</v>
      </c>
      <c r="T457">
        <v>0.02</v>
      </c>
      <c r="U457" s="8">
        <f>Table3[[#This Row],[PrimaNeta]]*Table3[[#This Row],[Comisión]]</f>
        <v>1128.1142049600001</v>
      </c>
      <c r="V457" s="15">
        <f>Table3[[#This Row],[PrimaComercial Anual]]-Table3[[#This Row],[PrimaComercial Anual]]*SUM(Table3[[#This Row],[APS]:[IVA]])</f>
        <v>5640.5710248000005</v>
      </c>
      <c r="W457" s="2">
        <v>1.4800000000000001E-2</v>
      </c>
      <c r="X457" s="2">
        <v>8.4501000000000007E-2</v>
      </c>
      <c r="Y457">
        <v>0.03</v>
      </c>
      <c r="Z457">
        <v>0.13</v>
      </c>
      <c r="AA457" s="20">
        <f>Table3[[#This Row],[APS]]*Table3[[#This Row],[PrimaComercial Anual]]</f>
        <v>112.70496000000001</v>
      </c>
      <c r="AB457" s="8">
        <f>Table3[[#This Row],[PrimaComercial Anual]]*Table3[[#This Row],[Recargo adicional]]</f>
        <v>643.49201520000008</v>
      </c>
      <c r="AC457" s="8">
        <f>Table3[[#This Row],[PrimaComercial Anual]]*Table3[[#This Row],[IT]]</f>
        <v>228.45600000000002</v>
      </c>
      <c r="AD457" s="8">
        <f>Table3[[#This Row],[PrimaComercial Anual]]*Table3[[#This Row],[IVA]]</f>
        <v>989.97600000000011</v>
      </c>
      <c r="AE457" s="15">
        <f>Table3[[#This Row],[PrimaComercial Anual Asistencia]]</f>
        <v>7615.2000000000007</v>
      </c>
      <c r="AF457">
        <v>638.4</v>
      </c>
      <c r="AG457">
        <v>7615.2000000000007</v>
      </c>
    </row>
    <row r="458" spans="1:33" x14ac:dyDescent="0.25">
      <c r="A458" t="s">
        <v>19</v>
      </c>
      <c r="B458">
        <v>140000</v>
      </c>
      <c r="C458">
        <v>44</v>
      </c>
      <c r="D458" s="2">
        <f>Table3[[#This Row],[PrimaTécnica]]-Table3[[#This Row],[PrimaTécnica]]*SUM(Table3[[#This Row],[Gastos Adm]:[Cobranza]])</f>
        <v>3362.5797034751995</v>
      </c>
      <c r="E458">
        <v>287.41789439999997</v>
      </c>
      <c r="F458">
        <v>0.15</v>
      </c>
      <c r="G458">
        <v>0.05</v>
      </c>
      <c r="H458">
        <v>0.01</v>
      </c>
      <c r="I458">
        <v>0.01</v>
      </c>
      <c r="J458" s="8">
        <f>Table3[[#This Row],[PrimaTécnica]]*Table3[[#This Row],[Gastos Adm]]</f>
        <v>646.64994297599992</v>
      </c>
      <c r="K458" s="8">
        <f>Table3[[#This Row],[PrimaTécnica]]*Table3[[#This Row],[Utilidad]]</f>
        <v>215.54998099199997</v>
      </c>
      <c r="L458" s="8">
        <f>Table3[[#This Row],[PrimaTécnica]]*Table3[[#This Row],[Marketing]]</f>
        <v>43.109996198399998</v>
      </c>
      <c r="M458" s="8">
        <f>Table3[[#This Row],[PrimaTécnica]]*Table3[[#This Row],[Cobranza]]</f>
        <v>43.109996198399998</v>
      </c>
      <c r="N45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4310.9996198399995</v>
      </c>
      <c r="O458">
        <v>21.84</v>
      </c>
      <c r="P458">
        <v>54.6</v>
      </c>
      <c r="Q458">
        <v>80.64</v>
      </c>
      <c r="R458">
        <v>44.377200000000002</v>
      </c>
      <c r="S458">
        <v>0.2</v>
      </c>
      <c r="T458">
        <v>0.02</v>
      </c>
      <c r="U458" s="8">
        <f>Table3[[#This Row],[PrimaNeta]]*Table3[[#This Row],[Comisión]]</f>
        <v>1128.1142049600001</v>
      </c>
      <c r="V458" s="15">
        <f>Table3[[#This Row],[PrimaComercial Anual]]-Table3[[#This Row],[PrimaComercial Anual]]*SUM(Table3[[#This Row],[APS]:[IVA]])</f>
        <v>5640.5710248000005</v>
      </c>
      <c r="W458" s="2">
        <v>1.4800000000000001E-2</v>
      </c>
      <c r="X458" s="2">
        <v>8.4501000000000007E-2</v>
      </c>
      <c r="Y458">
        <v>0.03</v>
      </c>
      <c r="Z458">
        <v>0.13</v>
      </c>
      <c r="AA458" s="20">
        <f>Table3[[#This Row],[APS]]*Table3[[#This Row],[PrimaComercial Anual]]</f>
        <v>112.70496000000001</v>
      </c>
      <c r="AB458" s="8">
        <f>Table3[[#This Row],[PrimaComercial Anual]]*Table3[[#This Row],[Recargo adicional]]</f>
        <v>643.49201520000008</v>
      </c>
      <c r="AC458" s="8">
        <f>Table3[[#This Row],[PrimaComercial Anual]]*Table3[[#This Row],[IT]]</f>
        <v>228.45600000000002</v>
      </c>
      <c r="AD458" s="8">
        <f>Table3[[#This Row],[PrimaComercial Anual]]*Table3[[#This Row],[IVA]]</f>
        <v>989.97600000000011</v>
      </c>
      <c r="AE458" s="15">
        <f>Table3[[#This Row],[PrimaComercial Anual Asistencia]]</f>
        <v>7615.2000000000007</v>
      </c>
      <c r="AF458">
        <v>638.4</v>
      </c>
      <c r="AG458">
        <v>7615.2000000000007</v>
      </c>
    </row>
    <row r="459" spans="1:33" x14ac:dyDescent="0.25">
      <c r="A459" t="s">
        <v>19</v>
      </c>
      <c r="B459">
        <v>140000</v>
      </c>
      <c r="C459">
        <v>45</v>
      </c>
      <c r="D459" s="2">
        <f>Table3[[#This Row],[PrimaTécnica]]-Table3[[#This Row],[PrimaTécnica]]*SUM(Table3[[#This Row],[Gastos Adm]:[Cobranza]])</f>
        <v>3362.5797034751995</v>
      </c>
      <c r="E459">
        <v>287.41789439999997</v>
      </c>
      <c r="F459">
        <v>0.15</v>
      </c>
      <c r="G459">
        <v>0.05</v>
      </c>
      <c r="H459">
        <v>0.01</v>
      </c>
      <c r="I459">
        <v>0.01</v>
      </c>
      <c r="J459" s="8">
        <f>Table3[[#This Row],[PrimaTécnica]]*Table3[[#This Row],[Gastos Adm]]</f>
        <v>646.64994297599992</v>
      </c>
      <c r="K459" s="8">
        <f>Table3[[#This Row],[PrimaTécnica]]*Table3[[#This Row],[Utilidad]]</f>
        <v>215.54998099199997</v>
      </c>
      <c r="L459" s="8">
        <f>Table3[[#This Row],[PrimaTécnica]]*Table3[[#This Row],[Marketing]]</f>
        <v>43.109996198399998</v>
      </c>
      <c r="M459" s="8">
        <f>Table3[[#This Row],[PrimaTécnica]]*Table3[[#This Row],[Cobranza]]</f>
        <v>43.109996198399998</v>
      </c>
      <c r="N45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4310.9996198399995</v>
      </c>
      <c r="O459">
        <v>21.84</v>
      </c>
      <c r="P459">
        <v>54.6</v>
      </c>
      <c r="Q459">
        <v>80.64</v>
      </c>
      <c r="R459">
        <v>44.377200000000002</v>
      </c>
      <c r="S459">
        <v>0.2</v>
      </c>
      <c r="T459">
        <v>0.02</v>
      </c>
      <c r="U459" s="8">
        <f>Table3[[#This Row],[PrimaNeta]]*Table3[[#This Row],[Comisión]]</f>
        <v>1128.1142049600001</v>
      </c>
      <c r="V459" s="15">
        <f>Table3[[#This Row],[PrimaComercial Anual]]-Table3[[#This Row],[PrimaComercial Anual]]*SUM(Table3[[#This Row],[APS]:[IVA]])</f>
        <v>5640.5710248000005</v>
      </c>
      <c r="W459" s="2">
        <v>1.4800000000000001E-2</v>
      </c>
      <c r="X459" s="2">
        <v>8.4501000000000007E-2</v>
      </c>
      <c r="Y459">
        <v>0.03</v>
      </c>
      <c r="Z459">
        <v>0.13</v>
      </c>
      <c r="AA459" s="20">
        <f>Table3[[#This Row],[APS]]*Table3[[#This Row],[PrimaComercial Anual]]</f>
        <v>112.70496000000001</v>
      </c>
      <c r="AB459" s="8">
        <f>Table3[[#This Row],[PrimaComercial Anual]]*Table3[[#This Row],[Recargo adicional]]</f>
        <v>643.49201520000008</v>
      </c>
      <c r="AC459" s="8">
        <f>Table3[[#This Row],[PrimaComercial Anual]]*Table3[[#This Row],[IT]]</f>
        <v>228.45600000000002</v>
      </c>
      <c r="AD459" s="8">
        <f>Table3[[#This Row],[PrimaComercial Anual]]*Table3[[#This Row],[IVA]]</f>
        <v>989.97600000000011</v>
      </c>
      <c r="AE459" s="15">
        <f>Table3[[#This Row],[PrimaComercial Anual Asistencia]]</f>
        <v>7615.2000000000007</v>
      </c>
      <c r="AF459">
        <v>638.4</v>
      </c>
      <c r="AG459">
        <v>7615.2000000000007</v>
      </c>
    </row>
    <row r="460" spans="1:33" x14ac:dyDescent="0.25">
      <c r="A460" t="s">
        <v>19</v>
      </c>
      <c r="B460">
        <v>140000</v>
      </c>
      <c r="C460">
        <v>46</v>
      </c>
      <c r="D460" s="2">
        <f>Table3[[#This Row],[PrimaTécnica]]-Table3[[#This Row],[PrimaTécnica]]*SUM(Table3[[#This Row],[Gastos Adm]:[Cobranza]])</f>
        <v>3362.5797034751995</v>
      </c>
      <c r="E460">
        <v>287.41789439999997</v>
      </c>
      <c r="F460">
        <v>0.15</v>
      </c>
      <c r="G460">
        <v>0.05</v>
      </c>
      <c r="H460">
        <v>0.01</v>
      </c>
      <c r="I460">
        <v>0.01</v>
      </c>
      <c r="J460" s="8">
        <f>Table3[[#This Row],[PrimaTécnica]]*Table3[[#This Row],[Gastos Adm]]</f>
        <v>646.64994297599992</v>
      </c>
      <c r="K460" s="8">
        <f>Table3[[#This Row],[PrimaTécnica]]*Table3[[#This Row],[Utilidad]]</f>
        <v>215.54998099199997</v>
      </c>
      <c r="L460" s="8">
        <f>Table3[[#This Row],[PrimaTécnica]]*Table3[[#This Row],[Marketing]]</f>
        <v>43.109996198399998</v>
      </c>
      <c r="M460" s="8">
        <f>Table3[[#This Row],[PrimaTécnica]]*Table3[[#This Row],[Cobranza]]</f>
        <v>43.109996198399998</v>
      </c>
      <c r="N46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4310.9996198399995</v>
      </c>
      <c r="O460">
        <v>21.84</v>
      </c>
      <c r="P460">
        <v>54.6</v>
      </c>
      <c r="Q460">
        <v>80.64</v>
      </c>
      <c r="R460">
        <v>44.377200000000002</v>
      </c>
      <c r="S460">
        <v>0.2</v>
      </c>
      <c r="T460">
        <v>0.02</v>
      </c>
      <c r="U460" s="8">
        <f>Table3[[#This Row],[PrimaNeta]]*Table3[[#This Row],[Comisión]]</f>
        <v>1128.1142049600001</v>
      </c>
      <c r="V460" s="15">
        <f>Table3[[#This Row],[PrimaComercial Anual]]-Table3[[#This Row],[PrimaComercial Anual]]*SUM(Table3[[#This Row],[APS]:[IVA]])</f>
        <v>5640.5710248000005</v>
      </c>
      <c r="W460" s="2">
        <v>1.4800000000000001E-2</v>
      </c>
      <c r="X460" s="2">
        <v>8.4501000000000007E-2</v>
      </c>
      <c r="Y460">
        <v>0.03</v>
      </c>
      <c r="Z460">
        <v>0.13</v>
      </c>
      <c r="AA460" s="20">
        <f>Table3[[#This Row],[APS]]*Table3[[#This Row],[PrimaComercial Anual]]</f>
        <v>112.70496000000001</v>
      </c>
      <c r="AB460" s="8">
        <f>Table3[[#This Row],[PrimaComercial Anual]]*Table3[[#This Row],[Recargo adicional]]</f>
        <v>643.49201520000008</v>
      </c>
      <c r="AC460" s="8">
        <f>Table3[[#This Row],[PrimaComercial Anual]]*Table3[[#This Row],[IT]]</f>
        <v>228.45600000000002</v>
      </c>
      <c r="AD460" s="8">
        <f>Table3[[#This Row],[PrimaComercial Anual]]*Table3[[#This Row],[IVA]]</f>
        <v>989.97600000000011</v>
      </c>
      <c r="AE460" s="15">
        <f>Table3[[#This Row],[PrimaComercial Anual Asistencia]]</f>
        <v>7615.2000000000007</v>
      </c>
      <c r="AF460">
        <v>638.4</v>
      </c>
      <c r="AG460">
        <v>7615.2000000000007</v>
      </c>
    </row>
    <row r="461" spans="1:33" x14ac:dyDescent="0.25">
      <c r="A461" t="s">
        <v>19</v>
      </c>
      <c r="B461">
        <v>140000</v>
      </c>
      <c r="C461">
        <v>47</v>
      </c>
      <c r="D461" s="2">
        <f>Table3[[#This Row],[PrimaTécnica]]-Table3[[#This Row],[PrimaTécnica]]*SUM(Table3[[#This Row],[Gastos Adm]:[Cobranza]])</f>
        <v>3362.5797034751995</v>
      </c>
      <c r="E461">
        <v>287.41789439999997</v>
      </c>
      <c r="F461">
        <v>0.15</v>
      </c>
      <c r="G461">
        <v>0.05</v>
      </c>
      <c r="H461">
        <v>0.01</v>
      </c>
      <c r="I461">
        <v>0.01</v>
      </c>
      <c r="J461" s="8">
        <f>Table3[[#This Row],[PrimaTécnica]]*Table3[[#This Row],[Gastos Adm]]</f>
        <v>646.64994297599992</v>
      </c>
      <c r="K461" s="8">
        <f>Table3[[#This Row],[PrimaTécnica]]*Table3[[#This Row],[Utilidad]]</f>
        <v>215.54998099199997</v>
      </c>
      <c r="L461" s="8">
        <f>Table3[[#This Row],[PrimaTécnica]]*Table3[[#This Row],[Marketing]]</f>
        <v>43.109996198399998</v>
      </c>
      <c r="M461" s="8">
        <f>Table3[[#This Row],[PrimaTécnica]]*Table3[[#This Row],[Cobranza]]</f>
        <v>43.109996198399998</v>
      </c>
      <c r="N46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4310.9996198399995</v>
      </c>
      <c r="O461">
        <v>21.84</v>
      </c>
      <c r="P461">
        <v>54.6</v>
      </c>
      <c r="Q461">
        <v>80.64</v>
      </c>
      <c r="R461">
        <v>44.377200000000002</v>
      </c>
      <c r="S461">
        <v>0.2</v>
      </c>
      <c r="T461">
        <v>0.02</v>
      </c>
      <c r="U461" s="8">
        <f>Table3[[#This Row],[PrimaNeta]]*Table3[[#This Row],[Comisión]]</f>
        <v>1128.1142049600001</v>
      </c>
      <c r="V461" s="15">
        <f>Table3[[#This Row],[PrimaComercial Anual]]-Table3[[#This Row],[PrimaComercial Anual]]*SUM(Table3[[#This Row],[APS]:[IVA]])</f>
        <v>5640.5710248000005</v>
      </c>
      <c r="W461" s="2">
        <v>1.4800000000000001E-2</v>
      </c>
      <c r="X461" s="2">
        <v>8.4501000000000007E-2</v>
      </c>
      <c r="Y461">
        <v>0.03</v>
      </c>
      <c r="Z461">
        <v>0.13</v>
      </c>
      <c r="AA461" s="20">
        <f>Table3[[#This Row],[APS]]*Table3[[#This Row],[PrimaComercial Anual]]</f>
        <v>112.70496000000001</v>
      </c>
      <c r="AB461" s="8">
        <f>Table3[[#This Row],[PrimaComercial Anual]]*Table3[[#This Row],[Recargo adicional]]</f>
        <v>643.49201520000008</v>
      </c>
      <c r="AC461" s="8">
        <f>Table3[[#This Row],[PrimaComercial Anual]]*Table3[[#This Row],[IT]]</f>
        <v>228.45600000000002</v>
      </c>
      <c r="AD461" s="8">
        <f>Table3[[#This Row],[PrimaComercial Anual]]*Table3[[#This Row],[IVA]]</f>
        <v>989.97600000000011</v>
      </c>
      <c r="AE461" s="15">
        <f>Table3[[#This Row],[PrimaComercial Anual Asistencia]]</f>
        <v>7615.2000000000007</v>
      </c>
      <c r="AF461">
        <v>638.4</v>
      </c>
      <c r="AG461">
        <v>7615.2000000000007</v>
      </c>
    </row>
    <row r="462" spans="1:33" x14ac:dyDescent="0.25">
      <c r="A462" t="s">
        <v>19</v>
      </c>
      <c r="B462">
        <v>140000</v>
      </c>
      <c r="C462">
        <v>48</v>
      </c>
      <c r="D462" s="2">
        <f>Table3[[#This Row],[PrimaTécnica]]-Table3[[#This Row],[PrimaTécnica]]*SUM(Table3[[#This Row],[Gastos Adm]:[Cobranza]])</f>
        <v>3362.5797034751995</v>
      </c>
      <c r="E462">
        <v>287.41789439999997</v>
      </c>
      <c r="F462">
        <v>0.15</v>
      </c>
      <c r="G462">
        <v>0.05</v>
      </c>
      <c r="H462">
        <v>0.01</v>
      </c>
      <c r="I462">
        <v>0.01</v>
      </c>
      <c r="J462" s="8">
        <f>Table3[[#This Row],[PrimaTécnica]]*Table3[[#This Row],[Gastos Adm]]</f>
        <v>646.64994297599992</v>
      </c>
      <c r="K462" s="8">
        <f>Table3[[#This Row],[PrimaTécnica]]*Table3[[#This Row],[Utilidad]]</f>
        <v>215.54998099199997</v>
      </c>
      <c r="L462" s="8">
        <f>Table3[[#This Row],[PrimaTécnica]]*Table3[[#This Row],[Marketing]]</f>
        <v>43.109996198399998</v>
      </c>
      <c r="M462" s="8">
        <f>Table3[[#This Row],[PrimaTécnica]]*Table3[[#This Row],[Cobranza]]</f>
        <v>43.109996198399998</v>
      </c>
      <c r="N46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4310.9996198399995</v>
      </c>
      <c r="O462">
        <v>21.84</v>
      </c>
      <c r="P462">
        <v>54.6</v>
      </c>
      <c r="Q462">
        <v>80.64</v>
      </c>
      <c r="R462">
        <v>44.377200000000002</v>
      </c>
      <c r="S462">
        <v>0.2</v>
      </c>
      <c r="T462">
        <v>0.02</v>
      </c>
      <c r="U462" s="8">
        <f>Table3[[#This Row],[PrimaNeta]]*Table3[[#This Row],[Comisión]]</f>
        <v>1128.1142049600001</v>
      </c>
      <c r="V462" s="15">
        <f>Table3[[#This Row],[PrimaComercial Anual]]-Table3[[#This Row],[PrimaComercial Anual]]*SUM(Table3[[#This Row],[APS]:[IVA]])</f>
        <v>5640.5710248000005</v>
      </c>
      <c r="W462" s="2">
        <v>1.4800000000000001E-2</v>
      </c>
      <c r="X462" s="2">
        <v>8.4501000000000007E-2</v>
      </c>
      <c r="Y462">
        <v>0.03</v>
      </c>
      <c r="Z462">
        <v>0.13</v>
      </c>
      <c r="AA462" s="20">
        <f>Table3[[#This Row],[APS]]*Table3[[#This Row],[PrimaComercial Anual]]</f>
        <v>112.70496000000001</v>
      </c>
      <c r="AB462" s="8">
        <f>Table3[[#This Row],[PrimaComercial Anual]]*Table3[[#This Row],[Recargo adicional]]</f>
        <v>643.49201520000008</v>
      </c>
      <c r="AC462" s="8">
        <f>Table3[[#This Row],[PrimaComercial Anual]]*Table3[[#This Row],[IT]]</f>
        <v>228.45600000000002</v>
      </c>
      <c r="AD462" s="8">
        <f>Table3[[#This Row],[PrimaComercial Anual]]*Table3[[#This Row],[IVA]]</f>
        <v>989.97600000000011</v>
      </c>
      <c r="AE462" s="15">
        <f>Table3[[#This Row],[PrimaComercial Anual Asistencia]]</f>
        <v>7615.2000000000007</v>
      </c>
      <c r="AF462">
        <v>638.4</v>
      </c>
      <c r="AG462">
        <v>7615.2000000000007</v>
      </c>
    </row>
    <row r="463" spans="1:33" x14ac:dyDescent="0.25">
      <c r="A463" t="s">
        <v>19</v>
      </c>
      <c r="B463">
        <v>140000</v>
      </c>
      <c r="C463">
        <v>49</v>
      </c>
      <c r="D463" s="2">
        <f>Table3[[#This Row],[PrimaTécnica]]-Table3[[#This Row],[PrimaTécnica]]*SUM(Table3[[#This Row],[Gastos Adm]:[Cobranza]])</f>
        <v>3362.5797034751995</v>
      </c>
      <c r="E463">
        <v>287.41789439999997</v>
      </c>
      <c r="F463">
        <v>0.15</v>
      </c>
      <c r="G463">
        <v>0.05</v>
      </c>
      <c r="H463">
        <v>0.01</v>
      </c>
      <c r="I463">
        <v>0.01</v>
      </c>
      <c r="J463" s="8">
        <f>Table3[[#This Row],[PrimaTécnica]]*Table3[[#This Row],[Gastos Adm]]</f>
        <v>646.64994297599992</v>
      </c>
      <c r="K463" s="8">
        <f>Table3[[#This Row],[PrimaTécnica]]*Table3[[#This Row],[Utilidad]]</f>
        <v>215.54998099199997</v>
      </c>
      <c r="L463" s="8">
        <f>Table3[[#This Row],[PrimaTécnica]]*Table3[[#This Row],[Marketing]]</f>
        <v>43.109996198399998</v>
      </c>
      <c r="M463" s="8">
        <f>Table3[[#This Row],[PrimaTécnica]]*Table3[[#This Row],[Cobranza]]</f>
        <v>43.109996198399998</v>
      </c>
      <c r="N46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4310.9996198399995</v>
      </c>
      <c r="O463">
        <v>21.84</v>
      </c>
      <c r="P463">
        <v>54.6</v>
      </c>
      <c r="Q463">
        <v>80.64</v>
      </c>
      <c r="R463">
        <v>44.377200000000002</v>
      </c>
      <c r="S463">
        <v>0.2</v>
      </c>
      <c r="T463">
        <v>0.02</v>
      </c>
      <c r="U463" s="8">
        <f>Table3[[#This Row],[PrimaNeta]]*Table3[[#This Row],[Comisión]]</f>
        <v>1128.1142049600001</v>
      </c>
      <c r="V463" s="15">
        <f>Table3[[#This Row],[PrimaComercial Anual]]-Table3[[#This Row],[PrimaComercial Anual]]*SUM(Table3[[#This Row],[APS]:[IVA]])</f>
        <v>5640.5710248000005</v>
      </c>
      <c r="W463" s="2">
        <v>1.4800000000000001E-2</v>
      </c>
      <c r="X463" s="2">
        <v>8.4501000000000007E-2</v>
      </c>
      <c r="Y463">
        <v>0.03</v>
      </c>
      <c r="Z463">
        <v>0.13</v>
      </c>
      <c r="AA463" s="20">
        <f>Table3[[#This Row],[APS]]*Table3[[#This Row],[PrimaComercial Anual]]</f>
        <v>112.70496000000001</v>
      </c>
      <c r="AB463" s="8">
        <f>Table3[[#This Row],[PrimaComercial Anual]]*Table3[[#This Row],[Recargo adicional]]</f>
        <v>643.49201520000008</v>
      </c>
      <c r="AC463" s="8">
        <f>Table3[[#This Row],[PrimaComercial Anual]]*Table3[[#This Row],[IT]]</f>
        <v>228.45600000000002</v>
      </c>
      <c r="AD463" s="8">
        <f>Table3[[#This Row],[PrimaComercial Anual]]*Table3[[#This Row],[IVA]]</f>
        <v>989.97600000000011</v>
      </c>
      <c r="AE463" s="15">
        <f>Table3[[#This Row],[PrimaComercial Anual Asistencia]]</f>
        <v>7615.2000000000007</v>
      </c>
      <c r="AF463">
        <v>638.4</v>
      </c>
      <c r="AG463">
        <v>7615.2000000000007</v>
      </c>
    </row>
    <row r="464" spans="1:33" x14ac:dyDescent="0.25">
      <c r="A464" t="s">
        <v>17</v>
      </c>
      <c r="B464">
        <v>420000</v>
      </c>
      <c r="C464">
        <v>0</v>
      </c>
      <c r="D464" s="2">
        <f>Table3[[#This Row],[PrimaTécnica]]-Table3[[#This Row],[PrimaTécnica]]*SUM(Table3[[#This Row],[Gastos Adm]:[Cobranza]])</f>
        <v>3104.3969195616</v>
      </c>
      <c r="E464">
        <v>0</v>
      </c>
      <c r="F464">
        <v>0.15</v>
      </c>
      <c r="G464">
        <v>0.05</v>
      </c>
      <c r="H464">
        <v>0.01</v>
      </c>
      <c r="I464">
        <v>0.01</v>
      </c>
      <c r="J464" s="8">
        <f>Table3[[#This Row],[PrimaTécnica]]*Table3[[#This Row],[Gastos Adm]]</f>
        <v>596.99940760800007</v>
      </c>
      <c r="K464" s="8">
        <f>Table3[[#This Row],[PrimaTécnica]]*Table3[[#This Row],[Utilidad]]</f>
        <v>198.99980253600003</v>
      </c>
      <c r="L464" s="8">
        <f>Table3[[#This Row],[PrimaTécnica]]*Table3[[#This Row],[Marketing]]</f>
        <v>39.799960507200005</v>
      </c>
      <c r="M464" s="8">
        <f>Table3[[#This Row],[PrimaTécnica]]*Table3[[#This Row],[Cobranza]]</f>
        <v>39.799960507200005</v>
      </c>
      <c r="N46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3979.9960507200003</v>
      </c>
      <c r="O464">
        <v>21.84</v>
      </c>
      <c r="P464">
        <v>54.6</v>
      </c>
      <c r="Q464">
        <v>80.64</v>
      </c>
      <c r="R464">
        <v>44.377200000000002</v>
      </c>
      <c r="S464">
        <v>0.2</v>
      </c>
      <c r="T464">
        <v>0.02</v>
      </c>
      <c r="U464" s="8">
        <f>Table3[[#This Row],[PrimaNeta]]*Table3[[#This Row],[Comisión]]</f>
        <v>1045.36331268</v>
      </c>
      <c r="V464" s="15">
        <f>Table3[[#This Row],[PrimaComercial Anual]]-Table3[[#This Row],[PrimaComercial Anual]]*SUM(Table3[[#This Row],[APS]:[IVA]])</f>
        <v>5226.8165633999997</v>
      </c>
      <c r="W464" s="2">
        <v>1.4800000000000001E-2</v>
      </c>
      <c r="X464" s="2">
        <v>8.4501000000000007E-2</v>
      </c>
      <c r="Y464">
        <v>0.03</v>
      </c>
      <c r="Z464">
        <v>0.13</v>
      </c>
      <c r="AA464" s="20">
        <f>Table3[[#This Row],[APS]]*Table3[[#This Row],[PrimaComercial Anual]]</f>
        <v>104.43768000000001</v>
      </c>
      <c r="AB464" s="8">
        <f>Table3[[#This Row],[PrimaComercial Anual]]*Table3[[#This Row],[Recargo adicional]]</f>
        <v>596.28975660000003</v>
      </c>
      <c r="AC464" s="8">
        <f>Table3[[#This Row],[PrimaComercial Anual]]*Table3[[#This Row],[IT]]</f>
        <v>211.69800000000001</v>
      </c>
      <c r="AD464" s="8">
        <f>Table3[[#This Row],[PrimaComercial Anual]]*Table3[[#This Row],[IVA]]</f>
        <v>917.35800000000006</v>
      </c>
      <c r="AE464" s="15">
        <f>Table3[[#This Row],[PrimaComercial Anual Asistencia]]</f>
        <v>7056.6</v>
      </c>
      <c r="AG464">
        <v>7056.6</v>
      </c>
    </row>
    <row r="465" spans="1:33" x14ac:dyDescent="0.25">
      <c r="A465" t="s">
        <v>17</v>
      </c>
      <c r="B465">
        <v>420000</v>
      </c>
      <c r="C465">
        <v>1</v>
      </c>
      <c r="D465" s="2">
        <f>Table3[[#This Row],[PrimaTécnica]]-Table3[[#This Row],[PrimaTécnica]]*SUM(Table3[[#This Row],[Gastos Adm]:[Cobranza]])</f>
        <v>3104.3969195616</v>
      </c>
      <c r="E465">
        <v>0</v>
      </c>
      <c r="F465">
        <v>0.15</v>
      </c>
      <c r="G465">
        <v>0.05</v>
      </c>
      <c r="H465">
        <v>0.01</v>
      </c>
      <c r="I465">
        <v>0.01</v>
      </c>
      <c r="J465" s="8">
        <f>Table3[[#This Row],[PrimaTécnica]]*Table3[[#This Row],[Gastos Adm]]</f>
        <v>596.99940760800007</v>
      </c>
      <c r="K465" s="8">
        <f>Table3[[#This Row],[PrimaTécnica]]*Table3[[#This Row],[Utilidad]]</f>
        <v>198.99980253600003</v>
      </c>
      <c r="L465" s="8">
        <f>Table3[[#This Row],[PrimaTécnica]]*Table3[[#This Row],[Marketing]]</f>
        <v>39.799960507200005</v>
      </c>
      <c r="M465" s="8">
        <f>Table3[[#This Row],[PrimaTécnica]]*Table3[[#This Row],[Cobranza]]</f>
        <v>39.799960507200005</v>
      </c>
      <c r="N46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3979.9960507200003</v>
      </c>
      <c r="O465">
        <v>21.84</v>
      </c>
      <c r="P465">
        <v>54.6</v>
      </c>
      <c r="Q465">
        <v>80.64</v>
      </c>
      <c r="R465">
        <v>44.377200000000002</v>
      </c>
      <c r="S465">
        <v>0.2</v>
      </c>
      <c r="T465">
        <v>0.02</v>
      </c>
      <c r="U465" s="8">
        <f>Table3[[#This Row],[PrimaNeta]]*Table3[[#This Row],[Comisión]]</f>
        <v>1045.36331268</v>
      </c>
      <c r="V465" s="15">
        <f>Table3[[#This Row],[PrimaComercial Anual]]-Table3[[#This Row],[PrimaComercial Anual]]*SUM(Table3[[#This Row],[APS]:[IVA]])</f>
        <v>5226.8165633999997</v>
      </c>
      <c r="W465" s="2">
        <v>1.4800000000000001E-2</v>
      </c>
      <c r="X465" s="2">
        <v>8.4501000000000007E-2</v>
      </c>
      <c r="Y465">
        <v>0.03</v>
      </c>
      <c r="Z465">
        <v>0.13</v>
      </c>
      <c r="AA465" s="20">
        <f>Table3[[#This Row],[APS]]*Table3[[#This Row],[PrimaComercial Anual]]</f>
        <v>104.43768000000001</v>
      </c>
      <c r="AB465" s="8">
        <f>Table3[[#This Row],[PrimaComercial Anual]]*Table3[[#This Row],[Recargo adicional]]</f>
        <v>596.28975660000003</v>
      </c>
      <c r="AC465" s="8">
        <f>Table3[[#This Row],[PrimaComercial Anual]]*Table3[[#This Row],[IT]]</f>
        <v>211.69800000000001</v>
      </c>
      <c r="AD465" s="8">
        <f>Table3[[#This Row],[PrimaComercial Anual]]*Table3[[#This Row],[IVA]]</f>
        <v>917.35800000000006</v>
      </c>
      <c r="AE465" s="15">
        <f>Table3[[#This Row],[PrimaComercial Anual Asistencia]]</f>
        <v>7056.6</v>
      </c>
      <c r="AG465">
        <v>7056.6</v>
      </c>
    </row>
    <row r="466" spans="1:33" x14ac:dyDescent="0.25">
      <c r="A466" t="s">
        <v>17</v>
      </c>
      <c r="B466">
        <v>420000</v>
      </c>
      <c r="C466">
        <v>2</v>
      </c>
      <c r="D466" s="2">
        <f>Table3[[#This Row],[PrimaTécnica]]-Table3[[#This Row],[PrimaTécnica]]*SUM(Table3[[#This Row],[Gastos Adm]:[Cobranza]])</f>
        <v>3104.3969195616</v>
      </c>
      <c r="E466">
        <v>0</v>
      </c>
      <c r="F466">
        <v>0.15</v>
      </c>
      <c r="G466">
        <v>0.05</v>
      </c>
      <c r="H466">
        <v>0.01</v>
      </c>
      <c r="I466">
        <v>0.01</v>
      </c>
      <c r="J466" s="8">
        <f>Table3[[#This Row],[PrimaTécnica]]*Table3[[#This Row],[Gastos Adm]]</f>
        <v>596.99940760800007</v>
      </c>
      <c r="K466" s="8">
        <f>Table3[[#This Row],[PrimaTécnica]]*Table3[[#This Row],[Utilidad]]</f>
        <v>198.99980253600003</v>
      </c>
      <c r="L466" s="8">
        <f>Table3[[#This Row],[PrimaTécnica]]*Table3[[#This Row],[Marketing]]</f>
        <v>39.799960507200005</v>
      </c>
      <c r="M466" s="8">
        <f>Table3[[#This Row],[PrimaTécnica]]*Table3[[#This Row],[Cobranza]]</f>
        <v>39.799960507200005</v>
      </c>
      <c r="N46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3979.9960507200003</v>
      </c>
      <c r="O466">
        <v>21.84</v>
      </c>
      <c r="P466">
        <v>54.6</v>
      </c>
      <c r="Q466">
        <v>80.64</v>
      </c>
      <c r="R466">
        <v>44.377200000000002</v>
      </c>
      <c r="S466">
        <v>0.2</v>
      </c>
      <c r="T466">
        <v>0.02</v>
      </c>
      <c r="U466" s="8">
        <f>Table3[[#This Row],[PrimaNeta]]*Table3[[#This Row],[Comisión]]</f>
        <v>1045.36331268</v>
      </c>
      <c r="V466" s="15">
        <f>Table3[[#This Row],[PrimaComercial Anual]]-Table3[[#This Row],[PrimaComercial Anual]]*SUM(Table3[[#This Row],[APS]:[IVA]])</f>
        <v>5226.8165633999997</v>
      </c>
      <c r="W466" s="2">
        <v>1.4800000000000001E-2</v>
      </c>
      <c r="X466" s="2">
        <v>8.4501000000000007E-2</v>
      </c>
      <c r="Y466">
        <v>0.03</v>
      </c>
      <c r="Z466">
        <v>0.13</v>
      </c>
      <c r="AA466" s="20">
        <f>Table3[[#This Row],[APS]]*Table3[[#This Row],[PrimaComercial Anual]]</f>
        <v>104.43768000000001</v>
      </c>
      <c r="AB466" s="8">
        <f>Table3[[#This Row],[PrimaComercial Anual]]*Table3[[#This Row],[Recargo adicional]]</f>
        <v>596.28975660000003</v>
      </c>
      <c r="AC466" s="8">
        <f>Table3[[#This Row],[PrimaComercial Anual]]*Table3[[#This Row],[IT]]</f>
        <v>211.69800000000001</v>
      </c>
      <c r="AD466" s="8">
        <f>Table3[[#This Row],[PrimaComercial Anual]]*Table3[[#This Row],[IVA]]</f>
        <v>917.35800000000006</v>
      </c>
      <c r="AE466" s="15">
        <f>Table3[[#This Row],[PrimaComercial Anual Asistencia]]</f>
        <v>7056.6</v>
      </c>
      <c r="AG466">
        <v>7056.6</v>
      </c>
    </row>
    <row r="467" spans="1:33" x14ac:dyDescent="0.25">
      <c r="A467" t="s">
        <v>17</v>
      </c>
      <c r="B467">
        <v>420000</v>
      </c>
      <c r="C467">
        <v>3</v>
      </c>
      <c r="D467" s="2">
        <f>Table3[[#This Row],[PrimaTécnica]]-Table3[[#This Row],[PrimaTécnica]]*SUM(Table3[[#This Row],[Gastos Adm]:[Cobranza]])</f>
        <v>2182.3155484416002</v>
      </c>
      <c r="E467">
        <v>0</v>
      </c>
      <c r="F467">
        <v>0.15</v>
      </c>
      <c r="G467">
        <v>0.05</v>
      </c>
      <c r="H467">
        <v>0.01</v>
      </c>
      <c r="I467">
        <v>0.01</v>
      </c>
      <c r="J467" s="8">
        <f>Table3[[#This Row],[PrimaTécnica]]*Table3[[#This Row],[Gastos Adm]]</f>
        <v>419.67606700800002</v>
      </c>
      <c r="K467" s="8">
        <f>Table3[[#This Row],[PrimaTécnica]]*Table3[[#This Row],[Utilidad]]</f>
        <v>139.89202233600003</v>
      </c>
      <c r="L467" s="8">
        <f>Table3[[#This Row],[PrimaTécnica]]*Table3[[#This Row],[Marketing]]</f>
        <v>27.978404467200004</v>
      </c>
      <c r="M467" s="8">
        <f>Table3[[#This Row],[PrimaTécnica]]*Table3[[#This Row],[Cobranza]]</f>
        <v>27.978404467200004</v>
      </c>
      <c r="N46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467">
        <v>21.84</v>
      </c>
      <c r="P467">
        <v>54.6</v>
      </c>
      <c r="Q467">
        <v>80.64</v>
      </c>
      <c r="R467">
        <v>44.377200000000002</v>
      </c>
      <c r="S467">
        <v>0.2</v>
      </c>
      <c r="T467">
        <v>0.02</v>
      </c>
      <c r="U467" s="8">
        <f>Table3[[#This Row],[PrimaNeta]]*Table3[[#This Row],[Comisión]]</f>
        <v>749.82441168000014</v>
      </c>
      <c r="V467" s="15">
        <f>Table3[[#This Row],[PrimaComercial Anual]]-Table3[[#This Row],[PrimaComercial Anual]]*SUM(Table3[[#This Row],[APS]:[IVA]])</f>
        <v>3749.1220584000002</v>
      </c>
      <c r="W467" s="2">
        <v>1.4800000000000001E-2</v>
      </c>
      <c r="X467" s="2">
        <v>8.4501000000000007E-2</v>
      </c>
      <c r="Y467">
        <v>0.03</v>
      </c>
      <c r="Z467">
        <v>0.13</v>
      </c>
      <c r="AA467" s="20">
        <f>Table3[[#This Row],[APS]]*Table3[[#This Row],[PrimaComercial Anual]]</f>
        <v>74.911680000000004</v>
      </c>
      <c r="AB467" s="8">
        <f>Table3[[#This Row],[PrimaComercial Anual]]*Table3[[#This Row],[Recargo adicional]]</f>
        <v>427.71026160000008</v>
      </c>
      <c r="AC467" s="8">
        <f>Table3[[#This Row],[PrimaComercial Anual]]*Table3[[#This Row],[IT]]</f>
        <v>151.84800000000001</v>
      </c>
      <c r="AD467" s="8">
        <f>Table3[[#This Row],[PrimaComercial Anual]]*Table3[[#This Row],[IVA]]</f>
        <v>658.00800000000004</v>
      </c>
      <c r="AE467" s="15">
        <f>Table3[[#This Row],[PrimaComercial Anual Asistencia]]</f>
        <v>5061.6000000000004</v>
      </c>
      <c r="AG467">
        <v>5061.6000000000004</v>
      </c>
    </row>
    <row r="468" spans="1:33" x14ac:dyDescent="0.25">
      <c r="A468" t="s">
        <v>17</v>
      </c>
      <c r="B468">
        <v>420000</v>
      </c>
      <c r="C468">
        <v>4</v>
      </c>
      <c r="D468" s="2">
        <f>Table3[[#This Row],[PrimaTécnica]]-Table3[[#This Row],[PrimaTécnica]]*SUM(Table3[[#This Row],[Gastos Adm]:[Cobranza]])</f>
        <v>2182.3155484416002</v>
      </c>
      <c r="E468">
        <v>0</v>
      </c>
      <c r="F468">
        <v>0.15</v>
      </c>
      <c r="G468">
        <v>0.05</v>
      </c>
      <c r="H468">
        <v>0.01</v>
      </c>
      <c r="I468">
        <v>0.01</v>
      </c>
      <c r="J468" s="8">
        <f>Table3[[#This Row],[PrimaTécnica]]*Table3[[#This Row],[Gastos Adm]]</f>
        <v>419.67606700800002</v>
      </c>
      <c r="K468" s="8">
        <f>Table3[[#This Row],[PrimaTécnica]]*Table3[[#This Row],[Utilidad]]</f>
        <v>139.89202233600003</v>
      </c>
      <c r="L468" s="8">
        <f>Table3[[#This Row],[PrimaTécnica]]*Table3[[#This Row],[Marketing]]</f>
        <v>27.978404467200004</v>
      </c>
      <c r="M468" s="8">
        <f>Table3[[#This Row],[PrimaTécnica]]*Table3[[#This Row],[Cobranza]]</f>
        <v>27.978404467200004</v>
      </c>
      <c r="N46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468">
        <v>21.84</v>
      </c>
      <c r="P468">
        <v>54.6</v>
      </c>
      <c r="Q468">
        <v>80.64</v>
      </c>
      <c r="R468">
        <v>44.377200000000002</v>
      </c>
      <c r="S468">
        <v>0.2</v>
      </c>
      <c r="T468">
        <v>0.02</v>
      </c>
      <c r="U468" s="8">
        <f>Table3[[#This Row],[PrimaNeta]]*Table3[[#This Row],[Comisión]]</f>
        <v>749.82441168000014</v>
      </c>
      <c r="V468" s="15">
        <f>Table3[[#This Row],[PrimaComercial Anual]]-Table3[[#This Row],[PrimaComercial Anual]]*SUM(Table3[[#This Row],[APS]:[IVA]])</f>
        <v>3749.1220584000002</v>
      </c>
      <c r="W468" s="2">
        <v>1.4800000000000001E-2</v>
      </c>
      <c r="X468" s="2">
        <v>8.4501000000000007E-2</v>
      </c>
      <c r="Y468">
        <v>0.03</v>
      </c>
      <c r="Z468">
        <v>0.13</v>
      </c>
      <c r="AA468" s="20">
        <f>Table3[[#This Row],[APS]]*Table3[[#This Row],[PrimaComercial Anual]]</f>
        <v>74.911680000000004</v>
      </c>
      <c r="AB468" s="8">
        <f>Table3[[#This Row],[PrimaComercial Anual]]*Table3[[#This Row],[Recargo adicional]]</f>
        <v>427.71026160000008</v>
      </c>
      <c r="AC468" s="8">
        <f>Table3[[#This Row],[PrimaComercial Anual]]*Table3[[#This Row],[IT]]</f>
        <v>151.84800000000001</v>
      </c>
      <c r="AD468" s="8">
        <f>Table3[[#This Row],[PrimaComercial Anual]]*Table3[[#This Row],[IVA]]</f>
        <v>658.00800000000004</v>
      </c>
      <c r="AE468" s="15">
        <f>Table3[[#This Row],[PrimaComercial Anual Asistencia]]</f>
        <v>5061.6000000000004</v>
      </c>
      <c r="AG468">
        <v>5061.6000000000004</v>
      </c>
    </row>
    <row r="469" spans="1:33" x14ac:dyDescent="0.25">
      <c r="A469" t="s">
        <v>17</v>
      </c>
      <c r="B469">
        <v>420000</v>
      </c>
      <c r="C469">
        <v>5</v>
      </c>
      <c r="D469" s="2">
        <f>Table3[[#This Row],[PrimaTécnica]]-Table3[[#This Row],[PrimaTécnica]]*SUM(Table3[[#This Row],[Gastos Adm]:[Cobranza]])</f>
        <v>2182.3155484416002</v>
      </c>
      <c r="E469">
        <v>0</v>
      </c>
      <c r="F469">
        <v>0.15</v>
      </c>
      <c r="G469">
        <v>0.05</v>
      </c>
      <c r="H469">
        <v>0.01</v>
      </c>
      <c r="I469">
        <v>0.01</v>
      </c>
      <c r="J469" s="8">
        <f>Table3[[#This Row],[PrimaTécnica]]*Table3[[#This Row],[Gastos Adm]]</f>
        <v>419.67606700800002</v>
      </c>
      <c r="K469" s="8">
        <f>Table3[[#This Row],[PrimaTécnica]]*Table3[[#This Row],[Utilidad]]</f>
        <v>139.89202233600003</v>
      </c>
      <c r="L469" s="8">
        <f>Table3[[#This Row],[PrimaTécnica]]*Table3[[#This Row],[Marketing]]</f>
        <v>27.978404467200004</v>
      </c>
      <c r="M469" s="8">
        <f>Table3[[#This Row],[PrimaTécnica]]*Table3[[#This Row],[Cobranza]]</f>
        <v>27.978404467200004</v>
      </c>
      <c r="N46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469">
        <v>21.84</v>
      </c>
      <c r="P469">
        <v>54.6</v>
      </c>
      <c r="Q469">
        <v>80.64</v>
      </c>
      <c r="R469">
        <v>44.377200000000002</v>
      </c>
      <c r="S469">
        <v>0.2</v>
      </c>
      <c r="T469">
        <v>0.02</v>
      </c>
      <c r="U469" s="8">
        <f>Table3[[#This Row],[PrimaNeta]]*Table3[[#This Row],[Comisión]]</f>
        <v>749.82441168000014</v>
      </c>
      <c r="V469" s="15">
        <f>Table3[[#This Row],[PrimaComercial Anual]]-Table3[[#This Row],[PrimaComercial Anual]]*SUM(Table3[[#This Row],[APS]:[IVA]])</f>
        <v>3749.1220584000002</v>
      </c>
      <c r="W469" s="2">
        <v>1.4800000000000001E-2</v>
      </c>
      <c r="X469" s="2">
        <v>8.4501000000000007E-2</v>
      </c>
      <c r="Y469">
        <v>0.03</v>
      </c>
      <c r="Z469">
        <v>0.13</v>
      </c>
      <c r="AA469" s="20">
        <f>Table3[[#This Row],[APS]]*Table3[[#This Row],[PrimaComercial Anual]]</f>
        <v>74.911680000000004</v>
      </c>
      <c r="AB469" s="8">
        <f>Table3[[#This Row],[PrimaComercial Anual]]*Table3[[#This Row],[Recargo adicional]]</f>
        <v>427.71026160000008</v>
      </c>
      <c r="AC469" s="8">
        <f>Table3[[#This Row],[PrimaComercial Anual]]*Table3[[#This Row],[IT]]</f>
        <v>151.84800000000001</v>
      </c>
      <c r="AD469" s="8">
        <f>Table3[[#This Row],[PrimaComercial Anual]]*Table3[[#This Row],[IVA]]</f>
        <v>658.00800000000004</v>
      </c>
      <c r="AE469" s="15">
        <f>Table3[[#This Row],[PrimaComercial Anual Asistencia]]</f>
        <v>5061.6000000000004</v>
      </c>
      <c r="AG469">
        <v>5061.6000000000004</v>
      </c>
    </row>
    <row r="470" spans="1:33" x14ac:dyDescent="0.25">
      <c r="A470" t="s">
        <v>17</v>
      </c>
      <c r="B470">
        <v>420000</v>
      </c>
      <c r="C470">
        <v>6</v>
      </c>
      <c r="D470" s="2">
        <f>Table3[[#This Row],[PrimaTécnica]]-Table3[[#This Row],[PrimaTécnica]]*SUM(Table3[[#This Row],[Gastos Adm]:[Cobranza]])</f>
        <v>2034.7825290623996</v>
      </c>
      <c r="E470">
        <v>0</v>
      </c>
      <c r="F470">
        <v>0.15</v>
      </c>
      <c r="G470">
        <v>0.05</v>
      </c>
      <c r="H470">
        <v>0.01</v>
      </c>
      <c r="I470">
        <v>0.01</v>
      </c>
      <c r="J470" s="8">
        <f>Table3[[#This Row],[PrimaTécnica]]*Table3[[#This Row],[Gastos Adm]]</f>
        <v>391.30433251199992</v>
      </c>
      <c r="K470" s="8">
        <f>Table3[[#This Row],[PrimaTécnica]]*Table3[[#This Row],[Utilidad]]</f>
        <v>130.43477750399998</v>
      </c>
      <c r="L470" s="8">
        <f>Table3[[#This Row],[PrimaTécnica]]*Table3[[#This Row],[Marketing]]</f>
        <v>26.086955500799995</v>
      </c>
      <c r="M470" s="8">
        <f>Table3[[#This Row],[PrimaTécnica]]*Table3[[#This Row],[Cobranza]]</f>
        <v>26.086955500799995</v>
      </c>
      <c r="N47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2608.6955500799995</v>
      </c>
      <c r="O470">
        <v>21.84</v>
      </c>
      <c r="P470">
        <v>54.6</v>
      </c>
      <c r="Q470">
        <v>80.64</v>
      </c>
      <c r="R470">
        <v>44.377200000000002</v>
      </c>
      <c r="S470">
        <v>0.2</v>
      </c>
      <c r="T470">
        <v>0.02</v>
      </c>
      <c r="U470" s="8">
        <f>Table3[[#This Row],[PrimaNeta]]*Table3[[#This Row],[Comisión]]</f>
        <v>702.53818751999995</v>
      </c>
      <c r="V470" s="15">
        <f>Table3[[#This Row],[PrimaComercial Anual]]-Table3[[#This Row],[PrimaComercial Anual]]*SUM(Table3[[#This Row],[APS]:[IVA]])</f>
        <v>3512.6909375999994</v>
      </c>
      <c r="W470" s="2">
        <v>1.4800000000000001E-2</v>
      </c>
      <c r="X470" s="2">
        <v>8.4501000000000007E-2</v>
      </c>
      <c r="Y470">
        <v>0.03</v>
      </c>
      <c r="Z470">
        <v>0.13</v>
      </c>
      <c r="AA470" s="20">
        <f>Table3[[#This Row],[APS]]*Table3[[#This Row],[PrimaComercial Anual]]</f>
        <v>70.187519999999992</v>
      </c>
      <c r="AB470" s="8">
        <f>Table3[[#This Row],[PrimaComercial Anual]]*Table3[[#This Row],[Recargo adicional]]</f>
        <v>400.7375424</v>
      </c>
      <c r="AC470" s="8">
        <f>Table3[[#This Row],[PrimaComercial Anual]]*Table3[[#This Row],[IT]]</f>
        <v>142.27199999999999</v>
      </c>
      <c r="AD470" s="8">
        <f>Table3[[#This Row],[PrimaComercial Anual]]*Table3[[#This Row],[IVA]]</f>
        <v>616.51199999999994</v>
      </c>
      <c r="AE470" s="15">
        <f>Table3[[#This Row],[PrimaComercial Anual Asistencia]]</f>
        <v>4742.3999999999996</v>
      </c>
      <c r="AG470">
        <v>4742.3999999999996</v>
      </c>
    </row>
    <row r="471" spans="1:33" x14ac:dyDescent="0.25">
      <c r="A471" t="s">
        <v>17</v>
      </c>
      <c r="B471">
        <v>420000</v>
      </c>
      <c r="C471">
        <v>7</v>
      </c>
      <c r="D471" s="2">
        <f>Table3[[#This Row],[PrimaTécnica]]-Table3[[#This Row],[PrimaTécnica]]*SUM(Table3[[#This Row],[Gastos Adm]:[Cobranza]])</f>
        <v>2034.7825290623996</v>
      </c>
      <c r="E471">
        <v>0</v>
      </c>
      <c r="F471">
        <v>0.15</v>
      </c>
      <c r="G471">
        <v>0.05</v>
      </c>
      <c r="H471">
        <v>0.01</v>
      </c>
      <c r="I471">
        <v>0.01</v>
      </c>
      <c r="J471" s="8">
        <f>Table3[[#This Row],[PrimaTécnica]]*Table3[[#This Row],[Gastos Adm]]</f>
        <v>391.30433251199992</v>
      </c>
      <c r="K471" s="8">
        <f>Table3[[#This Row],[PrimaTécnica]]*Table3[[#This Row],[Utilidad]]</f>
        <v>130.43477750399998</v>
      </c>
      <c r="L471" s="8">
        <f>Table3[[#This Row],[PrimaTécnica]]*Table3[[#This Row],[Marketing]]</f>
        <v>26.086955500799995</v>
      </c>
      <c r="M471" s="8">
        <f>Table3[[#This Row],[PrimaTécnica]]*Table3[[#This Row],[Cobranza]]</f>
        <v>26.086955500799995</v>
      </c>
      <c r="N47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2608.6955500799995</v>
      </c>
      <c r="O471">
        <v>21.84</v>
      </c>
      <c r="P471">
        <v>54.6</v>
      </c>
      <c r="Q471">
        <v>80.64</v>
      </c>
      <c r="R471">
        <v>44.377200000000002</v>
      </c>
      <c r="S471">
        <v>0.2</v>
      </c>
      <c r="T471">
        <v>0.02</v>
      </c>
      <c r="U471" s="8">
        <f>Table3[[#This Row],[PrimaNeta]]*Table3[[#This Row],[Comisión]]</f>
        <v>702.53818751999995</v>
      </c>
      <c r="V471" s="15">
        <f>Table3[[#This Row],[PrimaComercial Anual]]-Table3[[#This Row],[PrimaComercial Anual]]*SUM(Table3[[#This Row],[APS]:[IVA]])</f>
        <v>3512.6909375999994</v>
      </c>
      <c r="W471" s="2">
        <v>1.4800000000000001E-2</v>
      </c>
      <c r="X471" s="2">
        <v>8.4501000000000007E-2</v>
      </c>
      <c r="Y471">
        <v>0.03</v>
      </c>
      <c r="Z471">
        <v>0.13</v>
      </c>
      <c r="AA471" s="20">
        <f>Table3[[#This Row],[APS]]*Table3[[#This Row],[PrimaComercial Anual]]</f>
        <v>70.187519999999992</v>
      </c>
      <c r="AB471" s="8">
        <f>Table3[[#This Row],[PrimaComercial Anual]]*Table3[[#This Row],[Recargo adicional]]</f>
        <v>400.7375424</v>
      </c>
      <c r="AC471" s="8">
        <f>Table3[[#This Row],[PrimaComercial Anual]]*Table3[[#This Row],[IT]]</f>
        <v>142.27199999999999</v>
      </c>
      <c r="AD471" s="8">
        <f>Table3[[#This Row],[PrimaComercial Anual]]*Table3[[#This Row],[IVA]]</f>
        <v>616.51199999999994</v>
      </c>
      <c r="AE471" s="15">
        <f>Table3[[#This Row],[PrimaComercial Anual Asistencia]]</f>
        <v>4742.3999999999996</v>
      </c>
      <c r="AG471">
        <v>4742.3999999999996</v>
      </c>
    </row>
    <row r="472" spans="1:33" x14ac:dyDescent="0.25">
      <c r="A472" t="s">
        <v>17</v>
      </c>
      <c r="B472">
        <v>420000</v>
      </c>
      <c r="C472">
        <v>8</v>
      </c>
      <c r="D472" s="2">
        <f>Table3[[#This Row],[PrimaTécnica]]-Table3[[#This Row],[PrimaTécnica]]*SUM(Table3[[#This Row],[Gastos Adm]:[Cobranza]])</f>
        <v>2034.7825290623996</v>
      </c>
      <c r="E472">
        <v>0</v>
      </c>
      <c r="F472">
        <v>0.15</v>
      </c>
      <c r="G472">
        <v>0.05</v>
      </c>
      <c r="H472">
        <v>0.01</v>
      </c>
      <c r="I472">
        <v>0.01</v>
      </c>
      <c r="J472" s="8">
        <f>Table3[[#This Row],[PrimaTécnica]]*Table3[[#This Row],[Gastos Adm]]</f>
        <v>391.30433251199992</v>
      </c>
      <c r="K472" s="8">
        <f>Table3[[#This Row],[PrimaTécnica]]*Table3[[#This Row],[Utilidad]]</f>
        <v>130.43477750399998</v>
      </c>
      <c r="L472" s="8">
        <f>Table3[[#This Row],[PrimaTécnica]]*Table3[[#This Row],[Marketing]]</f>
        <v>26.086955500799995</v>
      </c>
      <c r="M472" s="8">
        <f>Table3[[#This Row],[PrimaTécnica]]*Table3[[#This Row],[Cobranza]]</f>
        <v>26.086955500799995</v>
      </c>
      <c r="N47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2608.6955500799995</v>
      </c>
      <c r="O472">
        <v>21.84</v>
      </c>
      <c r="P472">
        <v>54.6</v>
      </c>
      <c r="Q472">
        <v>80.64</v>
      </c>
      <c r="R472">
        <v>44.377200000000002</v>
      </c>
      <c r="S472">
        <v>0.2</v>
      </c>
      <c r="T472">
        <v>0.02</v>
      </c>
      <c r="U472" s="8">
        <f>Table3[[#This Row],[PrimaNeta]]*Table3[[#This Row],[Comisión]]</f>
        <v>702.53818751999995</v>
      </c>
      <c r="V472" s="15">
        <f>Table3[[#This Row],[PrimaComercial Anual]]-Table3[[#This Row],[PrimaComercial Anual]]*SUM(Table3[[#This Row],[APS]:[IVA]])</f>
        <v>3512.6909375999994</v>
      </c>
      <c r="W472" s="2">
        <v>1.4800000000000001E-2</v>
      </c>
      <c r="X472" s="2">
        <v>8.4501000000000007E-2</v>
      </c>
      <c r="Y472">
        <v>0.03</v>
      </c>
      <c r="Z472">
        <v>0.13</v>
      </c>
      <c r="AA472" s="20">
        <f>Table3[[#This Row],[APS]]*Table3[[#This Row],[PrimaComercial Anual]]</f>
        <v>70.187519999999992</v>
      </c>
      <c r="AB472" s="8">
        <f>Table3[[#This Row],[PrimaComercial Anual]]*Table3[[#This Row],[Recargo adicional]]</f>
        <v>400.7375424</v>
      </c>
      <c r="AC472" s="8">
        <f>Table3[[#This Row],[PrimaComercial Anual]]*Table3[[#This Row],[IT]]</f>
        <v>142.27199999999999</v>
      </c>
      <c r="AD472" s="8">
        <f>Table3[[#This Row],[PrimaComercial Anual]]*Table3[[#This Row],[IVA]]</f>
        <v>616.51199999999994</v>
      </c>
      <c r="AE472" s="15">
        <f>Table3[[#This Row],[PrimaComercial Anual Asistencia]]</f>
        <v>4742.3999999999996</v>
      </c>
      <c r="AG472">
        <v>4742.3999999999996</v>
      </c>
    </row>
    <row r="473" spans="1:33" x14ac:dyDescent="0.25">
      <c r="A473" t="s">
        <v>17</v>
      </c>
      <c r="B473">
        <v>420000</v>
      </c>
      <c r="C473">
        <v>9</v>
      </c>
      <c r="D473" s="2">
        <f>Table3[[#This Row],[PrimaTécnica]]-Table3[[#This Row],[PrimaTécnica]]*SUM(Table3[[#This Row],[Gastos Adm]:[Cobranza]])</f>
        <v>2034.7825290623996</v>
      </c>
      <c r="E473">
        <v>0</v>
      </c>
      <c r="F473">
        <v>0.15</v>
      </c>
      <c r="G473">
        <v>0.05</v>
      </c>
      <c r="H473">
        <v>0.01</v>
      </c>
      <c r="I473">
        <v>0.01</v>
      </c>
      <c r="J473" s="8">
        <f>Table3[[#This Row],[PrimaTécnica]]*Table3[[#This Row],[Gastos Adm]]</f>
        <v>391.30433251199992</v>
      </c>
      <c r="K473" s="8">
        <f>Table3[[#This Row],[PrimaTécnica]]*Table3[[#This Row],[Utilidad]]</f>
        <v>130.43477750399998</v>
      </c>
      <c r="L473" s="8">
        <f>Table3[[#This Row],[PrimaTécnica]]*Table3[[#This Row],[Marketing]]</f>
        <v>26.086955500799995</v>
      </c>
      <c r="M473" s="8">
        <f>Table3[[#This Row],[PrimaTécnica]]*Table3[[#This Row],[Cobranza]]</f>
        <v>26.086955500799995</v>
      </c>
      <c r="N47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2608.6955500799995</v>
      </c>
      <c r="O473">
        <v>21.84</v>
      </c>
      <c r="P473">
        <v>54.6</v>
      </c>
      <c r="Q473">
        <v>80.64</v>
      </c>
      <c r="R473">
        <v>44.377200000000002</v>
      </c>
      <c r="S473">
        <v>0.2</v>
      </c>
      <c r="T473">
        <v>0.02</v>
      </c>
      <c r="U473" s="8">
        <f>Table3[[#This Row],[PrimaNeta]]*Table3[[#This Row],[Comisión]]</f>
        <v>702.53818751999995</v>
      </c>
      <c r="V473" s="15">
        <f>Table3[[#This Row],[PrimaComercial Anual]]-Table3[[#This Row],[PrimaComercial Anual]]*SUM(Table3[[#This Row],[APS]:[IVA]])</f>
        <v>3512.6909375999994</v>
      </c>
      <c r="W473" s="2">
        <v>1.4800000000000001E-2</v>
      </c>
      <c r="X473" s="2">
        <v>8.4501000000000007E-2</v>
      </c>
      <c r="Y473">
        <v>0.03</v>
      </c>
      <c r="Z473">
        <v>0.13</v>
      </c>
      <c r="AA473" s="20">
        <f>Table3[[#This Row],[APS]]*Table3[[#This Row],[PrimaComercial Anual]]</f>
        <v>70.187519999999992</v>
      </c>
      <c r="AB473" s="8">
        <f>Table3[[#This Row],[PrimaComercial Anual]]*Table3[[#This Row],[Recargo adicional]]</f>
        <v>400.7375424</v>
      </c>
      <c r="AC473" s="8">
        <f>Table3[[#This Row],[PrimaComercial Anual]]*Table3[[#This Row],[IT]]</f>
        <v>142.27199999999999</v>
      </c>
      <c r="AD473" s="8">
        <f>Table3[[#This Row],[PrimaComercial Anual]]*Table3[[#This Row],[IVA]]</f>
        <v>616.51199999999994</v>
      </c>
      <c r="AE473" s="15">
        <f>Table3[[#This Row],[PrimaComercial Anual Asistencia]]</f>
        <v>4742.3999999999996</v>
      </c>
      <c r="AG473">
        <v>4742.3999999999996</v>
      </c>
    </row>
    <row r="474" spans="1:33" x14ac:dyDescent="0.25">
      <c r="A474" t="s">
        <v>17</v>
      </c>
      <c r="B474">
        <v>420000</v>
      </c>
      <c r="C474">
        <v>10</v>
      </c>
      <c r="D474" s="2">
        <f>Table3[[#This Row],[PrimaTécnica]]-Table3[[#This Row],[PrimaTécnica]]*SUM(Table3[[#This Row],[Gastos Adm]:[Cobranza]])</f>
        <v>2034.7825290623996</v>
      </c>
      <c r="E474">
        <v>0</v>
      </c>
      <c r="F474">
        <v>0.15</v>
      </c>
      <c r="G474">
        <v>0.05</v>
      </c>
      <c r="H474">
        <v>0.01</v>
      </c>
      <c r="I474">
        <v>0.01</v>
      </c>
      <c r="J474" s="8">
        <f>Table3[[#This Row],[PrimaTécnica]]*Table3[[#This Row],[Gastos Adm]]</f>
        <v>391.30433251199992</v>
      </c>
      <c r="K474" s="8">
        <f>Table3[[#This Row],[PrimaTécnica]]*Table3[[#This Row],[Utilidad]]</f>
        <v>130.43477750399998</v>
      </c>
      <c r="L474" s="8">
        <f>Table3[[#This Row],[PrimaTécnica]]*Table3[[#This Row],[Marketing]]</f>
        <v>26.086955500799995</v>
      </c>
      <c r="M474" s="8">
        <f>Table3[[#This Row],[PrimaTécnica]]*Table3[[#This Row],[Cobranza]]</f>
        <v>26.086955500799995</v>
      </c>
      <c r="N47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2608.6955500799995</v>
      </c>
      <c r="O474">
        <v>21.84</v>
      </c>
      <c r="P474">
        <v>54.6</v>
      </c>
      <c r="Q474">
        <v>80.64</v>
      </c>
      <c r="R474">
        <v>44.377200000000002</v>
      </c>
      <c r="S474">
        <v>0.2</v>
      </c>
      <c r="T474">
        <v>0.02</v>
      </c>
      <c r="U474" s="8">
        <f>Table3[[#This Row],[PrimaNeta]]*Table3[[#This Row],[Comisión]]</f>
        <v>702.53818751999995</v>
      </c>
      <c r="V474" s="15">
        <f>Table3[[#This Row],[PrimaComercial Anual]]-Table3[[#This Row],[PrimaComercial Anual]]*SUM(Table3[[#This Row],[APS]:[IVA]])</f>
        <v>3512.6909375999994</v>
      </c>
      <c r="W474" s="2">
        <v>1.4800000000000001E-2</v>
      </c>
      <c r="X474" s="2">
        <v>8.4501000000000007E-2</v>
      </c>
      <c r="Y474">
        <v>0.03</v>
      </c>
      <c r="Z474">
        <v>0.13</v>
      </c>
      <c r="AA474" s="20">
        <f>Table3[[#This Row],[APS]]*Table3[[#This Row],[PrimaComercial Anual]]</f>
        <v>70.187519999999992</v>
      </c>
      <c r="AB474" s="8">
        <f>Table3[[#This Row],[PrimaComercial Anual]]*Table3[[#This Row],[Recargo adicional]]</f>
        <v>400.7375424</v>
      </c>
      <c r="AC474" s="8">
        <f>Table3[[#This Row],[PrimaComercial Anual]]*Table3[[#This Row],[IT]]</f>
        <v>142.27199999999999</v>
      </c>
      <c r="AD474" s="8">
        <f>Table3[[#This Row],[PrimaComercial Anual]]*Table3[[#This Row],[IVA]]</f>
        <v>616.51199999999994</v>
      </c>
      <c r="AE474" s="15">
        <f>Table3[[#This Row],[PrimaComercial Anual Asistencia]]</f>
        <v>4742.3999999999996</v>
      </c>
      <c r="AG474">
        <v>4742.3999999999996</v>
      </c>
    </row>
    <row r="475" spans="1:33" x14ac:dyDescent="0.25">
      <c r="A475" t="s">
        <v>17</v>
      </c>
      <c r="B475">
        <v>420000</v>
      </c>
      <c r="C475">
        <v>11</v>
      </c>
      <c r="D475" s="2">
        <f>Table3[[#This Row],[PrimaTécnica]]-Table3[[#This Row],[PrimaTécnica]]*SUM(Table3[[#This Row],[Gastos Adm]:[Cobranza]])</f>
        <v>2034.7825290623996</v>
      </c>
      <c r="E475">
        <v>0</v>
      </c>
      <c r="F475">
        <v>0.15</v>
      </c>
      <c r="G475">
        <v>0.05</v>
      </c>
      <c r="H475">
        <v>0.01</v>
      </c>
      <c r="I475">
        <v>0.01</v>
      </c>
      <c r="J475" s="8">
        <f>Table3[[#This Row],[PrimaTécnica]]*Table3[[#This Row],[Gastos Adm]]</f>
        <v>391.30433251199992</v>
      </c>
      <c r="K475" s="8">
        <f>Table3[[#This Row],[PrimaTécnica]]*Table3[[#This Row],[Utilidad]]</f>
        <v>130.43477750399998</v>
      </c>
      <c r="L475" s="8">
        <f>Table3[[#This Row],[PrimaTécnica]]*Table3[[#This Row],[Marketing]]</f>
        <v>26.086955500799995</v>
      </c>
      <c r="M475" s="8">
        <f>Table3[[#This Row],[PrimaTécnica]]*Table3[[#This Row],[Cobranza]]</f>
        <v>26.086955500799995</v>
      </c>
      <c r="N47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2608.6955500799995</v>
      </c>
      <c r="O475">
        <v>21.84</v>
      </c>
      <c r="P475">
        <v>54.6</v>
      </c>
      <c r="Q475">
        <v>80.64</v>
      </c>
      <c r="R475">
        <v>44.377200000000002</v>
      </c>
      <c r="S475">
        <v>0.2</v>
      </c>
      <c r="T475">
        <v>0.02</v>
      </c>
      <c r="U475" s="8">
        <f>Table3[[#This Row],[PrimaNeta]]*Table3[[#This Row],[Comisión]]</f>
        <v>702.53818751999995</v>
      </c>
      <c r="V475" s="15">
        <f>Table3[[#This Row],[PrimaComercial Anual]]-Table3[[#This Row],[PrimaComercial Anual]]*SUM(Table3[[#This Row],[APS]:[IVA]])</f>
        <v>3512.6909375999994</v>
      </c>
      <c r="W475" s="2">
        <v>1.4800000000000001E-2</v>
      </c>
      <c r="X475" s="2">
        <v>8.4501000000000007E-2</v>
      </c>
      <c r="Y475">
        <v>0.03</v>
      </c>
      <c r="Z475">
        <v>0.13</v>
      </c>
      <c r="AA475" s="20">
        <f>Table3[[#This Row],[APS]]*Table3[[#This Row],[PrimaComercial Anual]]</f>
        <v>70.187519999999992</v>
      </c>
      <c r="AB475" s="8">
        <f>Table3[[#This Row],[PrimaComercial Anual]]*Table3[[#This Row],[Recargo adicional]]</f>
        <v>400.7375424</v>
      </c>
      <c r="AC475" s="8">
        <f>Table3[[#This Row],[PrimaComercial Anual]]*Table3[[#This Row],[IT]]</f>
        <v>142.27199999999999</v>
      </c>
      <c r="AD475" s="8">
        <f>Table3[[#This Row],[PrimaComercial Anual]]*Table3[[#This Row],[IVA]]</f>
        <v>616.51199999999994</v>
      </c>
      <c r="AE475" s="15">
        <f>Table3[[#This Row],[PrimaComercial Anual Asistencia]]</f>
        <v>4742.3999999999996</v>
      </c>
      <c r="AG475">
        <v>4742.3999999999996</v>
      </c>
    </row>
    <row r="476" spans="1:33" x14ac:dyDescent="0.25">
      <c r="A476" t="s">
        <v>17</v>
      </c>
      <c r="B476">
        <v>420000</v>
      </c>
      <c r="C476">
        <v>12</v>
      </c>
      <c r="D476" s="2">
        <f>Table3[[#This Row],[PrimaTécnica]]-Table3[[#This Row],[PrimaTécnica]]*SUM(Table3[[#This Row],[Gastos Adm]:[Cobranza]])</f>
        <v>2034.7825290623996</v>
      </c>
      <c r="E476">
        <v>0</v>
      </c>
      <c r="F476">
        <v>0.15</v>
      </c>
      <c r="G476">
        <v>0.05</v>
      </c>
      <c r="H476">
        <v>0.01</v>
      </c>
      <c r="I476">
        <v>0.01</v>
      </c>
      <c r="J476" s="8">
        <f>Table3[[#This Row],[PrimaTécnica]]*Table3[[#This Row],[Gastos Adm]]</f>
        <v>391.30433251199992</v>
      </c>
      <c r="K476" s="8">
        <f>Table3[[#This Row],[PrimaTécnica]]*Table3[[#This Row],[Utilidad]]</f>
        <v>130.43477750399998</v>
      </c>
      <c r="L476" s="8">
        <f>Table3[[#This Row],[PrimaTécnica]]*Table3[[#This Row],[Marketing]]</f>
        <v>26.086955500799995</v>
      </c>
      <c r="M476" s="8">
        <f>Table3[[#This Row],[PrimaTécnica]]*Table3[[#This Row],[Cobranza]]</f>
        <v>26.086955500799995</v>
      </c>
      <c r="N47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2608.6955500799995</v>
      </c>
      <c r="O476">
        <v>21.84</v>
      </c>
      <c r="P476">
        <v>54.6</v>
      </c>
      <c r="Q476">
        <v>80.64</v>
      </c>
      <c r="R476">
        <v>44.377200000000002</v>
      </c>
      <c r="S476">
        <v>0.2</v>
      </c>
      <c r="T476">
        <v>0.02</v>
      </c>
      <c r="U476" s="8">
        <f>Table3[[#This Row],[PrimaNeta]]*Table3[[#This Row],[Comisión]]</f>
        <v>702.53818751999995</v>
      </c>
      <c r="V476" s="15">
        <f>Table3[[#This Row],[PrimaComercial Anual]]-Table3[[#This Row],[PrimaComercial Anual]]*SUM(Table3[[#This Row],[APS]:[IVA]])</f>
        <v>3512.6909375999994</v>
      </c>
      <c r="W476" s="2">
        <v>1.4800000000000001E-2</v>
      </c>
      <c r="X476" s="2">
        <v>8.4501000000000007E-2</v>
      </c>
      <c r="Y476">
        <v>0.03</v>
      </c>
      <c r="Z476">
        <v>0.13</v>
      </c>
      <c r="AA476" s="20">
        <f>Table3[[#This Row],[APS]]*Table3[[#This Row],[PrimaComercial Anual]]</f>
        <v>70.187519999999992</v>
      </c>
      <c r="AB476" s="8">
        <f>Table3[[#This Row],[PrimaComercial Anual]]*Table3[[#This Row],[Recargo adicional]]</f>
        <v>400.7375424</v>
      </c>
      <c r="AC476" s="8">
        <f>Table3[[#This Row],[PrimaComercial Anual]]*Table3[[#This Row],[IT]]</f>
        <v>142.27199999999999</v>
      </c>
      <c r="AD476" s="8">
        <f>Table3[[#This Row],[PrimaComercial Anual]]*Table3[[#This Row],[IVA]]</f>
        <v>616.51199999999994</v>
      </c>
      <c r="AE476" s="15">
        <f>Table3[[#This Row],[PrimaComercial Anual Asistencia]]</f>
        <v>4742.3999999999996</v>
      </c>
      <c r="AG476">
        <v>4742.3999999999996</v>
      </c>
    </row>
    <row r="477" spans="1:33" x14ac:dyDescent="0.25">
      <c r="A477" t="s">
        <v>17</v>
      </c>
      <c r="B477">
        <v>420000</v>
      </c>
      <c r="C477">
        <v>13</v>
      </c>
      <c r="D477" s="2">
        <f>Table3[[#This Row],[PrimaTécnica]]-Table3[[#This Row],[PrimaTécnica]]*SUM(Table3[[#This Row],[Gastos Adm]:[Cobranza]])</f>
        <v>2034.7825290623996</v>
      </c>
      <c r="E477">
        <v>0</v>
      </c>
      <c r="F477">
        <v>0.15</v>
      </c>
      <c r="G477">
        <v>0.05</v>
      </c>
      <c r="H477">
        <v>0.01</v>
      </c>
      <c r="I477">
        <v>0.01</v>
      </c>
      <c r="J477" s="8">
        <f>Table3[[#This Row],[PrimaTécnica]]*Table3[[#This Row],[Gastos Adm]]</f>
        <v>391.30433251199992</v>
      </c>
      <c r="K477" s="8">
        <f>Table3[[#This Row],[PrimaTécnica]]*Table3[[#This Row],[Utilidad]]</f>
        <v>130.43477750399998</v>
      </c>
      <c r="L477" s="8">
        <f>Table3[[#This Row],[PrimaTécnica]]*Table3[[#This Row],[Marketing]]</f>
        <v>26.086955500799995</v>
      </c>
      <c r="M477" s="8">
        <f>Table3[[#This Row],[PrimaTécnica]]*Table3[[#This Row],[Cobranza]]</f>
        <v>26.086955500799995</v>
      </c>
      <c r="N47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2608.6955500799995</v>
      </c>
      <c r="O477">
        <v>21.84</v>
      </c>
      <c r="P477">
        <v>54.6</v>
      </c>
      <c r="Q477">
        <v>80.64</v>
      </c>
      <c r="R477">
        <v>44.377200000000002</v>
      </c>
      <c r="S477">
        <v>0.2</v>
      </c>
      <c r="T477">
        <v>0.02</v>
      </c>
      <c r="U477" s="8">
        <f>Table3[[#This Row],[PrimaNeta]]*Table3[[#This Row],[Comisión]]</f>
        <v>702.53818751999995</v>
      </c>
      <c r="V477" s="15">
        <f>Table3[[#This Row],[PrimaComercial Anual]]-Table3[[#This Row],[PrimaComercial Anual]]*SUM(Table3[[#This Row],[APS]:[IVA]])</f>
        <v>3512.6909375999994</v>
      </c>
      <c r="W477" s="2">
        <v>1.4800000000000001E-2</v>
      </c>
      <c r="X477" s="2">
        <v>8.4501000000000007E-2</v>
      </c>
      <c r="Y477">
        <v>0.03</v>
      </c>
      <c r="Z477">
        <v>0.13</v>
      </c>
      <c r="AA477" s="20">
        <f>Table3[[#This Row],[APS]]*Table3[[#This Row],[PrimaComercial Anual]]</f>
        <v>70.187519999999992</v>
      </c>
      <c r="AB477" s="8">
        <f>Table3[[#This Row],[PrimaComercial Anual]]*Table3[[#This Row],[Recargo adicional]]</f>
        <v>400.7375424</v>
      </c>
      <c r="AC477" s="8">
        <f>Table3[[#This Row],[PrimaComercial Anual]]*Table3[[#This Row],[IT]]</f>
        <v>142.27199999999999</v>
      </c>
      <c r="AD477" s="8">
        <f>Table3[[#This Row],[PrimaComercial Anual]]*Table3[[#This Row],[IVA]]</f>
        <v>616.51199999999994</v>
      </c>
      <c r="AE477" s="15">
        <f>Table3[[#This Row],[PrimaComercial Anual Asistencia]]</f>
        <v>4742.3999999999996</v>
      </c>
      <c r="AG477">
        <v>4742.3999999999996</v>
      </c>
    </row>
    <row r="478" spans="1:33" x14ac:dyDescent="0.25">
      <c r="A478" t="s">
        <v>17</v>
      </c>
      <c r="B478">
        <v>420000</v>
      </c>
      <c r="C478">
        <v>14</v>
      </c>
      <c r="D478" s="2">
        <f>Table3[[#This Row],[PrimaTécnica]]-Table3[[#This Row],[PrimaTécnica]]*SUM(Table3[[#This Row],[Gastos Adm]:[Cobranza]])</f>
        <v>2034.7825290623996</v>
      </c>
      <c r="E478">
        <v>0</v>
      </c>
      <c r="F478">
        <v>0.15</v>
      </c>
      <c r="G478">
        <v>0.05</v>
      </c>
      <c r="H478">
        <v>0.01</v>
      </c>
      <c r="I478">
        <v>0.01</v>
      </c>
      <c r="J478" s="8">
        <f>Table3[[#This Row],[PrimaTécnica]]*Table3[[#This Row],[Gastos Adm]]</f>
        <v>391.30433251199992</v>
      </c>
      <c r="K478" s="8">
        <f>Table3[[#This Row],[PrimaTécnica]]*Table3[[#This Row],[Utilidad]]</f>
        <v>130.43477750399998</v>
      </c>
      <c r="L478" s="8">
        <f>Table3[[#This Row],[PrimaTécnica]]*Table3[[#This Row],[Marketing]]</f>
        <v>26.086955500799995</v>
      </c>
      <c r="M478" s="8">
        <f>Table3[[#This Row],[PrimaTécnica]]*Table3[[#This Row],[Cobranza]]</f>
        <v>26.086955500799995</v>
      </c>
      <c r="N47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2608.6955500799995</v>
      </c>
      <c r="O478">
        <v>21.84</v>
      </c>
      <c r="P478">
        <v>54.6</v>
      </c>
      <c r="Q478">
        <v>80.64</v>
      </c>
      <c r="R478">
        <v>44.377200000000002</v>
      </c>
      <c r="S478">
        <v>0.2</v>
      </c>
      <c r="T478">
        <v>0.02</v>
      </c>
      <c r="U478" s="8">
        <f>Table3[[#This Row],[PrimaNeta]]*Table3[[#This Row],[Comisión]]</f>
        <v>702.53818751999995</v>
      </c>
      <c r="V478" s="15">
        <f>Table3[[#This Row],[PrimaComercial Anual]]-Table3[[#This Row],[PrimaComercial Anual]]*SUM(Table3[[#This Row],[APS]:[IVA]])</f>
        <v>3512.6909375999994</v>
      </c>
      <c r="W478" s="2">
        <v>1.4800000000000001E-2</v>
      </c>
      <c r="X478" s="2">
        <v>8.4501000000000007E-2</v>
      </c>
      <c r="Y478">
        <v>0.03</v>
      </c>
      <c r="Z478">
        <v>0.13</v>
      </c>
      <c r="AA478" s="20">
        <f>Table3[[#This Row],[APS]]*Table3[[#This Row],[PrimaComercial Anual]]</f>
        <v>70.187519999999992</v>
      </c>
      <c r="AB478" s="8">
        <f>Table3[[#This Row],[PrimaComercial Anual]]*Table3[[#This Row],[Recargo adicional]]</f>
        <v>400.7375424</v>
      </c>
      <c r="AC478" s="8">
        <f>Table3[[#This Row],[PrimaComercial Anual]]*Table3[[#This Row],[IT]]</f>
        <v>142.27199999999999</v>
      </c>
      <c r="AD478" s="8">
        <f>Table3[[#This Row],[PrimaComercial Anual]]*Table3[[#This Row],[IVA]]</f>
        <v>616.51199999999994</v>
      </c>
      <c r="AE478" s="15">
        <f>Table3[[#This Row],[PrimaComercial Anual Asistencia]]</f>
        <v>4742.3999999999996</v>
      </c>
      <c r="AG478">
        <v>4742.3999999999996</v>
      </c>
    </row>
    <row r="479" spans="1:33" x14ac:dyDescent="0.25">
      <c r="A479" t="s">
        <v>17</v>
      </c>
      <c r="B479">
        <v>420000</v>
      </c>
      <c r="C479">
        <v>15</v>
      </c>
      <c r="D479" s="2">
        <f>Table3[[#This Row],[PrimaTécnica]]-Table3[[#This Row],[PrimaTécnica]]*SUM(Table3[[#This Row],[Gastos Adm]:[Cobranza]])</f>
        <v>2034.7825290623996</v>
      </c>
      <c r="E479">
        <v>0</v>
      </c>
      <c r="F479">
        <v>0.15</v>
      </c>
      <c r="G479">
        <v>0.05</v>
      </c>
      <c r="H479">
        <v>0.01</v>
      </c>
      <c r="I479">
        <v>0.01</v>
      </c>
      <c r="J479" s="8">
        <f>Table3[[#This Row],[PrimaTécnica]]*Table3[[#This Row],[Gastos Adm]]</f>
        <v>391.30433251199992</v>
      </c>
      <c r="K479" s="8">
        <f>Table3[[#This Row],[PrimaTécnica]]*Table3[[#This Row],[Utilidad]]</f>
        <v>130.43477750399998</v>
      </c>
      <c r="L479" s="8">
        <f>Table3[[#This Row],[PrimaTécnica]]*Table3[[#This Row],[Marketing]]</f>
        <v>26.086955500799995</v>
      </c>
      <c r="M479" s="8">
        <f>Table3[[#This Row],[PrimaTécnica]]*Table3[[#This Row],[Cobranza]]</f>
        <v>26.086955500799995</v>
      </c>
      <c r="N47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2608.6955500799995</v>
      </c>
      <c r="O479">
        <v>21.84</v>
      </c>
      <c r="P479">
        <v>54.6</v>
      </c>
      <c r="Q479">
        <v>80.64</v>
      </c>
      <c r="R479">
        <v>44.377200000000002</v>
      </c>
      <c r="S479">
        <v>0.2</v>
      </c>
      <c r="T479">
        <v>0.02</v>
      </c>
      <c r="U479" s="8">
        <f>Table3[[#This Row],[PrimaNeta]]*Table3[[#This Row],[Comisión]]</f>
        <v>702.53818751999995</v>
      </c>
      <c r="V479" s="15">
        <f>Table3[[#This Row],[PrimaComercial Anual]]-Table3[[#This Row],[PrimaComercial Anual]]*SUM(Table3[[#This Row],[APS]:[IVA]])</f>
        <v>3512.6909375999994</v>
      </c>
      <c r="W479" s="2">
        <v>1.4800000000000001E-2</v>
      </c>
      <c r="X479" s="2">
        <v>8.4501000000000007E-2</v>
      </c>
      <c r="Y479">
        <v>0.03</v>
      </c>
      <c r="Z479">
        <v>0.13</v>
      </c>
      <c r="AA479" s="20">
        <f>Table3[[#This Row],[APS]]*Table3[[#This Row],[PrimaComercial Anual]]</f>
        <v>70.187519999999992</v>
      </c>
      <c r="AB479" s="8">
        <f>Table3[[#This Row],[PrimaComercial Anual]]*Table3[[#This Row],[Recargo adicional]]</f>
        <v>400.7375424</v>
      </c>
      <c r="AC479" s="8">
        <f>Table3[[#This Row],[PrimaComercial Anual]]*Table3[[#This Row],[IT]]</f>
        <v>142.27199999999999</v>
      </c>
      <c r="AD479" s="8">
        <f>Table3[[#This Row],[PrimaComercial Anual]]*Table3[[#This Row],[IVA]]</f>
        <v>616.51199999999994</v>
      </c>
      <c r="AE479" s="15">
        <f>Table3[[#This Row],[PrimaComercial Anual Asistencia]]</f>
        <v>4742.3999999999996</v>
      </c>
      <c r="AG479">
        <v>4742.3999999999996</v>
      </c>
    </row>
    <row r="480" spans="1:33" x14ac:dyDescent="0.25">
      <c r="A480" t="s">
        <v>17</v>
      </c>
      <c r="B480">
        <v>420000</v>
      </c>
      <c r="C480">
        <v>16</v>
      </c>
      <c r="D480" s="2">
        <f>Table3[[#This Row],[PrimaTécnica]]-Table3[[#This Row],[PrimaTécnica]]*SUM(Table3[[#This Row],[Gastos Adm]:[Cobranza]])</f>
        <v>2034.7825290623996</v>
      </c>
      <c r="E480">
        <v>0</v>
      </c>
      <c r="F480">
        <v>0.15</v>
      </c>
      <c r="G480">
        <v>0.05</v>
      </c>
      <c r="H480">
        <v>0.01</v>
      </c>
      <c r="I480">
        <v>0.01</v>
      </c>
      <c r="J480" s="8">
        <f>Table3[[#This Row],[PrimaTécnica]]*Table3[[#This Row],[Gastos Adm]]</f>
        <v>391.30433251199992</v>
      </c>
      <c r="K480" s="8">
        <f>Table3[[#This Row],[PrimaTécnica]]*Table3[[#This Row],[Utilidad]]</f>
        <v>130.43477750399998</v>
      </c>
      <c r="L480" s="8">
        <f>Table3[[#This Row],[PrimaTécnica]]*Table3[[#This Row],[Marketing]]</f>
        <v>26.086955500799995</v>
      </c>
      <c r="M480" s="8">
        <f>Table3[[#This Row],[PrimaTécnica]]*Table3[[#This Row],[Cobranza]]</f>
        <v>26.086955500799995</v>
      </c>
      <c r="N48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2608.6955500799995</v>
      </c>
      <c r="O480">
        <v>21.84</v>
      </c>
      <c r="P480">
        <v>54.6</v>
      </c>
      <c r="Q480">
        <v>80.64</v>
      </c>
      <c r="R480">
        <v>44.377200000000002</v>
      </c>
      <c r="S480">
        <v>0.2</v>
      </c>
      <c r="T480">
        <v>0.02</v>
      </c>
      <c r="U480" s="8">
        <f>Table3[[#This Row],[PrimaNeta]]*Table3[[#This Row],[Comisión]]</f>
        <v>702.53818751999995</v>
      </c>
      <c r="V480" s="15">
        <f>Table3[[#This Row],[PrimaComercial Anual]]-Table3[[#This Row],[PrimaComercial Anual]]*SUM(Table3[[#This Row],[APS]:[IVA]])</f>
        <v>3512.6909375999994</v>
      </c>
      <c r="W480" s="2">
        <v>1.4800000000000001E-2</v>
      </c>
      <c r="X480" s="2">
        <v>8.4501000000000007E-2</v>
      </c>
      <c r="Y480">
        <v>0.03</v>
      </c>
      <c r="Z480">
        <v>0.13</v>
      </c>
      <c r="AA480" s="20">
        <f>Table3[[#This Row],[APS]]*Table3[[#This Row],[PrimaComercial Anual]]</f>
        <v>70.187519999999992</v>
      </c>
      <c r="AB480" s="8">
        <f>Table3[[#This Row],[PrimaComercial Anual]]*Table3[[#This Row],[Recargo adicional]]</f>
        <v>400.7375424</v>
      </c>
      <c r="AC480" s="8">
        <f>Table3[[#This Row],[PrimaComercial Anual]]*Table3[[#This Row],[IT]]</f>
        <v>142.27199999999999</v>
      </c>
      <c r="AD480" s="8">
        <f>Table3[[#This Row],[PrimaComercial Anual]]*Table3[[#This Row],[IVA]]</f>
        <v>616.51199999999994</v>
      </c>
      <c r="AE480" s="15">
        <f>Table3[[#This Row],[PrimaComercial Anual Asistencia]]</f>
        <v>4742.3999999999996</v>
      </c>
      <c r="AG480">
        <v>4742.3999999999996</v>
      </c>
    </row>
    <row r="481" spans="1:33" x14ac:dyDescent="0.25">
      <c r="A481" t="s">
        <v>17</v>
      </c>
      <c r="B481">
        <v>420000</v>
      </c>
      <c r="C481">
        <v>17</v>
      </c>
      <c r="D481" s="2">
        <f>Table3[[#This Row],[PrimaTécnica]]-Table3[[#This Row],[PrimaTécnica]]*SUM(Table3[[#This Row],[Gastos Adm]:[Cobranza]])</f>
        <v>2034.7825290623996</v>
      </c>
      <c r="E481">
        <v>0</v>
      </c>
      <c r="F481">
        <v>0.15</v>
      </c>
      <c r="G481">
        <v>0.05</v>
      </c>
      <c r="H481">
        <v>0.01</v>
      </c>
      <c r="I481">
        <v>0.01</v>
      </c>
      <c r="J481" s="8">
        <f>Table3[[#This Row],[PrimaTécnica]]*Table3[[#This Row],[Gastos Adm]]</f>
        <v>391.30433251199992</v>
      </c>
      <c r="K481" s="8">
        <f>Table3[[#This Row],[PrimaTécnica]]*Table3[[#This Row],[Utilidad]]</f>
        <v>130.43477750399998</v>
      </c>
      <c r="L481" s="8">
        <f>Table3[[#This Row],[PrimaTécnica]]*Table3[[#This Row],[Marketing]]</f>
        <v>26.086955500799995</v>
      </c>
      <c r="M481" s="8">
        <f>Table3[[#This Row],[PrimaTécnica]]*Table3[[#This Row],[Cobranza]]</f>
        <v>26.086955500799995</v>
      </c>
      <c r="N48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2608.6955500799995</v>
      </c>
      <c r="O481">
        <v>21.84</v>
      </c>
      <c r="P481">
        <v>54.6</v>
      </c>
      <c r="Q481">
        <v>80.64</v>
      </c>
      <c r="R481">
        <v>44.377200000000002</v>
      </c>
      <c r="S481">
        <v>0.2</v>
      </c>
      <c r="T481">
        <v>0.02</v>
      </c>
      <c r="U481" s="8">
        <f>Table3[[#This Row],[PrimaNeta]]*Table3[[#This Row],[Comisión]]</f>
        <v>702.53818751999995</v>
      </c>
      <c r="V481" s="15">
        <f>Table3[[#This Row],[PrimaComercial Anual]]-Table3[[#This Row],[PrimaComercial Anual]]*SUM(Table3[[#This Row],[APS]:[IVA]])</f>
        <v>3512.6909375999994</v>
      </c>
      <c r="W481" s="2">
        <v>1.4800000000000001E-2</v>
      </c>
      <c r="X481" s="2">
        <v>8.4501000000000007E-2</v>
      </c>
      <c r="Y481">
        <v>0.03</v>
      </c>
      <c r="Z481">
        <v>0.13</v>
      </c>
      <c r="AA481" s="20">
        <f>Table3[[#This Row],[APS]]*Table3[[#This Row],[PrimaComercial Anual]]</f>
        <v>70.187519999999992</v>
      </c>
      <c r="AB481" s="8">
        <f>Table3[[#This Row],[PrimaComercial Anual]]*Table3[[#This Row],[Recargo adicional]]</f>
        <v>400.7375424</v>
      </c>
      <c r="AC481" s="8">
        <f>Table3[[#This Row],[PrimaComercial Anual]]*Table3[[#This Row],[IT]]</f>
        <v>142.27199999999999</v>
      </c>
      <c r="AD481" s="8">
        <f>Table3[[#This Row],[PrimaComercial Anual]]*Table3[[#This Row],[IVA]]</f>
        <v>616.51199999999994</v>
      </c>
      <c r="AE481" s="15">
        <f>Table3[[#This Row],[PrimaComercial Anual Asistencia]]</f>
        <v>4742.3999999999996</v>
      </c>
      <c r="AG481">
        <v>4742.3999999999996</v>
      </c>
    </row>
    <row r="482" spans="1:33" x14ac:dyDescent="0.25">
      <c r="A482" t="s">
        <v>17</v>
      </c>
      <c r="B482">
        <v>420000</v>
      </c>
      <c r="C482">
        <v>18</v>
      </c>
      <c r="D482" s="2">
        <f>Table3[[#This Row],[PrimaTécnica]]-Table3[[#This Row],[PrimaTécnica]]*SUM(Table3[[#This Row],[Gastos Adm]:[Cobranza]])</f>
        <v>2034.7825290623996</v>
      </c>
      <c r="E482">
        <v>0</v>
      </c>
      <c r="F482">
        <v>0.15</v>
      </c>
      <c r="G482">
        <v>0.05</v>
      </c>
      <c r="H482">
        <v>0.01</v>
      </c>
      <c r="I482">
        <v>0.01</v>
      </c>
      <c r="J482" s="8">
        <f>Table3[[#This Row],[PrimaTécnica]]*Table3[[#This Row],[Gastos Adm]]</f>
        <v>391.30433251199992</v>
      </c>
      <c r="K482" s="8">
        <f>Table3[[#This Row],[PrimaTécnica]]*Table3[[#This Row],[Utilidad]]</f>
        <v>130.43477750399998</v>
      </c>
      <c r="L482" s="8">
        <f>Table3[[#This Row],[PrimaTécnica]]*Table3[[#This Row],[Marketing]]</f>
        <v>26.086955500799995</v>
      </c>
      <c r="M482" s="8">
        <f>Table3[[#This Row],[PrimaTécnica]]*Table3[[#This Row],[Cobranza]]</f>
        <v>26.086955500799995</v>
      </c>
      <c r="N48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2608.6955500799995</v>
      </c>
      <c r="O482">
        <v>21.84</v>
      </c>
      <c r="P482">
        <v>54.6</v>
      </c>
      <c r="Q482">
        <v>80.64</v>
      </c>
      <c r="R482">
        <v>44.377200000000002</v>
      </c>
      <c r="S482">
        <v>0.2</v>
      </c>
      <c r="T482">
        <v>0.02</v>
      </c>
      <c r="U482" s="8">
        <f>Table3[[#This Row],[PrimaNeta]]*Table3[[#This Row],[Comisión]]</f>
        <v>702.53818751999995</v>
      </c>
      <c r="V482" s="15">
        <f>Table3[[#This Row],[PrimaComercial Anual]]-Table3[[#This Row],[PrimaComercial Anual]]*SUM(Table3[[#This Row],[APS]:[IVA]])</f>
        <v>3512.6909375999994</v>
      </c>
      <c r="W482" s="2">
        <v>1.4800000000000001E-2</v>
      </c>
      <c r="X482" s="2">
        <v>8.4501000000000007E-2</v>
      </c>
      <c r="Y482">
        <v>0.03</v>
      </c>
      <c r="Z482">
        <v>0.13</v>
      </c>
      <c r="AA482" s="20">
        <f>Table3[[#This Row],[APS]]*Table3[[#This Row],[PrimaComercial Anual]]</f>
        <v>70.187519999999992</v>
      </c>
      <c r="AB482" s="8">
        <f>Table3[[#This Row],[PrimaComercial Anual]]*Table3[[#This Row],[Recargo adicional]]</f>
        <v>400.7375424</v>
      </c>
      <c r="AC482" s="8">
        <f>Table3[[#This Row],[PrimaComercial Anual]]*Table3[[#This Row],[IT]]</f>
        <v>142.27199999999999</v>
      </c>
      <c r="AD482" s="8">
        <f>Table3[[#This Row],[PrimaComercial Anual]]*Table3[[#This Row],[IVA]]</f>
        <v>616.51199999999994</v>
      </c>
      <c r="AE482" s="15">
        <f>Table3[[#This Row],[PrimaComercial Anual Asistencia]]</f>
        <v>4742.3999999999996</v>
      </c>
      <c r="AG482">
        <v>4742.3999999999996</v>
      </c>
    </row>
    <row r="483" spans="1:33" x14ac:dyDescent="0.25">
      <c r="A483" t="s">
        <v>17</v>
      </c>
      <c r="B483">
        <v>420000</v>
      </c>
      <c r="C483">
        <v>19</v>
      </c>
      <c r="D483" s="2">
        <f>Table3[[#This Row],[PrimaTécnica]]-Table3[[#This Row],[PrimaTécnica]]*SUM(Table3[[#This Row],[Gastos Adm]:[Cobranza]])</f>
        <v>1924.1327645280001</v>
      </c>
      <c r="E483">
        <v>0</v>
      </c>
      <c r="F483">
        <v>0.15</v>
      </c>
      <c r="G483">
        <v>0.05</v>
      </c>
      <c r="H483">
        <v>0.01</v>
      </c>
      <c r="I483">
        <v>0.01</v>
      </c>
      <c r="J483" s="8">
        <f>Table3[[#This Row],[PrimaTécnica]]*Table3[[#This Row],[Gastos Adm]]</f>
        <v>370.02553164</v>
      </c>
      <c r="K483" s="8">
        <f>Table3[[#This Row],[PrimaTécnica]]*Table3[[#This Row],[Utilidad]]</f>
        <v>123.34184388000001</v>
      </c>
      <c r="L483" s="8">
        <f>Table3[[#This Row],[PrimaTécnica]]*Table3[[#This Row],[Marketing]]</f>
        <v>24.668368776000001</v>
      </c>
      <c r="M483" s="8">
        <f>Table3[[#This Row],[PrimaTécnica]]*Table3[[#This Row],[Cobranza]]</f>
        <v>24.668368776000001</v>
      </c>
      <c r="N48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2466.8368776000002</v>
      </c>
      <c r="O483">
        <v>21.84</v>
      </c>
      <c r="P483">
        <v>54.6</v>
      </c>
      <c r="Q483">
        <v>80.64</v>
      </c>
      <c r="R483">
        <v>44.377200000000002</v>
      </c>
      <c r="S483">
        <v>0.2</v>
      </c>
      <c r="T483">
        <v>0.02</v>
      </c>
      <c r="U483" s="8">
        <f>Table3[[#This Row],[PrimaNeta]]*Table3[[#This Row],[Comisión]]</f>
        <v>667.07351940000001</v>
      </c>
      <c r="V483" s="15">
        <f>Table3[[#This Row],[PrimaComercial Anual]]-Table3[[#This Row],[PrimaComercial Anual]]*SUM(Table3[[#This Row],[APS]:[IVA]])</f>
        <v>3335.3675969999999</v>
      </c>
      <c r="W483" s="2">
        <v>1.4800000000000001E-2</v>
      </c>
      <c r="X483" s="2">
        <v>8.4501000000000007E-2</v>
      </c>
      <c r="Y483">
        <v>0.03</v>
      </c>
      <c r="Z483">
        <v>0.13</v>
      </c>
      <c r="AA483" s="20">
        <f>Table3[[#This Row],[APS]]*Table3[[#This Row],[PrimaComercial Anual]]</f>
        <v>66.644400000000005</v>
      </c>
      <c r="AB483" s="8">
        <f>Table3[[#This Row],[PrimaComercial Anual]]*Table3[[#This Row],[Recargo adicional]]</f>
        <v>380.50800300000003</v>
      </c>
      <c r="AC483" s="8">
        <f>Table3[[#This Row],[PrimaComercial Anual]]*Table3[[#This Row],[IT]]</f>
        <v>135.09</v>
      </c>
      <c r="AD483" s="8">
        <f>Table3[[#This Row],[PrimaComercial Anual]]*Table3[[#This Row],[IVA]]</f>
        <v>585.39</v>
      </c>
      <c r="AE483" s="15">
        <f>Table3[[#This Row],[PrimaComercial Anual Asistencia]]</f>
        <v>4503</v>
      </c>
      <c r="AG483">
        <v>4503</v>
      </c>
    </row>
    <row r="484" spans="1:33" x14ac:dyDescent="0.25">
      <c r="A484" t="s">
        <v>17</v>
      </c>
      <c r="B484">
        <v>420000</v>
      </c>
      <c r="C484">
        <v>20</v>
      </c>
      <c r="D484" s="2">
        <f>Table3[[#This Row],[PrimaTécnica]]-Table3[[#This Row],[PrimaTécnica]]*SUM(Table3[[#This Row],[Gastos Adm]:[Cobranza]])</f>
        <v>1924.1327645280001</v>
      </c>
      <c r="E484">
        <v>0</v>
      </c>
      <c r="F484">
        <v>0.15</v>
      </c>
      <c r="G484">
        <v>0.05</v>
      </c>
      <c r="H484">
        <v>0.01</v>
      </c>
      <c r="I484">
        <v>0.01</v>
      </c>
      <c r="J484" s="8">
        <f>Table3[[#This Row],[PrimaTécnica]]*Table3[[#This Row],[Gastos Adm]]</f>
        <v>370.02553164</v>
      </c>
      <c r="K484" s="8">
        <f>Table3[[#This Row],[PrimaTécnica]]*Table3[[#This Row],[Utilidad]]</f>
        <v>123.34184388000001</v>
      </c>
      <c r="L484" s="8">
        <f>Table3[[#This Row],[PrimaTécnica]]*Table3[[#This Row],[Marketing]]</f>
        <v>24.668368776000001</v>
      </c>
      <c r="M484" s="8">
        <f>Table3[[#This Row],[PrimaTécnica]]*Table3[[#This Row],[Cobranza]]</f>
        <v>24.668368776000001</v>
      </c>
      <c r="N48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2466.8368776000002</v>
      </c>
      <c r="O484">
        <v>21.84</v>
      </c>
      <c r="P484">
        <v>54.6</v>
      </c>
      <c r="Q484">
        <v>80.64</v>
      </c>
      <c r="R484">
        <v>44.377200000000002</v>
      </c>
      <c r="S484">
        <v>0.2</v>
      </c>
      <c r="T484">
        <v>0.02</v>
      </c>
      <c r="U484" s="8">
        <f>Table3[[#This Row],[PrimaNeta]]*Table3[[#This Row],[Comisión]]</f>
        <v>667.07351940000001</v>
      </c>
      <c r="V484" s="15">
        <f>Table3[[#This Row],[PrimaComercial Anual]]-Table3[[#This Row],[PrimaComercial Anual]]*SUM(Table3[[#This Row],[APS]:[IVA]])</f>
        <v>3335.3675969999999</v>
      </c>
      <c r="W484" s="2">
        <v>1.4800000000000001E-2</v>
      </c>
      <c r="X484" s="2">
        <v>8.4501000000000007E-2</v>
      </c>
      <c r="Y484">
        <v>0.03</v>
      </c>
      <c r="Z484">
        <v>0.13</v>
      </c>
      <c r="AA484" s="20">
        <f>Table3[[#This Row],[APS]]*Table3[[#This Row],[PrimaComercial Anual]]</f>
        <v>66.644400000000005</v>
      </c>
      <c r="AB484" s="8">
        <f>Table3[[#This Row],[PrimaComercial Anual]]*Table3[[#This Row],[Recargo adicional]]</f>
        <v>380.50800300000003</v>
      </c>
      <c r="AC484" s="8">
        <f>Table3[[#This Row],[PrimaComercial Anual]]*Table3[[#This Row],[IT]]</f>
        <v>135.09</v>
      </c>
      <c r="AD484" s="8">
        <f>Table3[[#This Row],[PrimaComercial Anual]]*Table3[[#This Row],[IVA]]</f>
        <v>585.39</v>
      </c>
      <c r="AE484" s="15">
        <f>Table3[[#This Row],[PrimaComercial Anual Asistencia]]</f>
        <v>4503</v>
      </c>
      <c r="AG484">
        <v>4503</v>
      </c>
    </row>
    <row r="485" spans="1:33" x14ac:dyDescent="0.25">
      <c r="A485" t="s">
        <v>17</v>
      </c>
      <c r="B485">
        <v>420000</v>
      </c>
      <c r="C485">
        <v>21</v>
      </c>
      <c r="D485" s="2">
        <f>Table3[[#This Row],[PrimaTécnica]]-Table3[[#This Row],[PrimaTécnica]]*SUM(Table3[[#This Row],[Gastos Adm]:[Cobranza]])</f>
        <v>1924.1327645280001</v>
      </c>
      <c r="E485">
        <v>0</v>
      </c>
      <c r="F485">
        <v>0.15</v>
      </c>
      <c r="G485">
        <v>0.05</v>
      </c>
      <c r="H485">
        <v>0.01</v>
      </c>
      <c r="I485">
        <v>0.01</v>
      </c>
      <c r="J485" s="8">
        <f>Table3[[#This Row],[PrimaTécnica]]*Table3[[#This Row],[Gastos Adm]]</f>
        <v>370.02553164</v>
      </c>
      <c r="K485" s="8">
        <f>Table3[[#This Row],[PrimaTécnica]]*Table3[[#This Row],[Utilidad]]</f>
        <v>123.34184388000001</v>
      </c>
      <c r="L485" s="8">
        <f>Table3[[#This Row],[PrimaTécnica]]*Table3[[#This Row],[Marketing]]</f>
        <v>24.668368776000001</v>
      </c>
      <c r="M485" s="8">
        <f>Table3[[#This Row],[PrimaTécnica]]*Table3[[#This Row],[Cobranza]]</f>
        <v>24.668368776000001</v>
      </c>
      <c r="N48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2466.8368776000002</v>
      </c>
      <c r="O485">
        <v>21.84</v>
      </c>
      <c r="P485">
        <v>54.6</v>
      </c>
      <c r="Q485">
        <v>80.64</v>
      </c>
      <c r="R485">
        <v>44.377200000000002</v>
      </c>
      <c r="S485">
        <v>0.2</v>
      </c>
      <c r="T485">
        <v>0.02</v>
      </c>
      <c r="U485" s="8">
        <f>Table3[[#This Row],[PrimaNeta]]*Table3[[#This Row],[Comisión]]</f>
        <v>667.07351940000001</v>
      </c>
      <c r="V485" s="15">
        <f>Table3[[#This Row],[PrimaComercial Anual]]-Table3[[#This Row],[PrimaComercial Anual]]*SUM(Table3[[#This Row],[APS]:[IVA]])</f>
        <v>3335.3675969999999</v>
      </c>
      <c r="W485" s="2">
        <v>1.4800000000000001E-2</v>
      </c>
      <c r="X485" s="2">
        <v>8.4501000000000007E-2</v>
      </c>
      <c r="Y485">
        <v>0.03</v>
      </c>
      <c r="Z485">
        <v>0.13</v>
      </c>
      <c r="AA485" s="20">
        <f>Table3[[#This Row],[APS]]*Table3[[#This Row],[PrimaComercial Anual]]</f>
        <v>66.644400000000005</v>
      </c>
      <c r="AB485" s="8">
        <f>Table3[[#This Row],[PrimaComercial Anual]]*Table3[[#This Row],[Recargo adicional]]</f>
        <v>380.50800300000003</v>
      </c>
      <c r="AC485" s="8">
        <f>Table3[[#This Row],[PrimaComercial Anual]]*Table3[[#This Row],[IT]]</f>
        <v>135.09</v>
      </c>
      <c r="AD485" s="8">
        <f>Table3[[#This Row],[PrimaComercial Anual]]*Table3[[#This Row],[IVA]]</f>
        <v>585.39</v>
      </c>
      <c r="AE485" s="15">
        <f>Table3[[#This Row],[PrimaComercial Anual Asistencia]]</f>
        <v>4503</v>
      </c>
      <c r="AG485">
        <v>4503</v>
      </c>
    </row>
    <row r="486" spans="1:33" x14ac:dyDescent="0.25">
      <c r="A486" t="s">
        <v>17</v>
      </c>
      <c r="B486">
        <v>420000</v>
      </c>
      <c r="C486">
        <v>22</v>
      </c>
      <c r="D486" s="2">
        <f>Table3[[#This Row],[PrimaTécnica]]-Table3[[#This Row],[PrimaTécnica]]*SUM(Table3[[#This Row],[Gastos Adm]:[Cobranza]])</f>
        <v>1924.1327645280001</v>
      </c>
      <c r="E486">
        <v>0</v>
      </c>
      <c r="F486">
        <v>0.15</v>
      </c>
      <c r="G486">
        <v>0.05</v>
      </c>
      <c r="H486">
        <v>0.01</v>
      </c>
      <c r="I486">
        <v>0.01</v>
      </c>
      <c r="J486" s="8">
        <f>Table3[[#This Row],[PrimaTécnica]]*Table3[[#This Row],[Gastos Adm]]</f>
        <v>370.02553164</v>
      </c>
      <c r="K486" s="8">
        <f>Table3[[#This Row],[PrimaTécnica]]*Table3[[#This Row],[Utilidad]]</f>
        <v>123.34184388000001</v>
      </c>
      <c r="L486" s="8">
        <f>Table3[[#This Row],[PrimaTécnica]]*Table3[[#This Row],[Marketing]]</f>
        <v>24.668368776000001</v>
      </c>
      <c r="M486" s="8">
        <f>Table3[[#This Row],[PrimaTécnica]]*Table3[[#This Row],[Cobranza]]</f>
        <v>24.668368776000001</v>
      </c>
      <c r="N48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2466.8368776000002</v>
      </c>
      <c r="O486">
        <v>21.84</v>
      </c>
      <c r="P486">
        <v>54.6</v>
      </c>
      <c r="Q486">
        <v>80.64</v>
      </c>
      <c r="R486">
        <v>44.377200000000002</v>
      </c>
      <c r="S486">
        <v>0.2</v>
      </c>
      <c r="T486">
        <v>0.02</v>
      </c>
      <c r="U486" s="8">
        <f>Table3[[#This Row],[PrimaNeta]]*Table3[[#This Row],[Comisión]]</f>
        <v>667.07351940000001</v>
      </c>
      <c r="V486" s="15">
        <f>Table3[[#This Row],[PrimaComercial Anual]]-Table3[[#This Row],[PrimaComercial Anual]]*SUM(Table3[[#This Row],[APS]:[IVA]])</f>
        <v>3335.3675969999999</v>
      </c>
      <c r="W486" s="2">
        <v>1.4800000000000001E-2</v>
      </c>
      <c r="X486" s="2">
        <v>8.4501000000000007E-2</v>
      </c>
      <c r="Y486">
        <v>0.03</v>
      </c>
      <c r="Z486">
        <v>0.13</v>
      </c>
      <c r="AA486" s="20">
        <f>Table3[[#This Row],[APS]]*Table3[[#This Row],[PrimaComercial Anual]]</f>
        <v>66.644400000000005</v>
      </c>
      <c r="AB486" s="8">
        <f>Table3[[#This Row],[PrimaComercial Anual]]*Table3[[#This Row],[Recargo adicional]]</f>
        <v>380.50800300000003</v>
      </c>
      <c r="AC486" s="8">
        <f>Table3[[#This Row],[PrimaComercial Anual]]*Table3[[#This Row],[IT]]</f>
        <v>135.09</v>
      </c>
      <c r="AD486" s="8">
        <f>Table3[[#This Row],[PrimaComercial Anual]]*Table3[[#This Row],[IVA]]</f>
        <v>585.39</v>
      </c>
      <c r="AE486" s="15">
        <f>Table3[[#This Row],[PrimaComercial Anual Asistencia]]</f>
        <v>4503</v>
      </c>
      <c r="AG486">
        <v>4503</v>
      </c>
    </row>
    <row r="487" spans="1:33" x14ac:dyDescent="0.25">
      <c r="A487" t="s">
        <v>17</v>
      </c>
      <c r="B487">
        <v>420000</v>
      </c>
      <c r="C487">
        <v>23</v>
      </c>
      <c r="D487" s="2">
        <f>Table3[[#This Row],[PrimaTécnica]]-Table3[[#This Row],[PrimaTécnica]]*SUM(Table3[[#This Row],[Gastos Adm]:[Cobranza]])</f>
        <v>1924.1327645280001</v>
      </c>
      <c r="E487">
        <v>0</v>
      </c>
      <c r="F487">
        <v>0.15</v>
      </c>
      <c r="G487">
        <v>0.05</v>
      </c>
      <c r="H487">
        <v>0.01</v>
      </c>
      <c r="I487">
        <v>0.01</v>
      </c>
      <c r="J487" s="8">
        <f>Table3[[#This Row],[PrimaTécnica]]*Table3[[#This Row],[Gastos Adm]]</f>
        <v>370.02553164</v>
      </c>
      <c r="K487" s="8">
        <f>Table3[[#This Row],[PrimaTécnica]]*Table3[[#This Row],[Utilidad]]</f>
        <v>123.34184388000001</v>
      </c>
      <c r="L487" s="8">
        <f>Table3[[#This Row],[PrimaTécnica]]*Table3[[#This Row],[Marketing]]</f>
        <v>24.668368776000001</v>
      </c>
      <c r="M487" s="8">
        <f>Table3[[#This Row],[PrimaTécnica]]*Table3[[#This Row],[Cobranza]]</f>
        <v>24.668368776000001</v>
      </c>
      <c r="N48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2466.8368776000002</v>
      </c>
      <c r="O487">
        <v>21.84</v>
      </c>
      <c r="P487">
        <v>54.6</v>
      </c>
      <c r="Q487">
        <v>80.64</v>
      </c>
      <c r="R487">
        <v>44.377200000000002</v>
      </c>
      <c r="S487">
        <v>0.2</v>
      </c>
      <c r="T487">
        <v>0.02</v>
      </c>
      <c r="U487" s="8">
        <f>Table3[[#This Row],[PrimaNeta]]*Table3[[#This Row],[Comisión]]</f>
        <v>667.07351940000001</v>
      </c>
      <c r="V487" s="15">
        <f>Table3[[#This Row],[PrimaComercial Anual]]-Table3[[#This Row],[PrimaComercial Anual]]*SUM(Table3[[#This Row],[APS]:[IVA]])</f>
        <v>3335.3675969999999</v>
      </c>
      <c r="W487" s="2">
        <v>1.4800000000000001E-2</v>
      </c>
      <c r="X487" s="2">
        <v>8.4501000000000007E-2</v>
      </c>
      <c r="Y487">
        <v>0.03</v>
      </c>
      <c r="Z487">
        <v>0.13</v>
      </c>
      <c r="AA487" s="20">
        <f>Table3[[#This Row],[APS]]*Table3[[#This Row],[PrimaComercial Anual]]</f>
        <v>66.644400000000005</v>
      </c>
      <c r="AB487" s="8">
        <f>Table3[[#This Row],[PrimaComercial Anual]]*Table3[[#This Row],[Recargo adicional]]</f>
        <v>380.50800300000003</v>
      </c>
      <c r="AC487" s="8">
        <f>Table3[[#This Row],[PrimaComercial Anual]]*Table3[[#This Row],[IT]]</f>
        <v>135.09</v>
      </c>
      <c r="AD487" s="8">
        <f>Table3[[#This Row],[PrimaComercial Anual]]*Table3[[#This Row],[IVA]]</f>
        <v>585.39</v>
      </c>
      <c r="AE487" s="15">
        <f>Table3[[#This Row],[PrimaComercial Anual Asistencia]]</f>
        <v>4503</v>
      </c>
      <c r="AG487">
        <v>4503</v>
      </c>
    </row>
    <row r="488" spans="1:33" x14ac:dyDescent="0.25">
      <c r="A488" t="s">
        <v>17</v>
      </c>
      <c r="B488">
        <v>420000</v>
      </c>
      <c r="C488">
        <v>24</v>
      </c>
      <c r="D488" s="2">
        <f>Table3[[#This Row],[PrimaTécnica]]-Table3[[#This Row],[PrimaTécnica]]*SUM(Table3[[#This Row],[Gastos Adm]:[Cobranza]])</f>
        <v>1924.1327645280001</v>
      </c>
      <c r="E488">
        <v>0</v>
      </c>
      <c r="F488">
        <v>0.15</v>
      </c>
      <c r="G488">
        <v>0.05</v>
      </c>
      <c r="H488">
        <v>0.01</v>
      </c>
      <c r="I488">
        <v>0.01</v>
      </c>
      <c r="J488" s="8">
        <f>Table3[[#This Row],[PrimaTécnica]]*Table3[[#This Row],[Gastos Adm]]</f>
        <v>370.02553164</v>
      </c>
      <c r="K488" s="8">
        <f>Table3[[#This Row],[PrimaTécnica]]*Table3[[#This Row],[Utilidad]]</f>
        <v>123.34184388000001</v>
      </c>
      <c r="L488" s="8">
        <f>Table3[[#This Row],[PrimaTécnica]]*Table3[[#This Row],[Marketing]]</f>
        <v>24.668368776000001</v>
      </c>
      <c r="M488" s="8">
        <f>Table3[[#This Row],[PrimaTécnica]]*Table3[[#This Row],[Cobranza]]</f>
        <v>24.668368776000001</v>
      </c>
      <c r="N48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2466.8368776000002</v>
      </c>
      <c r="O488">
        <v>21.84</v>
      </c>
      <c r="P488">
        <v>54.6</v>
      </c>
      <c r="Q488">
        <v>80.64</v>
      </c>
      <c r="R488">
        <v>44.377200000000002</v>
      </c>
      <c r="S488">
        <v>0.2</v>
      </c>
      <c r="T488">
        <v>0.02</v>
      </c>
      <c r="U488" s="8">
        <f>Table3[[#This Row],[PrimaNeta]]*Table3[[#This Row],[Comisión]]</f>
        <v>667.07351940000001</v>
      </c>
      <c r="V488" s="15">
        <f>Table3[[#This Row],[PrimaComercial Anual]]-Table3[[#This Row],[PrimaComercial Anual]]*SUM(Table3[[#This Row],[APS]:[IVA]])</f>
        <v>3335.3675969999999</v>
      </c>
      <c r="W488" s="2">
        <v>1.4800000000000001E-2</v>
      </c>
      <c r="X488" s="2">
        <v>8.4501000000000007E-2</v>
      </c>
      <c r="Y488">
        <v>0.03</v>
      </c>
      <c r="Z488">
        <v>0.13</v>
      </c>
      <c r="AA488" s="20">
        <f>Table3[[#This Row],[APS]]*Table3[[#This Row],[PrimaComercial Anual]]</f>
        <v>66.644400000000005</v>
      </c>
      <c r="AB488" s="8">
        <f>Table3[[#This Row],[PrimaComercial Anual]]*Table3[[#This Row],[Recargo adicional]]</f>
        <v>380.50800300000003</v>
      </c>
      <c r="AC488" s="8">
        <f>Table3[[#This Row],[PrimaComercial Anual]]*Table3[[#This Row],[IT]]</f>
        <v>135.09</v>
      </c>
      <c r="AD488" s="8">
        <f>Table3[[#This Row],[PrimaComercial Anual]]*Table3[[#This Row],[IVA]]</f>
        <v>585.39</v>
      </c>
      <c r="AE488" s="15">
        <f>Table3[[#This Row],[PrimaComercial Anual Asistencia]]</f>
        <v>4503</v>
      </c>
      <c r="AG488">
        <v>4503</v>
      </c>
    </row>
    <row r="489" spans="1:33" x14ac:dyDescent="0.25">
      <c r="A489" t="s">
        <v>17</v>
      </c>
      <c r="B489">
        <v>420000</v>
      </c>
      <c r="C489">
        <v>25</v>
      </c>
      <c r="D489" s="2">
        <f>Table3[[#This Row],[PrimaTécnica]]-Table3[[#This Row],[PrimaTécnica]]*SUM(Table3[[#This Row],[Gastos Adm]:[Cobranza]])</f>
        <v>1924.1327645280001</v>
      </c>
      <c r="E489">
        <v>0</v>
      </c>
      <c r="F489">
        <v>0.15</v>
      </c>
      <c r="G489">
        <v>0.05</v>
      </c>
      <c r="H489">
        <v>0.01</v>
      </c>
      <c r="I489">
        <v>0.01</v>
      </c>
      <c r="J489" s="8">
        <f>Table3[[#This Row],[PrimaTécnica]]*Table3[[#This Row],[Gastos Adm]]</f>
        <v>370.02553164</v>
      </c>
      <c r="K489" s="8">
        <f>Table3[[#This Row],[PrimaTécnica]]*Table3[[#This Row],[Utilidad]]</f>
        <v>123.34184388000001</v>
      </c>
      <c r="L489" s="8">
        <f>Table3[[#This Row],[PrimaTécnica]]*Table3[[#This Row],[Marketing]]</f>
        <v>24.668368776000001</v>
      </c>
      <c r="M489" s="8">
        <f>Table3[[#This Row],[PrimaTécnica]]*Table3[[#This Row],[Cobranza]]</f>
        <v>24.668368776000001</v>
      </c>
      <c r="N48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2466.8368776000002</v>
      </c>
      <c r="O489">
        <v>21.84</v>
      </c>
      <c r="P489">
        <v>54.6</v>
      </c>
      <c r="Q489">
        <v>80.64</v>
      </c>
      <c r="R489">
        <v>44.377200000000002</v>
      </c>
      <c r="S489">
        <v>0.2</v>
      </c>
      <c r="T489">
        <v>0.02</v>
      </c>
      <c r="U489" s="8">
        <f>Table3[[#This Row],[PrimaNeta]]*Table3[[#This Row],[Comisión]]</f>
        <v>667.07351940000001</v>
      </c>
      <c r="V489" s="15">
        <f>Table3[[#This Row],[PrimaComercial Anual]]-Table3[[#This Row],[PrimaComercial Anual]]*SUM(Table3[[#This Row],[APS]:[IVA]])</f>
        <v>3335.3675969999999</v>
      </c>
      <c r="W489" s="2">
        <v>1.4800000000000001E-2</v>
      </c>
      <c r="X489" s="2">
        <v>8.4501000000000007E-2</v>
      </c>
      <c r="Y489">
        <v>0.03</v>
      </c>
      <c r="Z489">
        <v>0.13</v>
      </c>
      <c r="AA489" s="20">
        <f>Table3[[#This Row],[APS]]*Table3[[#This Row],[PrimaComercial Anual]]</f>
        <v>66.644400000000005</v>
      </c>
      <c r="AB489" s="8">
        <f>Table3[[#This Row],[PrimaComercial Anual]]*Table3[[#This Row],[Recargo adicional]]</f>
        <v>380.50800300000003</v>
      </c>
      <c r="AC489" s="8">
        <f>Table3[[#This Row],[PrimaComercial Anual]]*Table3[[#This Row],[IT]]</f>
        <v>135.09</v>
      </c>
      <c r="AD489" s="8">
        <f>Table3[[#This Row],[PrimaComercial Anual]]*Table3[[#This Row],[IVA]]</f>
        <v>585.39</v>
      </c>
      <c r="AE489" s="15">
        <f>Table3[[#This Row],[PrimaComercial Anual Asistencia]]</f>
        <v>4503</v>
      </c>
      <c r="AG489">
        <v>4503</v>
      </c>
    </row>
    <row r="490" spans="1:33" x14ac:dyDescent="0.25">
      <c r="A490" t="s">
        <v>17</v>
      </c>
      <c r="B490">
        <v>420000</v>
      </c>
      <c r="C490">
        <v>26</v>
      </c>
      <c r="D490" s="2">
        <f>Table3[[#This Row],[PrimaTécnica]]-Table3[[#This Row],[PrimaTécnica]]*SUM(Table3[[#This Row],[Gastos Adm]:[Cobranza]])</f>
        <v>1924.1327645280001</v>
      </c>
      <c r="E490">
        <v>0</v>
      </c>
      <c r="F490">
        <v>0.15</v>
      </c>
      <c r="G490">
        <v>0.05</v>
      </c>
      <c r="H490">
        <v>0.01</v>
      </c>
      <c r="I490">
        <v>0.01</v>
      </c>
      <c r="J490" s="8">
        <f>Table3[[#This Row],[PrimaTécnica]]*Table3[[#This Row],[Gastos Adm]]</f>
        <v>370.02553164</v>
      </c>
      <c r="K490" s="8">
        <f>Table3[[#This Row],[PrimaTécnica]]*Table3[[#This Row],[Utilidad]]</f>
        <v>123.34184388000001</v>
      </c>
      <c r="L490" s="8">
        <f>Table3[[#This Row],[PrimaTécnica]]*Table3[[#This Row],[Marketing]]</f>
        <v>24.668368776000001</v>
      </c>
      <c r="M490" s="8">
        <f>Table3[[#This Row],[PrimaTécnica]]*Table3[[#This Row],[Cobranza]]</f>
        <v>24.668368776000001</v>
      </c>
      <c r="N49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2466.8368776000002</v>
      </c>
      <c r="O490">
        <v>21.84</v>
      </c>
      <c r="P490">
        <v>54.6</v>
      </c>
      <c r="Q490">
        <v>80.64</v>
      </c>
      <c r="R490">
        <v>44.377200000000002</v>
      </c>
      <c r="S490">
        <v>0.2</v>
      </c>
      <c r="T490">
        <v>0.02</v>
      </c>
      <c r="U490" s="8">
        <f>Table3[[#This Row],[PrimaNeta]]*Table3[[#This Row],[Comisión]]</f>
        <v>667.07351940000001</v>
      </c>
      <c r="V490" s="15">
        <f>Table3[[#This Row],[PrimaComercial Anual]]-Table3[[#This Row],[PrimaComercial Anual]]*SUM(Table3[[#This Row],[APS]:[IVA]])</f>
        <v>3335.3675969999999</v>
      </c>
      <c r="W490" s="2">
        <v>1.4800000000000001E-2</v>
      </c>
      <c r="X490" s="2">
        <v>8.4501000000000007E-2</v>
      </c>
      <c r="Y490">
        <v>0.03</v>
      </c>
      <c r="Z490">
        <v>0.13</v>
      </c>
      <c r="AA490" s="20">
        <f>Table3[[#This Row],[APS]]*Table3[[#This Row],[PrimaComercial Anual]]</f>
        <v>66.644400000000005</v>
      </c>
      <c r="AB490" s="8">
        <f>Table3[[#This Row],[PrimaComercial Anual]]*Table3[[#This Row],[Recargo adicional]]</f>
        <v>380.50800300000003</v>
      </c>
      <c r="AC490" s="8">
        <f>Table3[[#This Row],[PrimaComercial Anual]]*Table3[[#This Row],[IT]]</f>
        <v>135.09</v>
      </c>
      <c r="AD490" s="8">
        <f>Table3[[#This Row],[PrimaComercial Anual]]*Table3[[#This Row],[IVA]]</f>
        <v>585.39</v>
      </c>
      <c r="AE490" s="15">
        <f>Table3[[#This Row],[PrimaComercial Anual Asistencia]]</f>
        <v>4503</v>
      </c>
      <c r="AG490">
        <v>4503</v>
      </c>
    </row>
    <row r="491" spans="1:33" x14ac:dyDescent="0.25">
      <c r="A491" t="s">
        <v>17</v>
      </c>
      <c r="B491">
        <v>420000</v>
      </c>
      <c r="C491">
        <v>27</v>
      </c>
      <c r="D491" s="2">
        <f>Table3[[#This Row],[PrimaTécnica]]-Table3[[#This Row],[PrimaTécnica]]*SUM(Table3[[#This Row],[Gastos Adm]:[Cobranza]])</f>
        <v>1924.1327645280001</v>
      </c>
      <c r="E491">
        <v>0</v>
      </c>
      <c r="F491">
        <v>0.15</v>
      </c>
      <c r="G491">
        <v>0.05</v>
      </c>
      <c r="H491">
        <v>0.01</v>
      </c>
      <c r="I491">
        <v>0.01</v>
      </c>
      <c r="J491" s="8">
        <f>Table3[[#This Row],[PrimaTécnica]]*Table3[[#This Row],[Gastos Adm]]</f>
        <v>370.02553164</v>
      </c>
      <c r="K491" s="8">
        <f>Table3[[#This Row],[PrimaTécnica]]*Table3[[#This Row],[Utilidad]]</f>
        <v>123.34184388000001</v>
      </c>
      <c r="L491" s="8">
        <f>Table3[[#This Row],[PrimaTécnica]]*Table3[[#This Row],[Marketing]]</f>
        <v>24.668368776000001</v>
      </c>
      <c r="M491" s="8">
        <f>Table3[[#This Row],[PrimaTécnica]]*Table3[[#This Row],[Cobranza]]</f>
        <v>24.668368776000001</v>
      </c>
      <c r="N49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2466.8368776000002</v>
      </c>
      <c r="O491">
        <v>21.84</v>
      </c>
      <c r="P491">
        <v>54.6</v>
      </c>
      <c r="Q491">
        <v>80.64</v>
      </c>
      <c r="R491">
        <v>44.377200000000002</v>
      </c>
      <c r="S491">
        <v>0.2</v>
      </c>
      <c r="T491">
        <v>0.02</v>
      </c>
      <c r="U491" s="8">
        <f>Table3[[#This Row],[PrimaNeta]]*Table3[[#This Row],[Comisión]]</f>
        <v>667.07351940000001</v>
      </c>
      <c r="V491" s="15">
        <f>Table3[[#This Row],[PrimaComercial Anual]]-Table3[[#This Row],[PrimaComercial Anual]]*SUM(Table3[[#This Row],[APS]:[IVA]])</f>
        <v>3335.3675969999999</v>
      </c>
      <c r="W491" s="2">
        <v>1.4800000000000001E-2</v>
      </c>
      <c r="X491" s="2">
        <v>8.4501000000000007E-2</v>
      </c>
      <c r="Y491">
        <v>0.03</v>
      </c>
      <c r="Z491">
        <v>0.13</v>
      </c>
      <c r="AA491" s="20">
        <f>Table3[[#This Row],[APS]]*Table3[[#This Row],[PrimaComercial Anual]]</f>
        <v>66.644400000000005</v>
      </c>
      <c r="AB491" s="8">
        <f>Table3[[#This Row],[PrimaComercial Anual]]*Table3[[#This Row],[Recargo adicional]]</f>
        <v>380.50800300000003</v>
      </c>
      <c r="AC491" s="8">
        <f>Table3[[#This Row],[PrimaComercial Anual]]*Table3[[#This Row],[IT]]</f>
        <v>135.09</v>
      </c>
      <c r="AD491" s="8">
        <f>Table3[[#This Row],[PrimaComercial Anual]]*Table3[[#This Row],[IVA]]</f>
        <v>585.39</v>
      </c>
      <c r="AE491" s="15">
        <f>Table3[[#This Row],[PrimaComercial Anual Asistencia]]</f>
        <v>4503</v>
      </c>
      <c r="AG491">
        <v>4503</v>
      </c>
    </row>
    <row r="492" spans="1:33" x14ac:dyDescent="0.25">
      <c r="A492" t="s">
        <v>17</v>
      </c>
      <c r="B492">
        <v>420000</v>
      </c>
      <c r="C492">
        <v>28</v>
      </c>
      <c r="D492" s="2">
        <f>Table3[[#This Row],[PrimaTécnica]]-Table3[[#This Row],[PrimaTécnica]]*SUM(Table3[[#This Row],[Gastos Adm]:[Cobranza]])</f>
        <v>1924.1327645280001</v>
      </c>
      <c r="E492">
        <v>0</v>
      </c>
      <c r="F492">
        <v>0.15</v>
      </c>
      <c r="G492">
        <v>0.05</v>
      </c>
      <c r="H492">
        <v>0.01</v>
      </c>
      <c r="I492">
        <v>0.01</v>
      </c>
      <c r="J492" s="8">
        <f>Table3[[#This Row],[PrimaTécnica]]*Table3[[#This Row],[Gastos Adm]]</f>
        <v>370.02553164</v>
      </c>
      <c r="K492" s="8">
        <f>Table3[[#This Row],[PrimaTécnica]]*Table3[[#This Row],[Utilidad]]</f>
        <v>123.34184388000001</v>
      </c>
      <c r="L492" s="8">
        <f>Table3[[#This Row],[PrimaTécnica]]*Table3[[#This Row],[Marketing]]</f>
        <v>24.668368776000001</v>
      </c>
      <c r="M492" s="8">
        <f>Table3[[#This Row],[PrimaTécnica]]*Table3[[#This Row],[Cobranza]]</f>
        <v>24.668368776000001</v>
      </c>
      <c r="N49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2466.8368776000002</v>
      </c>
      <c r="O492">
        <v>21.84</v>
      </c>
      <c r="P492">
        <v>54.6</v>
      </c>
      <c r="Q492">
        <v>80.64</v>
      </c>
      <c r="R492">
        <v>44.377200000000002</v>
      </c>
      <c r="S492">
        <v>0.2</v>
      </c>
      <c r="T492">
        <v>0.02</v>
      </c>
      <c r="U492" s="8">
        <f>Table3[[#This Row],[PrimaNeta]]*Table3[[#This Row],[Comisión]]</f>
        <v>667.07351940000001</v>
      </c>
      <c r="V492" s="15">
        <f>Table3[[#This Row],[PrimaComercial Anual]]-Table3[[#This Row],[PrimaComercial Anual]]*SUM(Table3[[#This Row],[APS]:[IVA]])</f>
        <v>3335.3675969999999</v>
      </c>
      <c r="W492" s="2">
        <v>1.4800000000000001E-2</v>
      </c>
      <c r="X492" s="2">
        <v>8.4501000000000007E-2</v>
      </c>
      <c r="Y492">
        <v>0.03</v>
      </c>
      <c r="Z492">
        <v>0.13</v>
      </c>
      <c r="AA492" s="20">
        <f>Table3[[#This Row],[APS]]*Table3[[#This Row],[PrimaComercial Anual]]</f>
        <v>66.644400000000005</v>
      </c>
      <c r="AB492" s="8">
        <f>Table3[[#This Row],[PrimaComercial Anual]]*Table3[[#This Row],[Recargo adicional]]</f>
        <v>380.50800300000003</v>
      </c>
      <c r="AC492" s="8">
        <f>Table3[[#This Row],[PrimaComercial Anual]]*Table3[[#This Row],[IT]]</f>
        <v>135.09</v>
      </c>
      <c r="AD492" s="8">
        <f>Table3[[#This Row],[PrimaComercial Anual]]*Table3[[#This Row],[IVA]]</f>
        <v>585.39</v>
      </c>
      <c r="AE492" s="15">
        <f>Table3[[#This Row],[PrimaComercial Anual Asistencia]]</f>
        <v>4503</v>
      </c>
      <c r="AG492">
        <v>4503</v>
      </c>
    </row>
    <row r="493" spans="1:33" x14ac:dyDescent="0.25">
      <c r="A493" t="s">
        <v>17</v>
      </c>
      <c r="B493">
        <v>420000</v>
      </c>
      <c r="C493">
        <v>29</v>
      </c>
      <c r="D493" s="2">
        <f>Table3[[#This Row],[PrimaTécnica]]-Table3[[#This Row],[PrimaTécnica]]*SUM(Table3[[#This Row],[Gastos Adm]:[Cobranza]])</f>
        <v>1924.1327645280001</v>
      </c>
      <c r="E493">
        <v>0</v>
      </c>
      <c r="F493">
        <v>0.15</v>
      </c>
      <c r="G493">
        <v>0.05</v>
      </c>
      <c r="H493">
        <v>0.01</v>
      </c>
      <c r="I493">
        <v>0.01</v>
      </c>
      <c r="J493" s="8">
        <f>Table3[[#This Row],[PrimaTécnica]]*Table3[[#This Row],[Gastos Adm]]</f>
        <v>370.02553164</v>
      </c>
      <c r="K493" s="8">
        <f>Table3[[#This Row],[PrimaTécnica]]*Table3[[#This Row],[Utilidad]]</f>
        <v>123.34184388000001</v>
      </c>
      <c r="L493" s="8">
        <f>Table3[[#This Row],[PrimaTécnica]]*Table3[[#This Row],[Marketing]]</f>
        <v>24.668368776000001</v>
      </c>
      <c r="M493" s="8">
        <f>Table3[[#This Row],[PrimaTécnica]]*Table3[[#This Row],[Cobranza]]</f>
        <v>24.668368776000001</v>
      </c>
      <c r="N49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2466.8368776000002</v>
      </c>
      <c r="O493">
        <v>21.84</v>
      </c>
      <c r="P493">
        <v>54.6</v>
      </c>
      <c r="Q493">
        <v>80.64</v>
      </c>
      <c r="R493">
        <v>44.377200000000002</v>
      </c>
      <c r="S493">
        <v>0.2</v>
      </c>
      <c r="T493">
        <v>0.02</v>
      </c>
      <c r="U493" s="8">
        <f>Table3[[#This Row],[PrimaNeta]]*Table3[[#This Row],[Comisión]]</f>
        <v>667.07351940000001</v>
      </c>
      <c r="V493" s="15">
        <f>Table3[[#This Row],[PrimaComercial Anual]]-Table3[[#This Row],[PrimaComercial Anual]]*SUM(Table3[[#This Row],[APS]:[IVA]])</f>
        <v>3335.3675969999999</v>
      </c>
      <c r="W493" s="2">
        <v>1.4800000000000001E-2</v>
      </c>
      <c r="X493" s="2">
        <v>8.4501000000000007E-2</v>
      </c>
      <c r="Y493">
        <v>0.03</v>
      </c>
      <c r="Z493">
        <v>0.13</v>
      </c>
      <c r="AA493" s="20">
        <f>Table3[[#This Row],[APS]]*Table3[[#This Row],[PrimaComercial Anual]]</f>
        <v>66.644400000000005</v>
      </c>
      <c r="AB493" s="8">
        <f>Table3[[#This Row],[PrimaComercial Anual]]*Table3[[#This Row],[Recargo adicional]]</f>
        <v>380.50800300000003</v>
      </c>
      <c r="AC493" s="8">
        <f>Table3[[#This Row],[PrimaComercial Anual]]*Table3[[#This Row],[IT]]</f>
        <v>135.09</v>
      </c>
      <c r="AD493" s="8">
        <f>Table3[[#This Row],[PrimaComercial Anual]]*Table3[[#This Row],[IVA]]</f>
        <v>585.39</v>
      </c>
      <c r="AE493" s="15">
        <f>Table3[[#This Row],[PrimaComercial Anual Asistencia]]</f>
        <v>4503</v>
      </c>
      <c r="AG493">
        <v>4503</v>
      </c>
    </row>
    <row r="494" spans="1:33" x14ac:dyDescent="0.25">
      <c r="A494" t="s">
        <v>17</v>
      </c>
      <c r="B494">
        <v>420000</v>
      </c>
      <c r="C494">
        <v>30</v>
      </c>
      <c r="D494" s="2">
        <f>Table3[[#This Row],[PrimaTécnica]]-Table3[[#This Row],[PrimaTécnica]]*SUM(Table3[[#This Row],[Gastos Adm]:[Cobranza]])</f>
        <v>2071.6657839072</v>
      </c>
      <c r="E494">
        <v>0</v>
      </c>
      <c r="F494">
        <v>0.15</v>
      </c>
      <c r="G494">
        <v>0.05</v>
      </c>
      <c r="H494">
        <v>0.01</v>
      </c>
      <c r="I494">
        <v>0.01</v>
      </c>
      <c r="J494" s="8">
        <f>Table3[[#This Row],[PrimaTécnica]]*Table3[[#This Row],[Gastos Adm]]</f>
        <v>398.39726613599998</v>
      </c>
      <c r="K494" s="8">
        <f>Table3[[#This Row],[PrimaTécnica]]*Table3[[#This Row],[Utilidad]]</f>
        <v>132.79908871200001</v>
      </c>
      <c r="L494" s="8">
        <f>Table3[[#This Row],[PrimaTécnica]]*Table3[[#This Row],[Marketing]]</f>
        <v>26.5598177424</v>
      </c>
      <c r="M494" s="8">
        <f>Table3[[#This Row],[PrimaTécnica]]*Table3[[#This Row],[Cobranza]]</f>
        <v>26.5598177424</v>
      </c>
      <c r="N49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2655.98177424</v>
      </c>
      <c r="O494">
        <v>21.84</v>
      </c>
      <c r="P494">
        <v>54.6</v>
      </c>
      <c r="Q494">
        <v>80.64</v>
      </c>
      <c r="R494">
        <v>44.377200000000002</v>
      </c>
      <c r="S494">
        <v>0.2</v>
      </c>
      <c r="T494">
        <v>0.02</v>
      </c>
      <c r="U494" s="8">
        <f>Table3[[#This Row],[PrimaNeta]]*Table3[[#This Row],[Comisión]]</f>
        <v>714.35974355999997</v>
      </c>
      <c r="V494" s="15">
        <f>Table3[[#This Row],[PrimaComercial Anual]]-Table3[[#This Row],[PrimaComercial Anual]]*SUM(Table3[[#This Row],[APS]:[IVA]])</f>
        <v>3571.7987177999998</v>
      </c>
      <c r="W494" s="2">
        <v>1.4800000000000001E-2</v>
      </c>
      <c r="X494" s="2">
        <v>8.4501000000000007E-2</v>
      </c>
      <c r="Y494">
        <v>0.03</v>
      </c>
      <c r="Z494">
        <v>0.13</v>
      </c>
      <c r="AA494" s="20">
        <f>Table3[[#This Row],[APS]]*Table3[[#This Row],[PrimaComercial Anual]]</f>
        <v>71.368560000000002</v>
      </c>
      <c r="AB494" s="8">
        <f>Table3[[#This Row],[PrimaComercial Anual]]*Table3[[#This Row],[Recargo adicional]]</f>
        <v>407.4807222</v>
      </c>
      <c r="AC494" s="8">
        <f>Table3[[#This Row],[PrimaComercial Anual]]*Table3[[#This Row],[IT]]</f>
        <v>144.666</v>
      </c>
      <c r="AD494" s="8">
        <f>Table3[[#This Row],[PrimaComercial Anual]]*Table3[[#This Row],[IVA]]</f>
        <v>626.88599999999997</v>
      </c>
      <c r="AE494" s="15">
        <f>Table3[[#This Row],[PrimaComercial Anual Asistencia]]</f>
        <v>4822.2</v>
      </c>
      <c r="AG494">
        <v>4822.2</v>
      </c>
    </row>
    <row r="495" spans="1:33" x14ac:dyDescent="0.25">
      <c r="A495" t="s">
        <v>17</v>
      </c>
      <c r="B495">
        <v>420000</v>
      </c>
      <c r="C495">
        <v>31</v>
      </c>
      <c r="D495" s="2">
        <f>Table3[[#This Row],[PrimaTécnica]]-Table3[[#This Row],[PrimaTécnica]]*SUM(Table3[[#This Row],[Gastos Adm]:[Cobranza]])</f>
        <v>2071.6657839072</v>
      </c>
      <c r="E495">
        <v>0</v>
      </c>
      <c r="F495">
        <v>0.15</v>
      </c>
      <c r="G495">
        <v>0.05</v>
      </c>
      <c r="H495">
        <v>0.01</v>
      </c>
      <c r="I495">
        <v>0.01</v>
      </c>
      <c r="J495" s="8">
        <f>Table3[[#This Row],[PrimaTécnica]]*Table3[[#This Row],[Gastos Adm]]</f>
        <v>398.39726613599998</v>
      </c>
      <c r="K495" s="8">
        <f>Table3[[#This Row],[PrimaTécnica]]*Table3[[#This Row],[Utilidad]]</f>
        <v>132.79908871200001</v>
      </c>
      <c r="L495" s="8">
        <f>Table3[[#This Row],[PrimaTécnica]]*Table3[[#This Row],[Marketing]]</f>
        <v>26.5598177424</v>
      </c>
      <c r="M495" s="8">
        <f>Table3[[#This Row],[PrimaTécnica]]*Table3[[#This Row],[Cobranza]]</f>
        <v>26.5598177424</v>
      </c>
      <c r="N49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2655.98177424</v>
      </c>
      <c r="O495">
        <v>21.84</v>
      </c>
      <c r="P495">
        <v>54.6</v>
      </c>
      <c r="Q495">
        <v>80.64</v>
      </c>
      <c r="R495">
        <v>44.377200000000002</v>
      </c>
      <c r="S495">
        <v>0.2</v>
      </c>
      <c r="T495">
        <v>0.02</v>
      </c>
      <c r="U495" s="8">
        <f>Table3[[#This Row],[PrimaNeta]]*Table3[[#This Row],[Comisión]]</f>
        <v>714.35974355999997</v>
      </c>
      <c r="V495" s="15">
        <f>Table3[[#This Row],[PrimaComercial Anual]]-Table3[[#This Row],[PrimaComercial Anual]]*SUM(Table3[[#This Row],[APS]:[IVA]])</f>
        <v>3571.7987177999998</v>
      </c>
      <c r="W495" s="2">
        <v>1.4800000000000001E-2</v>
      </c>
      <c r="X495" s="2">
        <v>8.4501000000000007E-2</v>
      </c>
      <c r="Y495">
        <v>0.03</v>
      </c>
      <c r="Z495">
        <v>0.13</v>
      </c>
      <c r="AA495" s="20">
        <f>Table3[[#This Row],[APS]]*Table3[[#This Row],[PrimaComercial Anual]]</f>
        <v>71.368560000000002</v>
      </c>
      <c r="AB495" s="8">
        <f>Table3[[#This Row],[PrimaComercial Anual]]*Table3[[#This Row],[Recargo adicional]]</f>
        <v>407.4807222</v>
      </c>
      <c r="AC495" s="8">
        <f>Table3[[#This Row],[PrimaComercial Anual]]*Table3[[#This Row],[IT]]</f>
        <v>144.666</v>
      </c>
      <c r="AD495" s="8">
        <f>Table3[[#This Row],[PrimaComercial Anual]]*Table3[[#This Row],[IVA]]</f>
        <v>626.88599999999997</v>
      </c>
      <c r="AE495" s="15">
        <f>Table3[[#This Row],[PrimaComercial Anual Asistencia]]</f>
        <v>4822.2</v>
      </c>
      <c r="AG495">
        <v>4822.2</v>
      </c>
    </row>
    <row r="496" spans="1:33" x14ac:dyDescent="0.25">
      <c r="A496" t="s">
        <v>17</v>
      </c>
      <c r="B496">
        <v>420000</v>
      </c>
      <c r="C496">
        <v>32</v>
      </c>
      <c r="D496" s="2">
        <f>Table3[[#This Row],[PrimaTécnica]]-Table3[[#This Row],[PrimaTécnica]]*SUM(Table3[[#This Row],[Gastos Adm]:[Cobranza]])</f>
        <v>2071.6657839072</v>
      </c>
      <c r="E496">
        <v>0</v>
      </c>
      <c r="F496">
        <v>0.15</v>
      </c>
      <c r="G496">
        <v>0.05</v>
      </c>
      <c r="H496">
        <v>0.01</v>
      </c>
      <c r="I496">
        <v>0.01</v>
      </c>
      <c r="J496" s="8">
        <f>Table3[[#This Row],[PrimaTécnica]]*Table3[[#This Row],[Gastos Adm]]</f>
        <v>398.39726613599998</v>
      </c>
      <c r="K496" s="8">
        <f>Table3[[#This Row],[PrimaTécnica]]*Table3[[#This Row],[Utilidad]]</f>
        <v>132.79908871200001</v>
      </c>
      <c r="L496" s="8">
        <f>Table3[[#This Row],[PrimaTécnica]]*Table3[[#This Row],[Marketing]]</f>
        <v>26.5598177424</v>
      </c>
      <c r="M496" s="8">
        <f>Table3[[#This Row],[PrimaTécnica]]*Table3[[#This Row],[Cobranza]]</f>
        <v>26.5598177424</v>
      </c>
      <c r="N49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2655.98177424</v>
      </c>
      <c r="O496">
        <v>21.84</v>
      </c>
      <c r="P496">
        <v>54.6</v>
      </c>
      <c r="Q496">
        <v>80.64</v>
      </c>
      <c r="R496">
        <v>44.377200000000002</v>
      </c>
      <c r="S496">
        <v>0.2</v>
      </c>
      <c r="T496">
        <v>0.02</v>
      </c>
      <c r="U496" s="8">
        <f>Table3[[#This Row],[PrimaNeta]]*Table3[[#This Row],[Comisión]]</f>
        <v>714.35974355999997</v>
      </c>
      <c r="V496" s="15">
        <f>Table3[[#This Row],[PrimaComercial Anual]]-Table3[[#This Row],[PrimaComercial Anual]]*SUM(Table3[[#This Row],[APS]:[IVA]])</f>
        <v>3571.7987177999998</v>
      </c>
      <c r="W496" s="2">
        <v>1.4800000000000001E-2</v>
      </c>
      <c r="X496" s="2">
        <v>8.4501000000000007E-2</v>
      </c>
      <c r="Y496">
        <v>0.03</v>
      </c>
      <c r="Z496">
        <v>0.13</v>
      </c>
      <c r="AA496" s="20">
        <f>Table3[[#This Row],[APS]]*Table3[[#This Row],[PrimaComercial Anual]]</f>
        <v>71.368560000000002</v>
      </c>
      <c r="AB496" s="8">
        <f>Table3[[#This Row],[PrimaComercial Anual]]*Table3[[#This Row],[Recargo adicional]]</f>
        <v>407.4807222</v>
      </c>
      <c r="AC496" s="8">
        <f>Table3[[#This Row],[PrimaComercial Anual]]*Table3[[#This Row],[IT]]</f>
        <v>144.666</v>
      </c>
      <c r="AD496" s="8">
        <f>Table3[[#This Row],[PrimaComercial Anual]]*Table3[[#This Row],[IVA]]</f>
        <v>626.88599999999997</v>
      </c>
      <c r="AE496" s="15">
        <f>Table3[[#This Row],[PrimaComercial Anual Asistencia]]</f>
        <v>4822.2</v>
      </c>
      <c r="AG496">
        <v>4822.2</v>
      </c>
    </row>
    <row r="497" spans="1:33" x14ac:dyDescent="0.25">
      <c r="A497" t="s">
        <v>17</v>
      </c>
      <c r="B497">
        <v>420000</v>
      </c>
      <c r="C497">
        <v>33</v>
      </c>
      <c r="D497" s="2">
        <f>Table3[[#This Row],[PrimaTécnica]]-Table3[[#This Row],[PrimaTécnica]]*SUM(Table3[[#This Row],[Gastos Adm]:[Cobranza]])</f>
        <v>2071.6657839072</v>
      </c>
      <c r="E497">
        <v>0</v>
      </c>
      <c r="F497">
        <v>0.15</v>
      </c>
      <c r="G497">
        <v>0.05</v>
      </c>
      <c r="H497">
        <v>0.01</v>
      </c>
      <c r="I497">
        <v>0.01</v>
      </c>
      <c r="J497" s="8">
        <f>Table3[[#This Row],[PrimaTécnica]]*Table3[[#This Row],[Gastos Adm]]</f>
        <v>398.39726613599998</v>
      </c>
      <c r="K497" s="8">
        <f>Table3[[#This Row],[PrimaTécnica]]*Table3[[#This Row],[Utilidad]]</f>
        <v>132.79908871200001</v>
      </c>
      <c r="L497" s="8">
        <f>Table3[[#This Row],[PrimaTécnica]]*Table3[[#This Row],[Marketing]]</f>
        <v>26.5598177424</v>
      </c>
      <c r="M497" s="8">
        <f>Table3[[#This Row],[PrimaTécnica]]*Table3[[#This Row],[Cobranza]]</f>
        <v>26.5598177424</v>
      </c>
      <c r="N49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2655.98177424</v>
      </c>
      <c r="O497">
        <v>21.84</v>
      </c>
      <c r="P497">
        <v>54.6</v>
      </c>
      <c r="Q497">
        <v>80.64</v>
      </c>
      <c r="R497">
        <v>44.377200000000002</v>
      </c>
      <c r="S497">
        <v>0.2</v>
      </c>
      <c r="T497">
        <v>0.02</v>
      </c>
      <c r="U497" s="8">
        <f>Table3[[#This Row],[PrimaNeta]]*Table3[[#This Row],[Comisión]]</f>
        <v>714.35974355999997</v>
      </c>
      <c r="V497" s="15">
        <f>Table3[[#This Row],[PrimaComercial Anual]]-Table3[[#This Row],[PrimaComercial Anual]]*SUM(Table3[[#This Row],[APS]:[IVA]])</f>
        <v>3571.7987177999998</v>
      </c>
      <c r="W497" s="2">
        <v>1.4800000000000001E-2</v>
      </c>
      <c r="X497" s="2">
        <v>8.4501000000000007E-2</v>
      </c>
      <c r="Y497">
        <v>0.03</v>
      </c>
      <c r="Z497">
        <v>0.13</v>
      </c>
      <c r="AA497" s="20">
        <f>Table3[[#This Row],[APS]]*Table3[[#This Row],[PrimaComercial Anual]]</f>
        <v>71.368560000000002</v>
      </c>
      <c r="AB497" s="8">
        <f>Table3[[#This Row],[PrimaComercial Anual]]*Table3[[#This Row],[Recargo adicional]]</f>
        <v>407.4807222</v>
      </c>
      <c r="AC497" s="8">
        <f>Table3[[#This Row],[PrimaComercial Anual]]*Table3[[#This Row],[IT]]</f>
        <v>144.666</v>
      </c>
      <c r="AD497" s="8">
        <f>Table3[[#This Row],[PrimaComercial Anual]]*Table3[[#This Row],[IVA]]</f>
        <v>626.88599999999997</v>
      </c>
      <c r="AE497" s="15">
        <f>Table3[[#This Row],[PrimaComercial Anual Asistencia]]</f>
        <v>4822.2</v>
      </c>
      <c r="AG497">
        <v>4822.2</v>
      </c>
    </row>
    <row r="498" spans="1:33" x14ac:dyDescent="0.25">
      <c r="A498" t="s">
        <v>17</v>
      </c>
      <c r="B498">
        <v>420000</v>
      </c>
      <c r="C498">
        <v>34</v>
      </c>
      <c r="D498" s="2">
        <f>Table3[[#This Row],[PrimaTécnica]]-Table3[[#This Row],[PrimaTécnica]]*SUM(Table3[[#This Row],[Gastos Adm]:[Cobranza]])</f>
        <v>2071.6657839072</v>
      </c>
      <c r="E498">
        <v>0</v>
      </c>
      <c r="F498">
        <v>0.15</v>
      </c>
      <c r="G498">
        <v>0.05</v>
      </c>
      <c r="H498">
        <v>0.01</v>
      </c>
      <c r="I498">
        <v>0.01</v>
      </c>
      <c r="J498" s="8">
        <f>Table3[[#This Row],[PrimaTécnica]]*Table3[[#This Row],[Gastos Adm]]</f>
        <v>398.39726613599998</v>
      </c>
      <c r="K498" s="8">
        <f>Table3[[#This Row],[PrimaTécnica]]*Table3[[#This Row],[Utilidad]]</f>
        <v>132.79908871200001</v>
      </c>
      <c r="L498" s="8">
        <f>Table3[[#This Row],[PrimaTécnica]]*Table3[[#This Row],[Marketing]]</f>
        <v>26.5598177424</v>
      </c>
      <c r="M498" s="8">
        <f>Table3[[#This Row],[PrimaTécnica]]*Table3[[#This Row],[Cobranza]]</f>
        <v>26.5598177424</v>
      </c>
      <c r="N49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2655.98177424</v>
      </c>
      <c r="O498">
        <v>21.84</v>
      </c>
      <c r="P498">
        <v>54.6</v>
      </c>
      <c r="Q498">
        <v>80.64</v>
      </c>
      <c r="R498">
        <v>44.377200000000002</v>
      </c>
      <c r="S498">
        <v>0.2</v>
      </c>
      <c r="T498">
        <v>0.02</v>
      </c>
      <c r="U498" s="8">
        <f>Table3[[#This Row],[PrimaNeta]]*Table3[[#This Row],[Comisión]]</f>
        <v>714.35974355999997</v>
      </c>
      <c r="V498" s="15">
        <f>Table3[[#This Row],[PrimaComercial Anual]]-Table3[[#This Row],[PrimaComercial Anual]]*SUM(Table3[[#This Row],[APS]:[IVA]])</f>
        <v>3571.7987177999998</v>
      </c>
      <c r="W498" s="2">
        <v>1.4800000000000001E-2</v>
      </c>
      <c r="X498" s="2">
        <v>8.4501000000000007E-2</v>
      </c>
      <c r="Y498">
        <v>0.03</v>
      </c>
      <c r="Z498">
        <v>0.13</v>
      </c>
      <c r="AA498" s="20">
        <f>Table3[[#This Row],[APS]]*Table3[[#This Row],[PrimaComercial Anual]]</f>
        <v>71.368560000000002</v>
      </c>
      <c r="AB498" s="8">
        <f>Table3[[#This Row],[PrimaComercial Anual]]*Table3[[#This Row],[Recargo adicional]]</f>
        <v>407.4807222</v>
      </c>
      <c r="AC498" s="8">
        <f>Table3[[#This Row],[PrimaComercial Anual]]*Table3[[#This Row],[IT]]</f>
        <v>144.666</v>
      </c>
      <c r="AD498" s="8">
        <f>Table3[[#This Row],[PrimaComercial Anual]]*Table3[[#This Row],[IVA]]</f>
        <v>626.88599999999997</v>
      </c>
      <c r="AE498" s="15">
        <f>Table3[[#This Row],[PrimaComercial Anual Asistencia]]</f>
        <v>4822.2</v>
      </c>
      <c r="AG498">
        <v>4822.2</v>
      </c>
    </row>
    <row r="499" spans="1:33" x14ac:dyDescent="0.25">
      <c r="A499" t="s">
        <v>17</v>
      </c>
      <c r="B499">
        <v>420000</v>
      </c>
      <c r="C499">
        <v>35</v>
      </c>
      <c r="D499" s="2">
        <f>Table3[[#This Row],[PrimaTécnica]]-Table3[[#This Row],[PrimaTécnica]]*SUM(Table3[[#This Row],[Gastos Adm]:[Cobranza]])</f>
        <v>2071.6657839072</v>
      </c>
      <c r="E499">
        <v>0</v>
      </c>
      <c r="F499">
        <v>0.15</v>
      </c>
      <c r="G499">
        <v>0.05</v>
      </c>
      <c r="H499">
        <v>0.01</v>
      </c>
      <c r="I499">
        <v>0.01</v>
      </c>
      <c r="J499" s="8">
        <f>Table3[[#This Row],[PrimaTécnica]]*Table3[[#This Row],[Gastos Adm]]</f>
        <v>398.39726613599998</v>
      </c>
      <c r="K499" s="8">
        <f>Table3[[#This Row],[PrimaTécnica]]*Table3[[#This Row],[Utilidad]]</f>
        <v>132.79908871200001</v>
      </c>
      <c r="L499" s="8">
        <f>Table3[[#This Row],[PrimaTécnica]]*Table3[[#This Row],[Marketing]]</f>
        <v>26.5598177424</v>
      </c>
      <c r="M499" s="8">
        <f>Table3[[#This Row],[PrimaTécnica]]*Table3[[#This Row],[Cobranza]]</f>
        <v>26.5598177424</v>
      </c>
      <c r="N49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2655.98177424</v>
      </c>
      <c r="O499">
        <v>21.84</v>
      </c>
      <c r="P499">
        <v>54.6</v>
      </c>
      <c r="Q499">
        <v>80.64</v>
      </c>
      <c r="R499">
        <v>44.377200000000002</v>
      </c>
      <c r="S499">
        <v>0.2</v>
      </c>
      <c r="T499">
        <v>0.02</v>
      </c>
      <c r="U499" s="8">
        <f>Table3[[#This Row],[PrimaNeta]]*Table3[[#This Row],[Comisión]]</f>
        <v>714.35974355999997</v>
      </c>
      <c r="V499" s="15">
        <f>Table3[[#This Row],[PrimaComercial Anual]]-Table3[[#This Row],[PrimaComercial Anual]]*SUM(Table3[[#This Row],[APS]:[IVA]])</f>
        <v>3571.7987177999998</v>
      </c>
      <c r="W499" s="2">
        <v>1.4800000000000001E-2</v>
      </c>
      <c r="X499" s="2">
        <v>8.4501000000000007E-2</v>
      </c>
      <c r="Y499">
        <v>0.03</v>
      </c>
      <c r="Z499">
        <v>0.13</v>
      </c>
      <c r="AA499" s="20">
        <f>Table3[[#This Row],[APS]]*Table3[[#This Row],[PrimaComercial Anual]]</f>
        <v>71.368560000000002</v>
      </c>
      <c r="AB499" s="8">
        <f>Table3[[#This Row],[PrimaComercial Anual]]*Table3[[#This Row],[Recargo adicional]]</f>
        <v>407.4807222</v>
      </c>
      <c r="AC499" s="8">
        <f>Table3[[#This Row],[PrimaComercial Anual]]*Table3[[#This Row],[IT]]</f>
        <v>144.666</v>
      </c>
      <c r="AD499" s="8">
        <f>Table3[[#This Row],[PrimaComercial Anual]]*Table3[[#This Row],[IVA]]</f>
        <v>626.88599999999997</v>
      </c>
      <c r="AE499" s="15">
        <f>Table3[[#This Row],[PrimaComercial Anual Asistencia]]</f>
        <v>4822.2</v>
      </c>
      <c r="AG499">
        <v>4822.2</v>
      </c>
    </row>
    <row r="500" spans="1:33" x14ac:dyDescent="0.25">
      <c r="A500" t="s">
        <v>17</v>
      </c>
      <c r="B500">
        <v>420000</v>
      </c>
      <c r="C500">
        <v>36</v>
      </c>
      <c r="D500" s="2">
        <f>Table3[[#This Row],[PrimaTécnica]]-Table3[[#This Row],[PrimaTécnica]]*SUM(Table3[[#This Row],[Gastos Adm]:[Cobranza]])</f>
        <v>2071.6657839072</v>
      </c>
      <c r="E500">
        <v>0</v>
      </c>
      <c r="F500">
        <v>0.15</v>
      </c>
      <c r="G500">
        <v>0.05</v>
      </c>
      <c r="H500">
        <v>0.01</v>
      </c>
      <c r="I500">
        <v>0.01</v>
      </c>
      <c r="J500" s="8">
        <f>Table3[[#This Row],[PrimaTécnica]]*Table3[[#This Row],[Gastos Adm]]</f>
        <v>398.39726613599998</v>
      </c>
      <c r="K500" s="8">
        <f>Table3[[#This Row],[PrimaTécnica]]*Table3[[#This Row],[Utilidad]]</f>
        <v>132.79908871200001</v>
      </c>
      <c r="L500" s="8">
        <f>Table3[[#This Row],[PrimaTécnica]]*Table3[[#This Row],[Marketing]]</f>
        <v>26.5598177424</v>
      </c>
      <c r="M500" s="8">
        <f>Table3[[#This Row],[PrimaTécnica]]*Table3[[#This Row],[Cobranza]]</f>
        <v>26.5598177424</v>
      </c>
      <c r="N50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2655.98177424</v>
      </c>
      <c r="O500">
        <v>21.84</v>
      </c>
      <c r="P500">
        <v>54.6</v>
      </c>
      <c r="Q500">
        <v>80.64</v>
      </c>
      <c r="R500">
        <v>44.377200000000002</v>
      </c>
      <c r="S500">
        <v>0.2</v>
      </c>
      <c r="T500">
        <v>0.02</v>
      </c>
      <c r="U500" s="8">
        <f>Table3[[#This Row],[PrimaNeta]]*Table3[[#This Row],[Comisión]]</f>
        <v>714.35974355999997</v>
      </c>
      <c r="V500" s="15">
        <f>Table3[[#This Row],[PrimaComercial Anual]]-Table3[[#This Row],[PrimaComercial Anual]]*SUM(Table3[[#This Row],[APS]:[IVA]])</f>
        <v>3571.7987177999998</v>
      </c>
      <c r="W500" s="2">
        <v>1.4800000000000001E-2</v>
      </c>
      <c r="X500" s="2">
        <v>8.4501000000000007E-2</v>
      </c>
      <c r="Y500">
        <v>0.03</v>
      </c>
      <c r="Z500">
        <v>0.13</v>
      </c>
      <c r="AA500" s="20">
        <f>Table3[[#This Row],[APS]]*Table3[[#This Row],[PrimaComercial Anual]]</f>
        <v>71.368560000000002</v>
      </c>
      <c r="AB500" s="8">
        <f>Table3[[#This Row],[PrimaComercial Anual]]*Table3[[#This Row],[Recargo adicional]]</f>
        <v>407.4807222</v>
      </c>
      <c r="AC500" s="8">
        <f>Table3[[#This Row],[PrimaComercial Anual]]*Table3[[#This Row],[IT]]</f>
        <v>144.666</v>
      </c>
      <c r="AD500" s="8">
        <f>Table3[[#This Row],[PrimaComercial Anual]]*Table3[[#This Row],[IVA]]</f>
        <v>626.88599999999997</v>
      </c>
      <c r="AE500" s="15">
        <f>Table3[[#This Row],[PrimaComercial Anual Asistencia]]</f>
        <v>4822.2</v>
      </c>
      <c r="AG500">
        <v>4822.2</v>
      </c>
    </row>
    <row r="501" spans="1:33" x14ac:dyDescent="0.25">
      <c r="A501" t="s">
        <v>17</v>
      </c>
      <c r="B501">
        <v>420000</v>
      </c>
      <c r="C501">
        <v>37</v>
      </c>
      <c r="D501" s="2">
        <f>Table3[[#This Row],[PrimaTécnica]]-Table3[[#This Row],[PrimaTécnica]]*SUM(Table3[[#This Row],[Gastos Adm]:[Cobranza]])</f>
        <v>2071.6657839072</v>
      </c>
      <c r="E501">
        <v>0</v>
      </c>
      <c r="F501">
        <v>0.15</v>
      </c>
      <c r="G501">
        <v>0.05</v>
      </c>
      <c r="H501">
        <v>0.01</v>
      </c>
      <c r="I501">
        <v>0.01</v>
      </c>
      <c r="J501" s="8">
        <f>Table3[[#This Row],[PrimaTécnica]]*Table3[[#This Row],[Gastos Adm]]</f>
        <v>398.39726613599998</v>
      </c>
      <c r="K501" s="8">
        <f>Table3[[#This Row],[PrimaTécnica]]*Table3[[#This Row],[Utilidad]]</f>
        <v>132.79908871200001</v>
      </c>
      <c r="L501" s="8">
        <f>Table3[[#This Row],[PrimaTécnica]]*Table3[[#This Row],[Marketing]]</f>
        <v>26.5598177424</v>
      </c>
      <c r="M501" s="8">
        <f>Table3[[#This Row],[PrimaTécnica]]*Table3[[#This Row],[Cobranza]]</f>
        <v>26.5598177424</v>
      </c>
      <c r="N50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2655.98177424</v>
      </c>
      <c r="O501">
        <v>21.84</v>
      </c>
      <c r="P501">
        <v>54.6</v>
      </c>
      <c r="Q501">
        <v>80.64</v>
      </c>
      <c r="R501">
        <v>44.377200000000002</v>
      </c>
      <c r="S501">
        <v>0.2</v>
      </c>
      <c r="T501">
        <v>0.02</v>
      </c>
      <c r="U501" s="8">
        <f>Table3[[#This Row],[PrimaNeta]]*Table3[[#This Row],[Comisión]]</f>
        <v>714.35974355999997</v>
      </c>
      <c r="V501" s="15">
        <f>Table3[[#This Row],[PrimaComercial Anual]]-Table3[[#This Row],[PrimaComercial Anual]]*SUM(Table3[[#This Row],[APS]:[IVA]])</f>
        <v>3571.7987177999998</v>
      </c>
      <c r="W501" s="2">
        <v>1.4800000000000001E-2</v>
      </c>
      <c r="X501" s="2">
        <v>8.4501000000000007E-2</v>
      </c>
      <c r="Y501">
        <v>0.03</v>
      </c>
      <c r="Z501">
        <v>0.13</v>
      </c>
      <c r="AA501" s="20">
        <f>Table3[[#This Row],[APS]]*Table3[[#This Row],[PrimaComercial Anual]]</f>
        <v>71.368560000000002</v>
      </c>
      <c r="AB501" s="8">
        <f>Table3[[#This Row],[PrimaComercial Anual]]*Table3[[#This Row],[Recargo adicional]]</f>
        <v>407.4807222</v>
      </c>
      <c r="AC501" s="8">
        <f>Table3[[#This Row],[PrimaComercial Anual]]*Table3[[#This Row],[IT]]</f>
        <v>144.666</v>
      </c>
      <c r="AD501" s="8">
        <f>Table3[[#This Row],[PrimaComercial Anual]]*Table3[[#This Row],[IVA]]</f>
        <v>626.88599999999997</v>
      </c>
      <c r="AE501" s="15">
        <f>Table3[[#This Row],[PrimaComercial Anual Asistencia]]</f>
        <v>4822.2</v>
      </c>
      <c r="AG501">
        <v>4822.2</v>
      </c>
    </row>
    <row r="502" spans="1:33" x14ac:dyDescent="0.25">
      <c r="A502" t="s">
        <v>17</v>
      </c>
      <c r="B502">
        <v>420000</v>
      </c>
      <c r="C502">
        <v>38</v>
      </c>
      <c r="D502" s="2">
        <f>Table3[[#This Row],[PrimaTécnica]]-Table3[[#This Row],[PrimaTécnica]]*SUM(Table3[[#This Row],[Gastos Adm]:[Cobranza]])</f>
        <v>2071.6657839072</v>
      </c>
      <c r="E502">
        <v>0</v>
      </c>
      <c r="F502">
        <v>0.15</v>
      </c>
      <c r="G502">
        <v>0.05</v>
      </c>
      <c r="H502">
        <v>0.01</v>
      </c>
      <c r="I502">
        <v>0.01</v>
      </c>
      <c r="J502" s="8">
        <f>Table3[[#This Row],[PrimaTécnica]]*Table3[[#This Row],[Gastos Adm]]</f>
        <v>398.39726613599998</v>
      </c>
      <c r="K502" s="8">
        <f>Table3[[#This Row],[PrimaTécnica]]*Table3[[#This Row],[Utilidad]]</f>
        <v>132.79908871200001</v>
      </c>
      <c r="L502" s="8">
        <f>Table3[[#This Row],[PrimaTécnica]]*Table3[[#This Row],[Marketing]]</f>
        <v>26.5598177424</v>
      </c>
      <c r="M502" s="8">
        <f>Table3[[#This Row],[PrimaTécnica]]*Table3[[#This Row],[Cobranza]]</f>
        <v>26.5598177424</v>
      </c>
      <c r="N50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2655.98177424</v>
      </c>
      <c r="O502">
        <v>21.84</v>
      </c>
      <c r="P502">
        <v>54.6</v>
      </c>
      <c r="Q502">
        <v>80.64</v>
      </c>
      <c r="R502">
        <v>44.377200000000002</v>
      </c>
      <c r="S502">
        <v>0.2</v>
      </c>
      <c r="T502">
        <v>0.02</v>
      </c>
      <c r="U502" s="8">
        <f>Table3[[#This Row],[PrimaNeta]]*Table3[[#This Row],[Comisión]]</f>
        <v>714.35974355999997</v>
      </c>
      <c r="V502" s="15">
        <f>Table3[[#This Row],[PrimaComercial Anual]]-Table3[[#This Row],[PrimaComercial Anual]]*SUM(Table3[[#This Row],[APS]:[IVA]])</f>
        <v>3571.7987177999998</v>
      </c>
      <c r="W502" s="2">
        <v>1.4800000000000001E-2</v>
      </c>
      <c r="X502" s="2">
        <v>8.4501000000000007E-2</v>
      </c>
      <c r="Y502">
        <v>0.03</v>
      </c>
      <c r="Z502">
        <v>0.13</v>
      </c>
      <c r="AA502" s="20">
        <f>Table3[[#This Row],[APS]]*Table3[[#This Row],[PrimaComercial Anual]]</f>
        <v>71.368560000000002</v>
      </c>
      <c r="AB502" s="8">
        <f>Table3[[#This Row],[PrimaComercial Anual]]*Table3[[#This Row],[Recargo adicional]]</f>
        <v>407.4807222</v>
      </c>
      <c r="AC502" s="8">
        <f>Table3[[#This Row],[PrimaComercial Anual]]*Table3[[#This Row],[IT]]</f>
        <v>144.666</v>
      </c>
      <c r="AD502" s="8">
        <f>Table3[[#This Row],[PrimaComercial Anual]]*Table3[[#This Row],[IVA]]</f>
        <v>626.88599999999997</v>
      </c>
      <c r="AE502" s="15">
        <f>Table3[[#This Row],[PrimaComercial Anual Asistencia]]</f>
        <v>4822.2</v>
      </c>
      <c r="AG502">
        <v>4822.2</v>
      </c>
    </row>
    <row r="503" spans="1:33" x14ac:dyDescent="0.25">
      <c r="A503" t="s">
        <v>17</v>
      </c>
      <c r="B503">
        <v>420000</v>
      </c>
      <c r="C503">
        <v>39</v>
      </c>
      <c r="D503" s="2">
        <f>Table3[[#This Row],[PrimaTécnica]]-Table3[[#This Row],[PrimaTécnica]]*SUM(Table3[[#This Row],[Gastos Adm]:[Cobranza]])</f>
        <v>2071.6657839072</v>
      </c>
      <c r="E503">
        <v>0</v>
      </c>
      <c r="F503">
        <v>0.15</v>
      </c>
      <c r="G503">
        <v>0.05</v>
      </c>
      <c r="H503">
        <v>0.01</v>
      </c>
      <c r="I503">
        <v>0.01</v>
      </c>
      <c r="J503" s="8">
        <f>Table3[[#This Row],[PrimaTécnica]]*Table3[[#This Row],[Gastos Adm]]</f>
        <v>398.39726613599998</v>
      </c>
      <c r="K503" s="8">
        <f>Table3[[#This Row],[PrimaTécnica]]*Table3[[#This Row],[Utilidad]]</f>
        <v>132.79908871200001</v>
      </c>
      <c r="L503" s="8">
        <f>Table3[[#This Row],[PrimaTécnica]]*Table3[[#This Row],[Marketing]]</f>
        <v>26.5598177424</v>
      </c>
      <c r="M503" s="8">
        <f>Table3[[#This Row],[PrimaTécnica]]*Table3[[#This Row],[Cobranza]]</f>
        <v>26.5598177424</v>
      </c>
      <c r="N50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2655.98177424</v>
      </c>
      <c r="O503">
        <v>21.84</v>
      </c>
      <c r="P503">
        <v>54.6</v>
      </c>
      <c r="Q503">
        <v>80.64</v>
      </c>
      <c r="R503">
        <v>44.377200000000002</v>
      </c>
      <c r="S503">
        <v>0.2</v>
      </c>
      <c r="T503">
        <v>0.02</v>
      </c>
      <c r="U503" s="8">
        <f>Table3[[#This Row],[PrimaNeta]]*Table3[[#This Row],[Comisión]]</f>
        <v>714.35974355999997</v>
      </c>
      <c r="V503" s="15">
        <f>Table3[[#This Row],[PrimaComercial Anual]]-Table3[[#This Row],[PrimaComercial Anual]]*SUM(Table3[[#This Row],[APS]:[IVA]])</f>
        <v>3571.7987177999998</v>
      </c>
      <c r="W503" s="2">
        <v>1.4800000000000001E-2</v>
      </c>
      <c r="X503" s="2">
        <v>8.4501000000000007E-2</v>
      </c>
      <c r="Y503">
        <v>0.03</v>
      </c>
      <c r="Z503">
        <v>0.13</v>
      </c>
      <c r="AA503" s="20">
        <f>Table3[[#This Row],[APS]]*Table3[[#This Row],[PrimaComercial Anual]]</f>
        <v>71.368560000000002</v>
      </c>
      <c r="AB503" s="8">
        <f>Table3[[#This Row],[PrimaComercial Anual]]*Table3[[#This Row],[Recargo adicional]]</f>
        <v>407.4807222</v>
      </c>
      <c r="AC503" s="8">
        <f>Table3[[#This Row],[PrimaComercial Anual]]*Table3[[#This Row],[IT]]</f>
        <v>144.666</v>
      </c>
      <c r="AD503" s="8">
        <f>Table3[[#This Row],[PrimaComercial Anual]]*Table3[[#This Row],[IVA]]</f>
        <v>626.88599999999997</v>
      </c>
      <c r="AE503" s="15">
        <f>Table3[[#This Row],[PrimaComercial Anual Asistencia]]</f>
        <v>4822.2</v>
      </c>
      <c r="AG503">
        <v>4822.2</v>
      </c>
    </row>
    <row r="504" spans="1:33" x14ac:dyDescent="0.25">
      <c r="A504" t="s">
        <v>17</v>
      </c>
      <c r="B504">
        <v>420000</v>
      </c>
      <c r="C504">
        <v>40</v>
      </c>
      <c r="D504" s="2">
        <f>Table3[[#This Row],[PrimaTécnica]]-Table3[[#This Row],[PrimaTécnica]]*SUM(Table3[[#This Row],[Gastos Adm]:[Cobranza]])</f>
        <v>2809.3308808031998</v>
      </c>
      <c r="E504">
        <v>0</v>
      </c>
      <c r="F504">
        <v>0.15</v>
      </c>
      <c r="G504">
        <v>0.05</v>
      </c>
      <c r="H504">
        <v>0.01</v>
      </c>
      <c r="I504">
        <v>0.01</v>
      </c>
      <c r="J504" s="8">
        <f>Table3[[#This Row],[PrimaTécnica]]*Table3[[#This Row],[Gastos Adm]]</f>
        <v>540.25593861599998</v>
      </c>
      <c r="K504" s="8">
        <f>Table3[[#This Row],[PrimaTécnica]]*Table3[[#This Row],[Utilidad]]</f>
        <v>180.08531287200003</v>
      </c>
      <c r="L504" s="8">
        <f>Table3[[#This Row],[PrimaTécnica]]*Table3[[#This Row],[Marketing]]</f>
        <v>36.017062574400001</v>
      </c>
      <c r="M504" s="8">
        <f>Table3[[#This Row],[PrimaTécnica]]*Table3[[#This Row],[Cobranza]]</f>
        <v>36.017062574400001</v>
      </c>
      <c r="N50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3601.7062574400002</v>
      </c>
      <c r="O504">
        <v>21.84</v>
      </c>
      <c r="P504">
        <v>54.6</v>
      </c>
      <c r="Q504">
        <v>80.64</v>
      </c>
      <c r="R504">
        <v>44.377200000000002</v>
      </c>
      <c r="S504">
        <v>0.2</v>
      </c>
      <c r="T504">
        <v>0.02</v>
      </c>
      <c r="U504" s="8">
        <f>Table3[[#This Row],[PrimaNeta]]*Table3[[#This Row],[Comisión]]</f>
        <v>950.79086436</v>
      </c>
      <c r="V504" s="15">
        <f>Table3[[#This Row],[PrimaComercial Anual]]-Table3[[#This Row],[PrimaComercial Anual]]*SUM(Table3[[#This Row],[APS]:[IVA]])</f>
        <v>4753.9543217999999</v>
      </c>
      <c r="W504" s="2">
        <v>1.4800000000000001E-2</v>
      </c>
      <c r="X504" s="2">
        <v>8.4501000000000007E-2</v>
      </c>
      <c r="Y504">
        <v>0.03</v>
      </c>
      <c r="Z504">
        <v>0.13</v>
      </c>
      <c r="AA504" s="20">
        <f>Table3[[#This Row],[APS]]*Table3[[#This Row],[PrimaComercial Anual]]</f>
        <v>94.989360000000005</v>
      </c>
      <c r="AB504" s="8">
        <f>Table3[[#This Row],[PrimaComercial Anual]]*Table3[[#This Row],[Recargo adicional]]</f>
        <v>542.34431819999998</v>
      </c>
      <c r="AC504" s="8">
        <f>Table3[[#This Row],[PrimaComercial Anual]]*Table3[[#This Row],[IT]]</f>
        <v>192.54599999999999</v>
      </c>
      <c r="AD504" s="8">
        <f>Table3[[#This Row],[PrimaComercial Anual]]*Table3[[#This Row],[IVA]]</f>
        <v>834.36599999999999</v>
      </c>
      <c r="AE504" s="15">
        <f>Table3[[#This Row],[PrimaComercial Anual Asistencia]]</f>
        <v>6418.2</v>
      </c>
      <c r="AG504">
        <v>6418.2</v>
      </c>
    </row>
    <row r="505" spans="1:33" x14ac:dyDescent="0.25">
      <c r="A505" t="s">
        <v>17</v>
      </c>
      <c r="B505">
        <v>420000</v>
      </c>
      <c r="C505">
        <v>41</v>
      </c>
      <c r="D505" s="2">
        <f>Table3[[#This Row],[PrimaTécnica]]-Table3[[#This Row],[PrimaTécnica]]*SUM(Table3[[#This Row],[Gastos Adm]:[Cobranza]])</f>
        <v>2809.3308808031998</v>
      </c>
      <c r="E505">
        <v>0</v>
      </c>
      <c r="F505">
        <v>0.15</v>
      </c>
      <c r="G505">
        <v>0.05</v>
      </c>
      <c r="H505">
        <v>0.01</v>
      </c>
      <c r="I505">
        <v>0.01</v>
      </c>
      <c r="J505" s="8">
        <f>Table3[[#This Row],[PrimaTécnica]]*Table3[[#This Row],[Gastos Adm]]</f>
        <v>540.25593861599998</v>
      </c>
      <c r="K505" s="8">
        <f>Table3[[#This Row],[PrimaTécnica]]*Table3[[#This Row],[Utilidad]]</f>
        <v>180.08531287200003</v>
      </c>
      <c r="L505" s="8">
        <f>Table3[[#This Row],[PrimaTécnica]]*Table3[[#This Row],[Marketing]]</f>
        <v>36.017062574400001</v>
      </c>
      <c r="M505" s="8">
        <f>Table3[[#This Row],[PrimaTécnica]]*Table3[[#This Row],[Cobranza]]</f>
        <v>36.017062574400001</v>
      </c>
      <c r="N50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3601.7062574400002</v>
      </c>
      <c r="O505">
        <v>21.84</v>
      </c>
      <c r="P505">
        <v>54.6</v>
      </c>
      <c r="Q505">
        <v>80.64</v>
      </c>
      <c r="R505">
        <v>44.377200000000002</v>
      </c>
      <c r="S505">
        <v>0.2</v>
      </c>
      <c r="T505">
        <v>0.02</v>
      </c>
      <c r="U505" s="8">
        <f>Table3[[#This Row],[PrimaNeta]]*Table3[[#This Row],[Comisión]]</f>
        <v>950.79086436</v>
      </c>
      <c r="V505" s="15">
        <f>Table3[[#This Row],[PrimaComercial Anual]]-Table3[[#This Row],[PrimaComercial Anual]]*SUM(Table3[[#This Row],[APS]:[IVA]])</f>
        <v>4753.9543217999999</v>
      </c>
      <c r="W505" s="2">
        <v>1.4800000000000001E-2</v>
      </c>
      <c r="X505" s="2">
        <v>8.4501000000000007E-2</v>
      </c>
      <c r="Y505">
        <v>0.03</v>
      </c>
      <c r="Z505">
        <v>0.13</v>
      </c>
      <c r="AA505" s="20">
        <f>Table3[[#This Row],[APS]]*Table3[[#This Row],[PrimaComercial Anual]]</f>
        <v>94.989360000000005</v>
      </c>
      <c r="AB505" s="8">
        <f>Table3[[#This Row],[PrimaComercial Anual]]*Table3[[#This Row],[Recargo adicional]]</f>
        <v>542.34431819999998</v>
      </c>
      <c r="AC505" s="8">
        <f>Table3[[#This Row],[PrimaComercial Anual]]*Table3[[#This Row],[IT]]</f>
        <v>192.54599999999999</v>
      </c>
      <c r="AD505" s="8">
        <f>Table3[[#This Row],[PrimaComercial Anual]]*Table3[[#This Row],[IVA]]</f>
        <v>834.36599999999999</v>
      </c>
      <c r="AE505" s="15">
        <f>Table3[[#This Row],[PrimaComercial Anual Asistencia]]</f>
        <v>6418.2</v>
      </c>
      <c r="AG505">
        <v>6418.2</v>
      </c>
    </row>
    <row r="506" spans="1:33" x14ac:dyDescent="0.25">
      <c r="A506" t="s">
        <v>17</v>
      </c>
      <c r="B506">
        <v>420000</v>
      </c>
      <c r="C506">
        <v>42</v>
      </c>
      <c r="D506" s="2">
        <f>Table3[[#This Row],[PrimaTécnica]]-Table3[[#This Row],[PrimaTécnica]]*SUM(Table3[[#This Row],[Gastos Adm]:[Cobranza]])</f>
        <v>2809.3308808031998</v>
      </c>
      <c r="E506">
        <v>0</v>
      </c>
      <c r="F506">
        <v>0.15</v>
      </c>
      <c r="G506">
        <v>0.05</v>
      </c>
      <c r="H506">
        <v>0.01</v>
      </c>
      <c r="I506">
        <v>0.01</v>
      </c>
      <c r="J506" s="8">
        <f>Table3[[#This Row],[PrimaTécnica]]*Table3[[#This Row],[Gastos Adm]]</f>
        <v>540.25593861599998</v>
      </c>
      <c r="K506" s="8">
        <f>Table3[[#This Row],[PrimaTécnica]]*Table3[[#This Row],[Utilidad]]</f>
        <v>180.08531287200003</v>
      </c>
      <c r="L506" s="8">
        <f>Table3[[#This Row],[PrimaTécnica]]*Table3[[#This Row],[Marketing]]</f>
        <v>36.017062574400001</v>
      </c>
      <c r="M506" s="8">
        <f>Table3[[#This Row],[PrimaTécnica]]*Table3[[#This Row],[Cobranza]]</f>
        <v>36.017062574400001</v>
      </c>
      <c r="N50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3601.7062574400002</v>
      </c>
      <c r="O506">
        <v>21.84</v>
      </c>
      <c r="P506">
        <v>54.6</v>
      </c>
      <c r="Q506">
        <v>80.64</v>
      </c>
      <c r="R506">
        <v>44.377200000000002</v>
      </c>
      <c r="S506">
        <v>0.2</v>
      </c>
      <c r="T506">
        <v>0.02</v>
      </c>
      <c r="U506" s="8">
        <f>Table3[[#This Row],[PrimaNeta]]*Table3[[#This Row],[Comisión]]</f>
        <v>950.79086436</v>
      </c>
      <c r="V506" s="15">
        <f>Table3[[#This Row],[PrimaComercial Anual]]-Table3[[#This Row],[PrimaComercial Anual]]*SUM(Table3[[#This Row],[APS]:[IVA]])</f>
        <v>4753.9543217999999</v>
      </c>
      <c r="W506" s="2">
        <v>1.4800000000000001E-2</v>
      </c>
      <c r="X506" s="2">
        <v>8.4501000000000007E-2</v>
      </c>
      <c r="Y506">
        <v>0.03</v>
      </c>
      <c r="Z506">
        <v>0.13</v>
      </c>
      <c r="AA506" s="20">
        <f>Table3[[#This Row],[APS]]*Table3[[#This Row],[PrimaComercial Anual]]</f>
        <v>94.989360000000005</v>
      </c>
      <c r="AB506" s="8">
        <f>Table3[[#This Row],[PrimaComercial Anual]]*Table3[[#This Row],[Recargo adicional]]</f>
        <v>542.34431819999998</v>
      </c>
      <c r="AC506" s="8">
        <f>Table3[[#This Row],[PrimaComercial Anual]]*Table3[[#This Row],[IT]]</f>
        <v>192.54599999999999</v>
      </c>
      <c r="AD506" s="8">
        <f>Table3[[#This Row],[PrimaComercial Anual]]*Table3[[#This Row],[IVA]]</f>
        <v>834.36599999999999</v>
      </c>
      <c r="AE506" s="15">
        <f>Table3[[#This Row],[PrimaComercial Anual Asistencia]]</f>
        <v>6418.2</v>
      </c>
      <c r="AG506">
        <v>6418.2</v>
      </c>
    </row>
    <row r="507" spans="1:33" x14ac:dyDescent="0.25">
      <c r="A507" t="s">
        <v>17</v>
      </c>
      <c r="B507">
        <v>420000</v>
      </c>
      <c r="C507">
        <v>43</v>
      </c>
      <c r="D507" s="2">
        <f>Table3[[#This Row],[PrimaTécnica]]-Table3[[#This Row],[PrimaTécnica]]*SUM(Table3[[#This Row],[Gastos Adm]:[Cobranza]])</f>
        <v>2809.3308808031998</v>
      </c>
      <c r="E507">
        <v>0</v>
      </c>
      <c r="F507">
        <v>0.15</v>
      </c>
      <c r="G507">
        <v>0.05</v>
      </c>
      <c r="H507">
        <v>0.01</v>
      </c>
      <c r="I507">
        <v>0.01</v>
      </c>
      <c r="J507" s="8">
        <f>Table3[[#This Row],[PrimaTécnica]]*Table3[[#This Row],[Gastos Adm]]</f>
        <v>540.25593861599998</v>
      </c>
      <c r="K507" s="8">
        <f>Table3[[#This Row],[PrimaTécnica]]*Table3[[#This Row],[Utilidad]]</f>
        <v>180.08531287200003</v>
      </c>
      <c r="L507" s="8">
        <f>Table3[[#This Row],[PrimaTécnica]]*Table3[[#This Row],[Marketing]]</f>
        <v>36.017062574400001</v>
      </c>
      <c r="M507" s="8">
        <f>Table3[[#This Row],[PrimaTécnica]]*Table3[[#This Row],[Cobranza]]</f>
        <v>36.017062574400001</v>
      </c>
      <c r="N50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3601.7062574400002</v>
      </c>
      <c r="O507">
        <v>21.84</v>
      </c>
      <c r="P507">
        <v>54.6</v>
      </c>
      <c r="Q507">
        <v>80.64</v>
      </c>
      <c r="R507">
        <v>44.377200000000002</v>
      </c>
      <c r="S507">
        <v>0.2</v>
      </c>
      <c r="T507">
        <v>0.02</v>
      </c>
      <c r="U507" s="8">
        <f>Table3[[#This Row],[PrimaNeta]]*Table3[[#This Row],[Comisión]]</f>
        <v>950.79086436</v>
      </c>
      <c r="V507" s="15">
        <f>Table3[[#This Row],[PrimaComercial Anual]]-Table3[[#This Row],[PrimaComercial Anual]]*SUM(Table3[[#This Row],[APS]:[IVA]])</f>
        <v>4753.9543217999999</v>
      </c>
      <c r="W507" s="2">
        <v>1.4800000000000001E-2</v>
      </c>
      <c r="X507" s="2">
        <v>8.4501000000000007E-2</v>
      </c>
      <c r="Y507">
        <v>0.03</v>
      </c>
      <c r="Z507">
        <v>0.13</v>
      </c>
      <c r="AA507" s="20">
        <f>Table3[[#This Row],[APS]]*Table3[[#This Row],[PrimaComercial Anual]]</f>
        <v>94.989360000000005</v>
      </c>
      <c r="AB507" s="8">
        <f>Table3[[#This Row],[PrimaComercial Anual]]*Table3[[#This Row],[Recargo adicional]]</f>
        <v>542.34431819999998</v>
      </c>
      <c r="AC507" s="8">
        <f>Table3[[#This Row],[PrimaComercial Anual]]*Table3[[#This Row],[IT]]</f>
        <v>192.54599999999999</v>
      </c>
      <c r="AD507" s="8">
        <f>Table3[[#This Row],[PrimaComercial Anual]]*Table3[[#This Row],[IVA]]</f>
        <v>834.36599999999999</v>
      </c>
      <c r="AE507" s="15">
        <f>Table3[[#This Row],[PrimaComercial Anual Asistencia]]</f>
        <v>6418.2</v>
      </c>
      <c r="AG507">
        <v>6418.2</v>
      </c>
    </row>
    <row r="508" spans="1:33" x14ac:dyDescent="0.25">
      <c r="A508" t="s">
        <v>17</v>
      </c>
      <c r="B508">
        <v>420000</v>
      </c>
      <c r="C508">
        <v>44</v>
      </c>
      <c r="D508" s="2">
        <f>Table3[[#This Row],[PrimaTécnica]]-Table3[[#This Row],[PrimaTécnica]]*SUM(Table3[[#This Row],[Gastos Adm]:[Cobranza]])</f>
        <v>2809.3308808031998</v>
      </c>
      <c r="E508">
        <v>0</v>
      </c>
      <c r="F508">
        <v>0.15</v>
      </c>
      <c r="G508">
        <v>0.05</v>
      </c>
      <c r="H508">
        <v>0.01</v>
      </c>
      <c r="I508">
        <v>0.01</v>
      </c>
      <c r="J508" s="8">
        <f>Table3[[#This Row],[PrimaTécnica]]*Table3[[#This Row],[Gastos Adm]]</f>
        <v>540.25593861599998</v>
      </c>
      <c r="K508" s="8">
        <f>Table3[[#This Row],[PrimaTécnica]]*Table3[[#This Row],[Utilidad]]</f>
        <v>180.08531287200003</v>
      </c>
      <c r="L508" s="8">
        <f>Table3[[#This Row],[PrimaTécnica]]*Table3[[#This Row],[Marketing]]</f>
        <v>36.017062574400001</v>
      </c>
      <c r="M508" s="8">
        <f>Table3[[#This Row],[PrimaTécnica]]*Table3[[#This Row],[Cobranza]]</f>
        <v>36.017062574400001</v>
      </c>
      <c r="N50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3601.7062574400002</v>
      </c>
      <c r="O508">
        <v>21.84</v>
      </c>
      <c r="P508">
        <v>54.6</v>
      </c>
      <c r="Q508">
        <v>80.64</v>
      </c>
      <c r="R508">
        <v>44.377200000000002</v>
      </c>
      <c r="S508">
        <v>0.2</v>
      </c>
      <c r="T508">
        <v>0.02</v>
      </c>
      <c r="U508" s="8">
        <f>Table3[[#This Row],[PrimaNeta]]*Table3[[#This Row],[Comisión]]</f>
        <v>950.79086436</v>
      </c>
      <c r="V508" s="15">
        <f>Table3[[#This Row],[PrimaComercial Anual]]-Table3[[#This Row],[PrimaComercial Anual]]*SUM(Table3[[#This Row],[APS]:[IVA]])</f>
        <v>4753.9543217999999</v>
      </c>
      <c r="W508" s="2">
        <v>1.4800000000000001E-2</v>
      </c>
      <c r="X508" s="2">
        <v>8.4501000000000007E-2</v>
      </c>
      <c r="Y508">
        <v>0.03</v>
      </c>
      <c r="Z508">
        <v>0.13</v>
      </c>
      <c r="AA508" s="20">
        <f>Table3[[#This Row],[APS]]*Table3[[#This Row],[PrimaComercial Anual]]</f>
        <v>94.989360000000005</v>
      </c>
      <c r="AB508" s="8">
        <f>Table3[[#This Row],[PrimaComercial Anual]]*Table3[[#This Row],[Recargo adicional]]</f>
        <v>542.34431819999998</v>
      </c>
      <c r="AC508" s="8">
        <f>Table3[[#This Row],[PrimaComercial Anual]]*Table3[[#This Row],[IT]]</f>
        <v>192.54599999999999</v>
      </c>
      <c r="AD508" s="8">
        <f>Table3[[#This Row],[PrimaComercial Anual]]*Table3[[#This Row],[IVA]]</f>
        <v>834.36599999999999</v>
      </c>
      <c r="AE508" s="15">
        <f>Table3[[#This Row],[PrimaComercial Anual Asistencia]]</f>
        <v>6418.2</v>
      </c>
      <c r="AG508">
        <v>6418.2</v>
      </c>
    </row>
    <row r="509" spans="1:33" x14ac:dyDescent="0.25">
      <c r="A509" t="s">
        <v>17</v>
      </c>
      <c r="B509">
        <v>420000</v>
      </c>
      <c r="C509">
        <v>45</v>
      </c>
      <c r="D509" s="2">
        <f>Table3[[#This Row],[PrimaTécnica]]-Table3[[#This Row],[PrimaTécnica]]*SUM(Table3[[#This Row],[Gastos Adm]:[Cobranza]])</f>
        <v>2809.3308808031998</v>
      </c>
      <c r="E509">
        <v>0</v>
      </c>
      <c r="F509">
        <v>0.15</v>
      </c>
      <c r="G509">
        <v>0.05</v>
      </c>
      <c r="H509">
        <v>0.01</v>
      </c>
      <c r="I509">
        <v>0.01</v>
      </c>
      <c r="J509" s="8">
        <f>Table3[[#This Row],[PrimaTécnica]]*Table3[[#This Row],[Gastos Adm]]</f>
        <v>540.25593861599998</v>
      </c>
      <c r="K509" s="8">
        <f>Table3[[#This Row],[PrimaTécnica]]*Table3[[#This Row],[Utilidad]]</f>
        <v>180.08531287200003</v>
      </c>
      <c r="L509" s="8">
        <f>Table3[[#This Row],[PrimaTécnica]]*Table3[[#This Row],[Marketing]]</f>
        <v>36.017062574400001</v>
      </c>
      <c r="M509" s="8">
        <f>Table3[[#This Row],[PrimaTécnica]]*Table3[[#This Row],[Cobranza]]</f>
        <v>36.017062574400001</v>
      </c>
      <c r="N50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3601.7062574400002</v>
      </c>
      <c r="O509">
        <v>21.84</v>
      </c>
      <c r="P509">
        <v>54.6</v>
      </c>
      <c r="Q509">
        <v>80.64</v>
      </c>
      <c r="R509">
        <v>44.377200000000002</v>
      </c>
      <c r="S509">
        <v>0.2</v>
      </c>
      <c r="T509">
        <v>0.02</v>
      </c>
      <c r="U509" s="8">
        <f>Table3[[#This Row],[PrimaNeta]]*Table3[[#This Row],[Comisión]]</f>
        <v>950.79086436</v>
      </c>
      <c r="V509" s="15">
        <f>Table3[[#This Row],[PrimaComercial Anual]]-Table3[[#This Row],[PrimaComercial Anual]]*SUM(Table3[[#This Row],[APS]:[IVA]])</f>
        <v>4753.9543217999999</v>
      </c>
      <c r="W509" s="2">
        <v>1.4800000000000001E-2</v>
      </c>
      <c r="X509" s="2">
        <v>8.4501000000000007E-2</v>
      </c>
      <c r="Y509">
        <v>0.03</v>
      </c>
      <c r="Z509">
        <v>0.13</v>
      </c>
      <c r="AA509" s="20">
        <f>Table3[[#This Row],[APS]]*Table3[[#This Row],[PrimaComercial Anual]]</f>
        <v>94.989360000000005</v>
      </c>
      <c r="AB509" s="8">
        <f>Table3[[#This Row],[PrimaComercial Anual]]*Table3[[#This Row],[Recargo adicional]]</f>
        <v>542.34431819999998</v>
      </c>
      <c r="AC509" s="8">
        <f>Table3[[#This Row],[PrimaComercial Anual]]*Table3[[#This Row],[IT]]</f>
        <v>192.54599999999999</v>
      </c>
      <c r="AD509" s="8">
        <f>Table3[[#This Row],[PrimaComercial Anual]]*Table3[[#This Row],[IVA]]</f>
        <v>834.36599999999999</v>
      </c>
      <c r="AE509" s="15">
        <f>Table3[[#This Row],[PrimaComercial Anual Asistencia]]</f>
        <v>6418.2</v>
      </c>
      <c r="AG509">
        <v>6418.2</v>
      </c>
    </row>
    <row r="510" spans="1:33" x14ac:dyDescent="0.25">
      <c r="A510" t="s">
        <v>17</v>
      </c>
      <c r="B510">
        <v>420000</v>
      </c>
      <c r="C510">
        <v>46</v>
      </c>
      <c r="D510" s="2">
        <f>Table3[[#This Row],[PrimaTécnica]]-Table3[[#This Row],[PrimaTécnica]]*SUM(Table3[[#This Row],[Gastos Adm]:[Cobranza]])</f>
        <v>2809.3308808031998</v>
      </c>
      <c r="E510">
        <v>0</v>
      </c>
      <c r="F510">
        <v>0.15</v>
      </c>
      <c r="G510">
        <v>0.05</v>
      </c>
      <c r="H510">
        <v>0.01</v>
      </c>
      <c r="I510">
        <v>0.01</v>
      </c>
      <c r="J510" s="8">
        <f>Table3[[#This Row],[PrimaTécnica]]*Table3[[#This Row],[Gastos Adm]]</f>
        <v>540.25593861599998</v>
      </c>
      <c r="K510" s="8">
        <f>Table3[[#This Row],[PrimaTécnica]]*Table3[[#This Row],[Utilidad]]</f>
        <v>180.08531287200003</v>
      </c>
      <c r="L510" s="8">
        <f>Table3[[#This Row],[PrimaTécnica]]*Table3[[#This Row],[Marketing]]</f>
        <v>36.017062574400001</v>
      </c>
      <c r="M510" s="8">
        <f>Table3[[#This Row],[PrimaTécnica]]*Table3[[#This Row],[Cobranza]]</f>
        <v>36.017062574400001</v>
      </c>
      <c r="N51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3601.7062574400002</v>
      </c>
      <c r="O510">
        <v>21.84</v>
      </c>
      <c r="P510">
        <v>54.6</v>
      </c>
      <c r="Q510">
        <v>80.64</v>
      </c>
      <c r="R510">
        <v>44.377200000000002</v>
      </c>
      <c r="S510">
        <v>0.2</v>
      </c>
      <c r="T510">
        <v>0.02</v>
      </c>
      <c r="U510" s="8">
        <f>Table3[[#This Row],[PrimaNeta]]*Table3[[#This Row],[Comisión]]</f>
        <v>950.79086436</v>
      </c>
      <c r="V510" s="15">
        <f>Table3[[#This Row],[PrimaComercial Anual]]-Table3[[#This Row],[PrimaComercial Anual]]*SUM(Table3[[#This Row],[APS]:[IVA]])</f>
        <v>4753.9543217999999</v>
      </c>
      <c r="W510" s="2">
        <v>1.4800000000000001E-2</v>
      </c>
      <c r="X510" s="2">
        <v>8.4501000000000007E-2</v>
      </c>
      <c r="Y510">
        <v>0.03</v>
      </c>
      <c r="Z510">
        <v>0.13</v>
      </c>
      <c r="AA510" s="20">
        <f>Table3[[#This Row],[APS]]*Table3[[#This Row],[PrimaComercial Anual]]</f>
        <v>94.989360000000005</v>
      </c>
      <c r="AB510" s="8">
        <f>Table3[[#This Row],[PrimaComercial Anual]]*Table3[[#This Row],[Recargo adicional]]</f>
        <v>542.34431819999998</v>
      </c>
      <c r="AC510" s="8">
        <f>Table3[[#This Row],[PrimaComercial Anual]]*Table3[[#This Row],[IT]]</f>
        <v>192.54599999999999</v>
      </c>
      <c r="AD510" s="8">
        <f>Table3[[#This Row],[PrimaComercial Anual]]*Table3[[#This Row],[IVA]]</f>
        <v>834.36599999999999</v>
      </c>
      <c r="AE510" s="15">
        <f>Table3[[#This Row],[PrimaComercial Anual Asistencia]]</f>
        <v>6418.2</v>
      </c>
      <c r="AG510">
        <v>6418.2</v>
      </c>
    </row>
    <row r="511" spans="1:33" x14ac:dyDescent="0.25">
      <c r="A511" t="s">
        <v>17</v>
      </c>
      <c r="B511">
        <v>420000</v>
      </c>
      <c r="C511">
        <v>47</v>
      </c>
      <c r="D511" s="2">
        <f>Table3[[#This Row],[PrimaTécnica]]-Table3[[#This Row],[PrimaTécnica]]*SUM(Table3[[#This Row],[Gastos Adm]:[Cobranza]])</f>
        <v>2809.3308808031998</v>
      </c>
      <c r="E511">
        <v>0</v>
      </c>
      <c r="F511">
        <v>0.15</v>
      </c>
      <c r="G511">
        <v>0.05</v>
      </c>
      <c r="H511">
        <v>0.01</v>
      </c>
      <c r="I511">
        <v>0.01</v>
      </c>
      <c r="J511" s="8">
        <f>Table3[[#This Row],[PrimaTécnica]]*Table3[[#This Row],[Gastos Adm]]</f>
        <v>540.25593861599998</v>
      </c>
      <c r="K511" s="8">
        <f>Table3[[#This Row],[PrimaTécnica]]*Table3[[#This Row],[Utilidad]]</f>
        <v>180.08531287200003</v>
      </c>
      <c r="L511" s="8">
        <f>Table3[[#This Row],[PrimaTécnica]]*Table3[[#This Row],[Marketing]]</f>
        <v>36.017062574400001</v>
      </c>
      <c r="M511" s="8">
        <f>Table3[[#This Row],[PrimaTécnica]]*Table3[[#This Row],[Cobranza]]</f>
        <v>36.017062574400001</v>
      </c>
      <c r="N51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3601.7062574400002</v>
      </c>
      <c r="O511">
        <v>21.84</v>
      </c>
      <c r="P511">
        <v>54.6</v>
      </c>
      <c r="Q511">
        <v>80.64</v>
      </c>
      <c r="R511">
        <v>44.377200000000002</v>
      </c>
      <c r="S511">
        <v>0.2</v>
      </c>
      <c r="T511">
        <v>0.02</v>
      </c>
      <c r="U511" s="8">
        <f>Table3[[#This Row],[PrimaNeta]]*Table3[[#This Row],[Comisión]]</f>
        <v>950.79086436</v>
      </c>
      <c r="V511" s="15">
        <f>Table3[[#This Row],[PrimaComercial Anual]]-Table3[[#This Row],[PrimaComercial Anual]]*SUM(Table3[[#This Row],[APS]:[IVA]])</f>
        <v>4753.9543217999999</v>
      </c>
      <c r="W511" s="2">
        <v>1.4800000000000001E-2</v>
      </c>
      <c r="X511" s="2">
        <v>8.4501000000000007E-2</v>
      </c>
      <c r="Y511">
        <v>0.03</v>
      </c>
      <c r="Z511">
        <v>0.13</v>
      </c>
      <c r="AA511" s="20">
        <f>Table3[[#This Row],[APS]]*Table3[[#This Row],[PrimaComercial Anual]]</f>
        <v>94.989360000000005</v>
      </c>
      <c r="AB511" s="8">
        <f>Table3[[#This Row],[PrimaComercial Anual]]*Table3[[#This Row],[Recargo adicional]]</f>
        <v>542.34431819999998</v>
      </c>
      <c r="AC511" s="8">
        <f>Table3[[#This Row],[PrimaComercial Anual]]*Table3[[#This Row],[IT]]</f>
        <v>192.54599999999999</v>
      </c>
      <c r="AD511" s="8">
        <f>Table3[[#This Row],[PrimaComercial Anual]]*Table3[[#This Row],[IVA]]</f>
        <v>834.36599999999999</v>
      </c>
      <c r="AE511" s="15">
        <f>Table3[[#This Row],[PrimaComercial Anual Asistencia]]</f>
        <v>6418.2</v>
      </c>
      <c r="AG511">
        <v>6418.2</v>
      </c>
    </row>
    <row r="512" spans="1:33" x14ac:dyDescent="0.25">
      <c r="A512" t="s">
        <v>17</v>
      </c>
      <c r="B512">
        <v>420000</v>
      </c>
      <c r="C512">
        <v>48</v>
      </c>
      <c r="D512" s="2">
        <f>Table3[[#This Row],[PrimaTécnica]]-Table3[[#This Row],[PrimaTécnica]]*SUM(Table3[[#This Row],[Gastos Adm]:[Cobranza]])</f>
        <v>2809.3308808031998</v>
      </c>
      <c r="E512">
        <v>0</v>
      </c>
      <c r="F512">
        <v>0.15</v>
      </c>
      <c r="G512">
        <v>0.05</v>
      </c>
      <c r="H512">
        <v>0.01</v>
      </c>
      <c r="I512">
        <v>0.01</v>
      </c>
      <c r="J512" s="8">
        <f>Table3[[#This Row],[PrimaTécnica]]*Table3[[#This Row],[Gastos Adm]]</f>
        <v>540.25593861599998</v>
      </c>
      <c r="K512" s="8">
        <f>Table3[[#This Row],[PrimaTécnica]]*Table3[[#This Row],[Utilidad]]</f>
        <v>180.08531287200003</v>
      </c>
      <c r="L512" s="8">
        <f>Table3[[#This Row],[PrimaTécnica]]*Table3[[#This Row],[Marketing]]</f>
        <v>36.017062574400001</v>
      </c>
      <c r="M512" s="8">
        <f>Table3[[#This Row],[PrimaTécnica]]*Table3[[#This Row],[Cobranza]]</f>
        <v>36.017062574400001</v>
      </c>
      <c r="N51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3601.7062574400002</v>
      </c>
      <c r="O512">
        <v>21.84</v>
      </c>
      <c r="P512">
        <v>54.6</v>
      </c>
      <c r="Q512">
        <v>80.64</v>
      </c>
      <c r="R512">
        <v>44.377200000000002</v>
      </c>
      <c r="S512">
        <v>0.2</v>
      </c>
      <c r="T512">
        <v>0.02</v>
      </c>
      <c r="U512" s="8">
        <f>Table3[[#This Row],[PrimaNeta]]*Table3[[#This Row],[Comisión]]</f>
        <v>950.79086436</v>
      </c>
      <c r="V512" s="15">
        <f>Table3[[#This Row],[PrimaComercial Anual]]-Table3[[#This Row],[PrimaComercial Anual]]*SUM(Table3[[#This Row],[APS]:[IVA]])</f>
        <v>4753.9543217999999</v>
      </c>
      <c r="W512" s="2">
        <v>1.4800000000000001E-2</v>
      </c>
      <c r="X512" s="2">
        <v>8.4501000000000007E-2</v>
      </c>
      <c r="Y512">
        <v>0.03</v>
      </c>
      <c r="Z512">
        <v>0.13</v>
      </c>
      <c r="AA512" s="20">
        <f>Table3[[#This Row],[APS]]*Table3[[#This Row],[PrimaComercial Anual]]</f>
        <v>94.989360000000005</v>
      </c>
      <c r="AB512" s="8">
        <f>Table3[[#This Row],[PrimaComercial Anual]]*Table3[[#This Row],[Recargo adicional]]</f>
        <v>542.34431819999998</v>
      </c>
      <c r="AC512" s="8">
        <f>Table3[[#This Row],[PrimaComercial Anual]]*Table3[[#This Row],[IT]]</f>
        <v>192.54599999999999</v>
      </c>
      <c r="AD512" s="8">
        <f>Table3[[#This Row],[PrimaComercial Anual]]*Table3[[#This Row],[IVA]]</f>
        <v>834.36599999999999</v>
      </c>
      <c r="AE512" s="15">
        <f>Table3[[#This Row],[PrimaComercial Anual Asistencia]]</f>
        <v>6418.2</v>
      </c>
      <c r="AG512">
        <v>6418.2</v>
      </c>
    </row>
    <row r="513" spans="1:33" x14ac:dyDescent="0.25">
      <c r="A513" t="s">
        <v>17</v>
      </c>
      <c r="B513">
        <v>420000</v>
      </c>
      <c r="C513">
        <v>49</v>
      </c>
      <c r="D513" s="2">
        <f>Table3[[#This Row],[PrimaTécnica]]-Table3[[#This Row],[PrimaTécnica]]*SUM(Table3[[#This Row],[Gastos Adm]:[Cobranza]])</f>
        <v>2809.3308808031998</v>
      </c>
      <c r="E513">
        <v>0</v>
      </c>
      <c r="F513">
        <v>0.15</v>
      </c>
      <c r="G513">
        <v>0.05</v>
      </c>
      <c r="H513">
        <v>0.01</v>
      </c>
      <c r="I513">
        <v>0.01</v>
      </c>
      <c r="J513" s="8">
        <f>Table3[[#This Row],[PrimaTécnica]]*Table3[[#This Row],[Gastos Adm]]</f>
        <v>540.25593861599998</v>
      </c>
      <c r="K513" s="8">
        <f>Table3[[#This Row],[PrimaTécnica]]*Table3[[#This Row],[Utilidad]]</f>
        <v>180.08531287200003</v>
      </c>
      <c r="L513" s="8">
        <f>Table3[[#This Row],[PrimaTécnica]]*Table3[[#This Row],[Marketing]]</f>
        <v>36.017062574400001</v>
      </c>
      <c r="M513" s="8">
        <f>Table3[[#This Row],[PrimaTécnica]]*Table3[[#This Row],[Cobranza]]</f>
        <v>36.017062574400001</v>
      </c>
      <c r="N51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3601.7062574400002</v>
      </c>
      <c r="O513">
        <v>21.84</v>
      </c>
      <c r="P513">
        <v>54.6</v>
      </c>
      <c r="Q513">
        <v>80.64</v>
      </c>
      <c r="R513">
        <v>44.377200000000002</v>
      </c>
      <c r="S513">
        <v>0.2</v>
      </c>
      <c r="T513">
        <v>0.02</v>
      </c>
      <c r="U513" s="8">
        <f>Table3[[#This Row],[PrimaNeta]]*Table3[[#This Row],[Comisión]]</f>
        <v>950.79086436</v>
      </c>
      <c r="V513" s="15">
        <f>Table3[[#This Row],[PrimaComercial Anual]]-Table3[[#This Row],[PrimaComercial Anual]]*SUM(Table3[[#This Row],[APS]:[IVA]])</f>
        <v>4753.9543217999999</v>
      </c>
      <c r="W513" s="2">
        <v>1.4800000000000001E-2</v>
      </c>
      <c r="X513" s="2">
        <v>8.4501000000000007E-2</v>
      </c>
      <c r="Y513">
        <v>0.03</v>
      </c>
      <c r="Z513">
        <v>0.13</v>
      </c>
      <c r="AA513" s="20">
        <f>Table3[[#This Row],[APS]]*Table3[[#This Row],[PrimaComercial Anual]]</f>
        <v>94.989360000000005</v>
      </c>
      <c r="AB513" s="8">
        <f>Table3[[#This Row],[PrimaComercial Anual]]*Table3[[#This Row],[Recargo adicional]]</f>
        <v>542.34431819999998</v>
      </c>
      <c r="AC513" s="8">
        <f>Table3[[#This Row],[PrimaComercial Anual]]*Table3[[#This Row],[IT]]</f>
        <v>192.54599999999999</v>
      </c>
      <c r="AD513" s="8">
        <f>Table3[[#This Row],[PrimaComercial Anual]]*Table3[[#This Row],[IVA]]</f>
        <v>834.36599999999999</v>
      </c>
      <c r="AE513" s="15">
        <f>Table3[[#This Row],[PrimaComercial Anual Asistencia]]</f>
        <v>6418.2</v>
      </c>
      <c r="AG513">
        <v>6418.2</v>
      </c>
    </row>
    <row r="514" spans="1:33" x14ac:dyDescent="0.25">
      <c r="A514" t="s">
        <v>17</v>
      </c>
      <c r="B514">
        <v>420000</v>
      </c>
      <c r="C514">
        <v>50</v>
      </c>
      <c r="D514" s="2">
        <f>Table3[[#This Row],[PrimaTécnica]]-Table3[[#This Row],[PrimaTécnica]]*SUM(Table3[[#This Row],[Gastos Adm]:[Cobranza]])</f>
        <v>3620.7624873887989</v>
      </c>
      <c r="E514">
        <v>0</v>
      </c>
      <c r="F514">
        <v>0.15</v>
      </c>
      <c r="G514">
        <v>0.05</v>
      </c>
      <c r="H514">
        <v>0.01</v>
      </c>
      <c r="I514">
        <v>0.01</v>
      </c>
      <c r="J514" s="8">
        <f>Table3[[#This Row],[PrimaTécnica]]*Table3[[#This Row],[Gastos Adm]]</f>
        <v>696.30047834399977</v>
      </c>
      <c r="K514" s="8">
        <f>Table3[[#This Row],[PrimaTécnica]]*Table3[[#This Row],[Utilidad]]</f>
        <v>232.10015944799994</v>
      </c>
      <c r="L514" s="8">
        <f>Table3[[#This Row],[PrimaTécnica]]*Table3[[#This Row],[Marketing]]</f>
        <v>46.42003188959999</v>
      </c>
      <c r="M514" s="8">
        <f>Table3[[#This Row],[PrimaTécnica]]*Table3[[#This Row],[Cobranza]]</f>
        <v>46.42003188959999</v>
      </c>
      <c r="N51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4642.0031889599986</v>
      </c>
      <c r="O514">
        <v>21.84</v>
      </c>
      <c r="P514">
        <v>54.6</v>
      </c>
      <c r="Q514">
        <v>80.64</v>
      </c>
      <c r="R514">
        <v>44.377200000000002</v>
      </c>
      <c r="S514">
        <v>0.2</v>
      </c>
      <c r="T514">
        <v>0.02</v>
      </c>
      <c r="U514" s="8">
        <f>Table3[[#This Row],[PrimaNeta]]*Table3[[#This Row],[Comisión]]</f>
        <v>1210.8650972399998</v>
      </c>
      <c r="V514" s="15">
        <f>Table3[[#This Row],[PrimaComercial Anual]]-Table3[[#This Row],[PrimaComercial Anual]]*SUM(Table3[[#This Row],[APS]:[IVA]])</f>
        <v>6054.3254861999994</v>
      </c>
      <c r="W514" s="2">
        <v>1.4800000000000001E-2</v>
      </c>
      <c r="X514" s="2">
        <v>8.4501000000000007E-2</v>
      </c>
      <c r="Y514">
        <v>0.03</v>
      </c>
      <c r="Z514">
        <v>0.13</v>
      </c>
      <c r="AA514" s="20">
        <f>Table3[[#This Row],[APS]]*Table3[[#This Row],[PrimaComercial Anual]]</f>
        <v>120.97224000000001</v>
      </c>
      <c r="AB514" s="8">
        <f>Table3[[#This Row],[PrimaComercial Anual]]*Table3[[#This Row],[Recargo adicional]]</f>
        <v>690.69427380000002</v>
      </c>
      <c r="AC514" s="8">
        <f>Table3[[#This Row],[PrimaComercial Anual]]*Table3[[#This Row],[IT]]</f>
        <v>245.214</v>
      </c>
      <c r="AD514" s="8">
        <f>Table3[[#This Row],[PrimaComercial Anual]]*Table3[[#This Row],[IVA]]</f>
        <v>1062.5940000000001</v>
      </c>
      <c r="AE514" s="15">
        <f>Table3[[#This Row],[PrimaComercial Anual Asistencia]]</f>
        <v>8173.8</v>
      </c>
      <c r="AG514">
        <v>8173.8</v>
      </c>
    </row>
    <row r="515" spans="1:33" x14ac:dyDescent="0.25">
      <c r="A515" t="s">
        <v>17</v>
      </c>
      <c r="B515">
        <v>420000</v>
      </c>
      <c r="C515">
        <v>51</v>
      </c>
      <c r="D515" s="2">
        <f>Table3[[#This Row],[PrimaTécnica]]-Table3[[#This Row],[PrimaTécnica]]*SUM(Table3[[#This Row],[Gastos Adm]:[Cobranza]])</f>
        <v>3620.7624873887989</v>
      </c>
      <c r="E515">
        <v>0</v>
      </c>
      <c r="F515">
        <v>0.15</v>
      </c>
      <c r="G515">
        <v>0.05</v>
      </c>
      <c r="H515">
        <v>0.01</v>
      </c>
      <c r="I515">
        <v>0.01</v>
      </c>
      <c r="J515" s="8">
        <f>Table3[[#This Row],[PrimaTécnica]]*Table3[[#This Row],[Gastos Adm]]</f>
        <v>696.30047834399977</v>
      </c>
      <c r="K515" s="8">
        <f>Table3[[#This Row],[PrimaTécnica]]*Table3[[#This Row],[Utilidad]]</f>
        <v>232.10015944799994</v>
      </c>
      <c r="L515" s="8">
        <f>Table3[[#This Row],[PrimaTécnica]]*Table3[[#This Row],[Marketing]]</f>
        <v>46.42003188959999</v>
      </c>
      <c r="M515" s="8">
        <f>Table3[[#This Row],[PrimaTécnica]]*Table3[[#This Row],[Cobranza]]</f>
        <v>46.42003188959999</v>
      </c>
      <c r="N51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4642.0031889599986</v>
      </c>
      <c r="O515">
        <v>21.84</v>
      </c>
      <c r="P515">
        <v>54.6</v>
      </c>
      <c r="Q515">
        <v>80.64</v>
      </c>
      <c r="R515">
        <v>44.377200000000002</v>
      </c>
      <c r="S515">
        <v>0.2</v>
      </c>
      <c r="T515">
        <v>0.02</v>
      </c>
      <c r="U515" s="8">
        <f>Table3[[#This Row],[PrimaNeta]]*Table3[[#This Row],[Comisión]]</f>
        <v>1210.8650972399998</v>
      </c>
      <c r="V515" s="15">
        <f>Table3[[#This Row],[PrimaComercial Anual]]-Table3[[#This Row],[PrimaComercial Anual]]*SUM(Table3[[#This Row],[APS]:[IVA]])</f>
        <v>6054.3254861999994</v>
      </c>
      <c r="W515" s="2">
        <v>1.4800000000000001E-2</v>
      </c>
      <c r="X515" s="2">
        <v>8.4501000000000007E-2</v>
      </c>
      <c r="Y515">
        <v>0.03</v>
      </c>
      <c r="Z515">
        <v>0.13</v>
      </c>
      <c r="AA515" s="20">
        <f>Table3[[#This Row],[APS]]*Table3[[#This Row],[PrimaComercial Anual]]</f>
        <v>120.97224000000001</v>
      </c>
      <c r="AB515" s="8">
        <f>Table3[[#This Row],[PrimaComercial Anual]]*Table3[[#This Row],[Recargo adicional]]</f>
        <v>690.69427380000002</v>
      </c>
      <c r="AC515" s="8">
        <f>Table3[[#This Row],[PrimaComercial Anual]]*Table3[[#This Row],[IT]]</f>
        <v>245.214</v>
      </c>
      <c r="AD515" s="8">
        <f>Table3[[#This Row],[PrimaComercial Anual]]*Table3[[#This Row],[IVA]]</f>
        <v>1062.5940000000001</v>
      </c>
      <c r="AE515" s="15">
        <f>Table3[[#This Row],[PrimaComercial Anual Asistencia]]</f>
        <v>8173.8</v>
      </c>
      <c r="AG515">
        <v>8173.8</v>
      </c>
    </row>
    <row r="516" spans="1:33" x14ac:dyDescent="0.25">
      <c r="A516" t="s">
        <v>17</v>
      </c>
      <c r="B516">
        <v>420000</v>
      </c>
      <c r="C516">
        <v>52</v>
      </c>
      <c r="D516" s="2">
        <f>Table3[[#This Row],[PrimaTécnica]]-Table3[[#This Row],[PrimaTécnica]]*SUM(Table3[[#This Row],[Gastos Adm]:[Cobranza]])</f>
        <v>3620.7624873887989</v>
      </c>
      <c r="E516">
        <v>0</v>
      </c>
      <c r="F516">
        <v>0.15</v>
      </c>
      <c r="G516">
        <v>0.05</v>
      </c>
      <c r="H516">
        <v>0.01</v>
      </c>
      <c r="I516">
        <v>0.01</v>
      </c>
      <c r="J516" s="8">
        <f>Table3[[#This Row],[PrimaTécnica]]*Table3[[#This Row],[Gastos Adm]]</f>
        <v>696.30047834399977</v>
      </c>
      <c r="K516" s="8">
        <f>Table3[[#This Row],[PrimaTécnica]]*Table3[[#This Row],[Utilidad]]</f>
        <v>232.10015944799994</v>
      </c>
      <c r="L516" s="8">
        <f>Table3[[#This Row],[PrimaTécnica]]*Table3[[#This Row],[Marketing]]</f>
        <v>46.42003188959999</v>
      </c>
      <c r="M516" s="8">
        <f>Table3[[#This Row],[PrimaTécnica]]*Table3[[#This Row],[Cobranza]]</f>
        <v>46.42003188959999</v>
      </c>
      <c r="N51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4642.0031889599986</v>
      </c>
      <c r="O516">
        <v>21.84</v>
      </c>
      <c r="P516">
        <v>54.6</v>
      </c>
      <c r="Q516">
        <v>80.64</v>
      </c>
      <c r="R516">
        <v>44.377200000000002</v>
      </c>
      <c r="S516">
        <v>0.2</v>
      </c>
      <c r="T516">
        <v>0.02</v>
      </c>
      <c r="U516" s="8">
        <f>Table3[[#This Row],[PrimaNeta]]*Table3[[#This Row],[Comisión]]</f>
        <v>1210.8650972399998</v>
      </c>
      <c r="V516" s="15">
        <f>Table3[[#This Row],[PrimaComercial Anual]]-Table3[[#This Row],[PrimaComercial Anual]]*SUM(Table3[[#This Row],[APS]:[IVA]])</f>
        <v>6054.3254861999994</v>
      </c>
      <c r="W516" s="2">
        <v>1.4800000000000001E-2</v>
      </c>
      <c r="X516" s="2">
        <v>8.4501000000000007E-2</v>
      </c>
      <c r="Y516">
        <v>0.03</v>
      </c>
      <c r="Z516">
        <v>0.13</v>
      </c>
      <c r="AA516" s="20">
        <f>Table3[[#This Row],[APS]]*Table3[[#This Row],[PrimaComercial Anual]]</f>
        <v>120.97224000000001</v>
      </c>
      <c r="AB516" s="8">
        <f>Table3[[#This Row],[PrimaComercial Anual]]*Table3[[#This Row],[Recargo adicional]]</f>
        <v>690.69427380000002</v>
      </c>
      <c r="AC516" s="8">
        <f>Table3[[#This Row],[PrimaComercial Anual]]*Table3[[#This Row],[IT]]</f>
        <v>245.214</v>
      </c>
      <c r="AD516" s="8">
        <f>Table3[[#This Row],[PrimaComercial Anual]]*Table3[[#This Row],[IVA]]</f>
        <v>1062.5940000000001</v>
      </c>
      <c r="AE516" s="15">
        <f>Table3[[#This Row],[PrimaComercial Anual Asistencia]]</f>
        <v>8173.8</v>
      </c>
      <c r="AG516">
        <v>8173.8</v>
      </c>
    </row>
    <row r="517" spans="1:33" x14ac:dyDescent="0.25">
      <c r="A517" t="s">
        <v>17</v>
      </c>
      <c r="B517">
        <v>420000</v>
      </c>
      <c r="C517">
        <v>53</v>
      </c>
      <c r="D517" s="2">
        <f>Table3[[#This Row],[PrimaTécnica]]-Table3[[#This Row],[PrimaTécnica]]*SUM(Table3[[#This Row],[Gastos Adm]:[Cobranza]])</f>
        <v>3620.7624873887989</v>
      </c>
      <c r="E517">
        <v>0</v>
      </c>
      <c r="F517">
        <v>0.15</v>
      </c>
      <c r="G517">
        <v>0.05</v>
      </c>
      <c r="H517">
        <v>0.01</v>
      </c>
      <c r="I517">
        <v>0.01</v>
      </c>
      <c r="J517" s="8">
        <f>Table3[[#This Row],[PrimaTécnica]]*Table3[[#This Row],[Gastos Adm]]</f>
        <v>696.30047834399977</v>
      </c>
      <c r="K517" s="8">
        <f>Table3[[#This Row],[PrimaTécnica]]*Table3[[#This Row],[Utilidad]]</f>
        <v>232.10015944799994</v>
      </c>
      <c r="L517" s="8">
        <f>Table3[[#This Row],[PrimaTécnica]]*Table3[[#This Row],[Marketing]]</f>
        <v>46.42003188959999</v>
      </c>
      <c r="M517" s="8">
        <f>Table3[[#This Row],[PrimaTécnica]]*Table3[[#This Row],[Cobranza]]</f>
        <v>46.42003188959999</v>
      </c>
      <c r="N51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4642.0031889599986</v>
      </c>
      <c r="O517">
        <v>21.84</v>
      </c>
      <c r="P517">
        <v>54.6</v>
      </c>
      <c r="Q517">
        <v>80.64</v>
      </c>
      <c r="R517">
        <v>44.377200000000002</v>
      </c>
      <c r="S517">
        <v>0.2</v>
      </c>
      <c r="T517">
        <v>0.02</v>
      </c>
      <c r="U517" s="8">
        <f>Table3[[#This Row],[PrimaNeta]]*Table3[[#This Row],[Comisión]]</f>
        <v>1210.8650972399998</v>
      </c>
      <c r="V517" s="15">
        <f>Table3[[#This Row],[PrimaComercial Anual]]-Table3[[#This Row],[PrimaComercial Anual]]*SUM(Table3[[#This Row],[APS]:[IVA]])</f>
        <v>6054.3254861999994</v>
      </c>
      <c r="W517" s="2">
        <v>1.4800000000000001E-2</v>
      </c>
      <c r="X517" s="2">
        <v>8.4501000000000007E-2</v>
      </c>
      <c r="Y517">
        <v>0.03</v>
      </c>
      <c r="Z517">
        <v>0.13</v>
      </c>
      <c r="AA517" s="20">
        <f>Table3[[#This Row],[APS]]*Table3[[#This Row],[PrimaComercial Anual]]</f>
        <v>120.97224000000001</v>
      </c>
      <c r="AB517" s="8">
        <f>Table3[[#This Row],[PrimaComercial Anual]]*Table3[[#This Row],[Recargo adicional]]</f>
        <v>690.69427380000002</v>
      </c>
      <c r="AC517" s="8">
        <f>Table3[[#This Row],[PrimaComercial Anual]]*Table3[[#This Row],[IT]]</f>
        <v>245.214</v>
      </c>
      <c r="AD517" s="8">
        <f>Table3[[#This Row],[PrimaComercial Anual]]*Table3[[#This Row],[IVA]]</f>
        <v>1062.5940000000001</v>
      </c>
      <c r="AE517" s="15">
        <f>Table3[[#This Row],[PrimaComercial Anual Asistencia]]</f>
        <v>8173.8</v>
      </c>
      <c r="AG517">
        <v>8173.8</v>
      </c>
    </row>
    <row r="518" spans="1:33" x14ac:dyDescent="0.25">
      <c r="A518" t="s">
        <v>17</v>
      </c>
      <c r="B518">
        <v>420000</v>
      </c>
      <c r="C518">
        <v>54</v>
      </c>
      <c r="D518" s="2">
        <f>Table3[[#This Row],[PrimaTécnica]]-Table3[[#This Row],[PrimaTécnica]]*SUM(Table3[[#This Row],[Gastos Adm]:[Cobranza]])</f>
        <v>3620.7624873887989</v>
      </c>
      <c r="E518">
        <v>0</v>
      </c>
      <c r="F518">
        <v>0.15</v>
      </c>
      <c r="G518">
        <v>0.05</v>
      </c>
      <c r="H518">
        <v>0.01</v>
      </c>
      <c r="I518">
        <v>0.01</v>
      </c>
      <c r="J518" s="8">
        <f>Table3[[#This Row],[PrimaTécnica]]*Table3[[#This Row],[Gastos Adm]]</f>
        <v>696.30047834399977</v>
      </c>
      <c r="K518" s="8">
        <f>Table3[[#This Row],[PrimaTécnica]]*Table3[[#This Row],[Utilidad]]</f>
        <v>232.10015944799994</v>
      </c>
      <c r="L518" s="8">
        <f>Table3[[#This Row],[PrimaTécnica]]*Table3[[#This Row],[Marketing]]</f>
        <v>46.42003188959999</v>
      </c>
      <c r="M518" s="8">
        <f>Table3[[#This Row],[PrimaTécnica]]*Table3[[#This Row],[Cobranza]]</f>
        <v>46.42003188959999</v>
      </c>
      <c r="N51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4642.0031889599986</v>
      </c>
      <c r="O518">
        <v>21.84</v>
      </c>
      <c r="P518">
        <v>54.6</v>
      </c>
      <c r="Q518">
        <v>80.64</v>
      </c>
      <c r="R518">
        <v>44.377200000000002</v>
      </c>
      <c r="S518">
        <v>0.2</v>
      </c>
      <c r="T518">
        <v>0.02</v>
      </c>
      <c r="U518" s="8">
        <f>Table3[[#This Row],[PrimaNeta]]*Table3[[#This Row],[Comisión]]</f>
        <v>1210.8650972399998</v>
      </c>
      <c r="V518" s="15">
        <f>Table3[[#This Row],[PrimaComercial Anual]]-Table3[[#This Row],[PrimaComercial Anual]]*SUM(Table3[[#This Row],[APS]:[IVA]])</f>
        <v>6054.3254861999994</v>
      </c>
      <c r="W518" s="2">
        <v>1.4800000000000001E-2</v>
      </c>
      <c r="X518" s="2">
        <v>8.4501000000000007E-2</v>
      </c>
      <c r="Y518">
        <v>0.03</v>
      </c>
      <c r="Z518">
        <v>0.13</v>
      </c>
      <c r="AA518" s="20">
        <f>Table3[[#This Row],[APS]]*Table3[[#This Row],[PrimaComercial Anual]]</f>
        <v>120.97224000000001</v>
      </c>
      <c r="AB518" s="8">
        <f>Table3[[#This Row],[PrimaComercial Anual]]*Table3[[#This Row],[Recargo adicional]]</f>
        <v>690.69427380000002</v>
      </c>
      <c r="AC518" s="8">
        <f>Table3[[#This Row],[PrimaComercial Anual]]*Table3[[#This Row],[IT]]</f>
        <v>245.214</v>
      </c>
      <c r="AD518" s="8">
        <f>Table3[[#This Row],[PrimaComercial Anual]]*Table3[[#This Row],[IVA]]</f>
        <v>1062.5940000000001</v>
      </c>
      <c r="AE518" s="15">
        <f>Table3[[#This Row],[PrimaComercial Anual Asistencia]]</f>
        <v>8173.8</v>
      </c>
      <c r="AG518">
        <v>8173.8</v>
      </c>
    </row>
    <row r="519" spans="1:33" x14ac:dyDescent="0.25">
      <c r="A519" t="s">
        <v>17</v>
      </c>
      <c r="B519">
        <v>420000</v>
      </c>
      <c r="C519">
        <v>55</v>
      </c>
      <c r="D519" s="2">
        <f>Table3[[#This Row],[PrimaTécnica]]-Table3[[#This Row],[PrimaTécnica]]*SUM(Table3[[#This Row],[Gastos Adm]:[Cobranza]])</f>
        <v>3620.7624873887989</v>
      </c>
      <c r="E519">
        <v>0</v>
      </c>
      <c r="F519">
        <v>0.15</v>
      </c>
      <c r="G519">
        <v>0.05</v>
      </c>
      <c r="H519">
        <v>0.01</v>
      </c>
      <c r="I519">
        <v>0.01</v>
      </c>
      <c r="J519" s="8">
        <f>Table3[[#This Row],[PrimaTécnica]]*Table3[[#This Row],[Gastos Adm]]</f>
        <v>696.30047834399977</v>
      </c>
      <c r="K519" s="8">
        <f>Table3[[#This Row],[PrimaTécnica]]*Table3[[#This Row],[Utilidad]]</f>
        <v>232.10015944799994</v>
      </c>
      <c r="L519" s="8">
        <f>Table3[[#This Row],[PrimaTécnica]]*Table3[[#This Row],[Marketing]]</f>
        <v>46.42003188959999</v>
      </c>
      <c r="M519" s="8">
        <f>Table3[[#This Row],[PrimaTécnica]]*Table3[[#This Row],[Cobranza]]</f>
        <v>46.42003188959999</v>
      </c>
      <c r="N51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4642.0031889599986</v>
      </c>
      <c r="O519">
        <v>21.84</v>
      </c>
      <c r="P519">
        <v>54.6</v>
      </c>
      <c r="Q519">
        <v>80.64</v>
      </c>
      <c r="R519">
        <v>44.377200000000002</v>
      </c>
      <c r="S519">
        <v>0.2</v>
      </c>
      <c r="T519">
        <v>0.02</v>
      </c>
      <c r="U519" s="8">
        <f>Table3[[#This Row],[PrimaNeta]]*Table3[[#This Row],[Comisión]]</f>
        <v>1210.8650972399998</v>
      </c>
      <c r="V519" s="15">
        <f>Table3[[#This Row],[PrimaComercial Anual]]-Table3[[#This Row],[PrimaComercial Anual]]*SUM(Table3[[#This Row],[APS]:[IVA]])</f>
        <v>6054.3254861999994</v>
      </c>
      <c r="W519" s="2">
        <v>1.4800000000000001E-2</v>
      </c>
      <c r="X519" s="2">
        <v>8.4501000000000007E-2</v>
      </c>
      <c r="Y519">
        <v>0.03</v>
      </c>
      <c r="Z519">
        <v>0.13</v>
      </c>
      <c r="AA519" s="20">
        <f>Table3[[#This Row],[APS]]*Table3[[#This Row],[PrimaComercial Anual]]</f>
        <v>120.97224000000001</v>
      </c>
      <c r="AB519" s="8">
        <f>Table3[[#This Row],[PrimaComercial Anual]]*Table3[[#This Row],[Recargo adicional]]</f>
        <v>690.69427380000002</v>
      </c>
      <c r="AC519" s="8">
        <f>Table3[[#This Row],[PrimaComercial Anual]]*Table3[[#This Row],[IT]]</f>
        <v>245.214</v>
      </c>
      <c r="AD519" s="8">
        <f>Table3[[#This Row],[PrimaComercial Anual]]*Table3[[#This Row],[IVA]]</f>
        <v>1062.5940000000001</v>
      </c>
      <c r="AE519" s="15">
        <f>Table3[[#This Row],[PrimaComercial Anual Asistencia]]</f>
        <v>8173.8</v>
      </c>
      <c r="AG519">
        <v>8173.8</v>
      </c>
    </row>
    <row r="520" spans="1:33" x14ac:dyDescent="0.25">
      <c r="A520" t="s">
        <v>17</v>
      </c>
      <c r="B520">
        <v>420000</v>
      </c>
      <c r="C520">
        <v>56</v>
      </c>
      <c r="D520" s="2">
        <f>Table3[[#This Row],[PrimaTécnica]]-Table3[[#This Row],[PrimaTécnica]]*SUM(Table3[[#This Row],[Gastos Adm]:[Cobranza]])</f>
        <v>4284.6610745952003</v>
      </c>
      <c r="E520">
        <v>0</v>
      </c>
      <c r="F520">
        <v>0.15</v>
      </c>
      <c r="G520">
        <v>0.05</v>
      </c>
      <c r="H520">
        <v>0.01</v>
      </c>
      <c r="I520">
        <v>0.01</v>
      </c>
      <c r="J520" s="8">
        <f>Table3[[#This Row],[PrimaTécnica]]*Table3[[#This Row],[Gastos Adm]]</f>
        <v>823.97328357599997</v>
      </c>
      <c r="K520" s="8">
        <f>Table3[[#This Row],[PrimaTécnica]]*Table3[[#This Row],[Utilidad]]</f>
        <v>274.65776119200001</v>
      </c>
      <c r="L520" s="8">
        <f>Table3[[#This Row],[PrimaTécnica]]*Table3[[#This Row],[Marketing]]</f>
        <v>54.931552238400002</v>
      </c>
      <c r="M520" s="8">
        <f>Table3[[#This Row],[PrimaTécnica]]*Table3[[#This Row],[Cobranza]]</f>
        <v>54.931552238400002</v>
      </c>
      <c r="N52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5493.15522384</v>
      </c>
      <c r="O520">
        <v>21.84</v>
      </c>
      <c r="P520">
        <v>54.6</v>
      </c>
      <c r="Q520">
        <v>80.64</v>
      </c>
      <c r="R520">
        <v>44.377200000000002</v>
      </c>
      <c r="S520">
        <v>0.2</v>
      </c>
      <c r="T520">
        <v>0.02</v>
      </c>
      <c r="U520" s="8">
        <f>Table3[[#This Row],[PrimaNeta]]*Table3[[#This Row],[Comisión]]</f>
        <v>1423.6531059600002</v>
      </c>
      <c r="V520" s="15">
        <f>Table3[[#This Row],[PrimaComercial Anual]]-Table3[[#This Row],[PrimaComercial Anual]]*SUM(Table3[[#This Row],[APS]:[IVA]])</f>
        <v>7118.2655298000009</v>
      </c>
      <c r="W520" s="2">
        <v>1.4800000000000001E-2</v>
      </c>
      <c r="X520" s="2">
        <v>8.4501000000000007E-2</v>
      </c>
      <c r="Y520">
        <v>0.03</v>
      </c>
      <c r="Z520">
        <v>0.13</v>
      </c>
      <c r="AA520" s="20">
        <f>Table3[[#This Row],[APS]]*Table3[[#This Row],[PrimaComercial Anual]]</f>
        <v>142.23096000000001</v>
      </c>
      <c r="AB520" s="8">
        <f>Table3[[#This Row],[PrimaComercial Anual]]*Table3[[#This Row],[Recargo adicional]]</f>
        <v>812.07151020000015</v>
      </c>
      <c r="AC520" s="8">
        <f>Table3[[#This Row],[PrimaComercial Anual]]*Table3[[#This Row],[IT]]</f>
        <v>288.30599999999998</v>
      </c>
      <c r="AD520" s="8">
        <f>Table3[[#This Row],[PrimaComercial Anual]]*Table3[[#This Row],[IVA]]</f>
        <v>1249.3260000000002</v>
      </c>
      <c r="AE520" s="15">
        <f>Table3[[#This Row],[PrimaComercial Anual Asistencia]]</f>
        <v>9610.2000000000007</v>
      </c>
      <c r="AG520">
        <v>9610.2000000000007</v>
      </c>
    </row>
    <row r="521" spans="1:33" x14ac:dyDescent="0.25">
      <c r="A521" t="s">
        <v>17</v>
      </c>
      <c r="B521">
        <v>420000</v>
      </c>
      <c r="C521">
        <v>57</v>
      </c>
      <c r="D521" s="2">
        <f>Table3[[#This Row],[PrimaTécnica]]-Table3[[#This Row],[PrimaTécnica]]*SUM(Table3[[#This Row],[Gastos Adm]:[Cobranza]])</f>
        <v>4284.6610745952003</v>
      </c>
      <c r="E521">
        <v>0</v>
      </c>
      <c r="F521">
        <v>0.15</v>
      </c>
      <c r="G521">
        <v>0.05</v>
      </c>
      <c r="H521">
        <v>0.01</v>
      </c>
      <c r="I521">
        <v>0.01</v>
      </c>
      <c r="J521" s="8">
        <f>Table3[[#This Row],[PrimaTécnica]]*Table3[[#This Row],[Gastos Adm]]</f>
        <v>823.97328357599997</v>
      </c>
      <c r="K521" s="8">
        <f>Table3[[#This Row],[PrimaTécnica]]*Table3[[#This Row],[Utilidad]]</f>
        <v>274.65776119200001</v>
      </c>
      <c r="L521" s="8">
        <f>Table3[[#This Row],[PrimaTécnica]]*Table3[[#This Row],[Marketing]]</f>
        <v>54.931552238400002</v>
      </c>
      <c r="M521" s="8">
        <f>Table3[[#This Row],[PrimaTécnica]]*Table3[[#This Row],[Cobranza]]</f>
        <v>54.931552238400002</v>
      </c>
      <c r="N52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5493.15522384</v>
      </c>
      <c r="O521">
        <v>21.84</v>
      </c>
      <c r="P521">
        <v>54.6</v>
      </c>
      <c r="Q521">
        <v>80.64</v>
      </c>
      <c r="R521">
        <v>44.377200000000002</v>
      </c>
      <c r="S521">
        <v>0.2</v>
      </c>
      <c r="T521">
        <v>0.02</v>
      </c>
      <c r="U521" s="8">
        <f>Table3[[#This Row],[PrimaNeta]]*Table3[[#This Row],[Comisión]]</f>
        <v>1423.6531059600002</v>
      </c>
      <c r="V521" s="15">
        <f>Table3[[#This Row],[PrimaComercial Anual]]-Table3[[#This Row],[PrimaComercial Anual]]*SUM(Table3[[#This Row],[APS]:[IVA]])</f>
        <v>7118.2655298000009</v>
      </c>
      <c r="W521" s="2">
        <v>1.4800000000000001E-2</v>
      </c>
      <c r="X521" s="2">
        <v>8.4501000000000007E-2</v>
      </c>
      <c r="Y521">
        <v>0.03</v>
      </c>
      <c r="Z521">
        <v>0.13</v>
      </c>
      <c r="AA521" s="20">
        <f>Table3[[#This Row],[APS]]*Table3[[#This Row],[PrimaComercial Anual]]</f>
        <v>142.23096000000001</v>
      </c>
      <c r="AB521" s="8">
        <f>Table3[[#This Row],[PrimaComercial Anual]]*Table3[[#This Row],[Recargo adicional]]</f>
        <v>812.07151020000015</v>
      </c>
      <c r="AC521" s="8">
        <f>Table3[[#This Row],[PrimaComercial Anual]]*Table3[[#This Row],[IT]]</f>
        <v>288.30599999999998</v>
      </c>
      <c r="AD521" s="8">
        <f>Table3[[#This Row],[PrimaComercial Anual]]*Table3[[#This Row],[IVA]]</f>
        <v>1249.3260000000002</v>
      </c>
      <c r="AE521" s="15">
        <f>Table3[[#This Row],[PrimaComercial Anual Asistencia]]</f>
        <v>9610.2000000000007</v>
      </c>
      <c r="AG521">
        <v>9610.2000000000007</v>
      </c>
    </row>
    <row r="522" spans="1:33" x14ac:dyDescent="0.25">
      <c r="A522" t="s">
        <v>17</v>
      </c>
      <c r="B522">
        <v>420000</v>
      </c>
      <c r="C522">
        <v>58</v>
      </c>
      <c r="D522" s="2">
        <f>Table3[[#This Row],[PrimaTécnica]]-Table3[[#This Row],[PrimaTécnica]]*SUM(Table3[[#This Row],[Gastos Adm]:[Cobranza]])</f>
        <v>4284.6610745952003</v>
      </c>
      <c r="E522">
        <v>0</v>
      </c>
      <c r="F522">
        <v>0.15</v>
      </c>
      <c r="G522">
        <v>0.05</v>
      </c>
      <c r="H522">
        <v>0.01</v>
      </c>
      <c r="I522">
        <v>0.01</v>
      </c>
      <c r="J522" s="8">
        <f>Table3[[#This Row],[PrimaTécnica]]*Table3[[#This Row],[Gastos Adm]]</f>
        <v>823.97328357599997</v>
      </c>
      <c r="K522" s="8">
        <f>Table3[[#This Row],[PrimaTécnica]]*Table3[[#This Row],[Utilidad]]</f>
        <v>274.65776119200001</v>
      </c>
      <c r="L522" s="8">
        <f>Table3[[#This Row],[PrimaTécnica]]*Table3[[#This Row],[Marketing]]</f>
        <v>54.931552238400002</v>
      </c>
      <c r="M522" s="8">
        <f>Table3[[#This Row],[PrimaTécnica]]*Table3[[#This Row],[Cobranza]]</f>
        <v>54.931552238400002</v>
      </c>
      <c r="N52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5493.15522384</v>
      </c>
      <c r="O522">
        <v>21.84</v>
      </c>
      <c r="P522">
        <v>54.6</v>
      </c>
      <c r="Q522">
        <v>80.64</v>
      </c>
      <c r="R522">
        <v>44.377200000000002</v>
      </c>
      <c r="S522">
        <v>0.2</v>
      </c>
      <c r="T522">
        <v>0.02</v>
      </c>
      <c r="U522" s="8">
        <f>Table3[[#This Row],[PrimaNeta]]*Table3[[#This Row],[Comisión]]</f>
        <v>1423.6531059600002</v>
      </c>
      <c r="V522" s="15">
        <f>Table3[[#This Row],[PrimaComercial Anual]]-Table3[[#This Row],[PrimaComercial Anual]]*SUM(Table3[[#This Row],[APS]:[IVA]])</f>
        <v>7118.2655298000009</v>
      </c>
      <c r="W522" s="2">
        <v>1.4800000000000001E-2</v>
      </c>
      <c r="X522" s="2">
        <v>8.4501000000000007E-2</v>
      </c>
      <c r="Y522">
        <v>0.03</v>
      </c>
      <c r="Z522">
        <v>0.13</v>
      </c>
      <c r="AA522" s="20">
        <f>Table3[[#This Row],[APS]]*Table3[[#This Row],[PrimaComercial Anual]]</f>
        <v>142.23096000000001</v>
      </c>
      <c r="AB522" s="8">
        <f>Table3[[#This Row],[PrimaComercial Anual]]*Table3[[#This Row],[Recargo adicional]]</f>
        <v>812.07151020000015</v>
      </c>
      <c r="AC522" s="8">
        <f>Table3[[#This Row],[PrimaComercial Anual]]*Table3[[#This Row],[IT]]</f>
        <v>288.30599999999998</v>
      </c>
      <c r="AD522" s="8">
        <f>Table3[[#This Row],[PrimaComercial Anual]]*Table3[[#This Row],[IVA]]</f>
        <v>1249.3260000000002</v>
      </c>
      <c r="AE522" s="15">
        <f>Table3[[#This Row],[PrimaComercial Anual Asistencia]]</f>
        <v>9610.2000000000007</v>
      </c>
      <c r="AG522">
        <v>9610.2000000000007</v>
      </c>
    </row>
    <row r="523" spans="1:33" x14ac:dyDescent="0.25">
      <c r="A523" t="s">
        <v>17</v>
      </c>
      <c r="B523">
        <v>420000</v>
      </c>
      <c r="C523">
        <v>59</v>
      </c>
      <c r="D523" s="2">
        <f>Table3[[#This Row],[PrimaTécnica]]-Table3[[#This Row],[PrimaTécnica]]*SUM(Table3[[#This Row],[Gastos Adm]:[Cobranza]])</f>
        <v>4284.6610745952003</v>
      </c>
      <c r="E523">
        <v>0</v>
      </c>
      <c r="F523">
        <v>0.15</v>
      </c>
      <c r="G523">
        <v>0.05</v>
      </c>
      <c r="H523">
        <v>0.01</v>
      </c>
      <c r="I523">
        <v>0.01</v>
      </c>
      <c r="J523" s="8">
        <f>Table3[[#This Row],[PrimaTécnica]]*Table3[[#This Row],[Gastos Adm]]</f>
        <v>823.97328357599997</v>
      </c>
      <c r="K523" s="8">
        <f>Table3[[#This Row],[PrimaTécnica]]*Table3[[#This Row],[Utilidad]]</f>
        <v>274.65776119200001</v>
      </c>
      <c r="L523" s="8">
        <f>Table3[[#This Row],[PrimaTécnica]]*Table3[[#This Row],[Marketing]]</f>
        <v>54.931552238400002</v>
      </c>
      <c r="M523" s="8">
        <f>Table3[[#This Row],[PrimaTécnica]]*Table3[[#This Row],[Cobranza]]</f>
        <v>54.931552238400002</v>
      </c>
      <c r="N52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5493.15522384</v>
      </c>
      <c r="O523">
        <v>21.84</v>
      </c>
      <c r="P523">
        <v>54.6</v>
      </c>
      <c r="Q523">
        <v>80.64</v>
      </c>
      <c r="R523">
        <v>44.377200000000002</v>
      </c>
      <c r="S523">
        <v>0.2</v>
      </c>
      <c r="T523">
        <v>0.02</v>
      </c>
      <c r="U523" s="8">
        <f>Table3[[#This Row],[PrimaNeta]]*Table3[[#This Row],[Comisión]]</f>
        <v>1423.6531059600002</v>
      </c>
      <c r="V523" s="15">
        <f>Table3[[#This Row],[PrimaComercial Anual]]-Table3[[#This Row],[PrimaComercial Anual]]*SUM(Table3[[#This Row],[APS]:[IVA]])</f>
        <v>7118.2655298000009</v>
      </c>
      <c r="W523" s="2">
        <v>1.4800000000000001E-2</v>
      </c>
      <c r="X523" s="2">
        <v>8.4501000000000007E-2</v>
      </c>
      <c r="Y523">
        <v>0.03</v>
      </c>
      <c r="Z523">
        <v>0.13</v>
      </c>
      <c r="AA523" s="20">
        <f>Table3[[#This Row],[APS]]*Table3[[#This Row],[PrimaComercial Anual]]</f>
        <v>142.23096000000001</v>
      </c>
      <c r="AB523" s="8">
        <f>Table3[[#This Row],[PrimaComercial Anual]]*Table3[[#This Row],[Recargo adicional]]</f>
        <v>812.07151020000015</v>
      </c>
      <c r="AC523" s="8">
        <f>Table3[[#This Row],[PrimaComercial Anual]]*Table3[[#This Row],[IT]]</f>
        <v>288.30599999999998</v>
      </c>
      <c r="AD523" s="8">
        <f>Table3[[#This Row],[PrimaComercial Anual]]*Table3[[#This Row],[IVA]]</f>
        <v>1249.3260000000002</v>
      </c>
      <c r="AE523" s="15">
        <f>Table3[[#This Row],[PrimaComercial Anual Asistencia]]</f>
        <v>9610.2000000000007</v>
      </c>
      <c r="AG523">
        <v>9610.2000000000007</v>
      </c>
    </row>
    <row r="524" spans="1:33" x14ac:dyDescent="0.25">
      <c r="A524" t="s">
        <v>17</v>
      </c>
      <c r="B524">
        <v>420000</v>
      </c>
      <c r="C524">
        <v>60</v>
      </c>
      <c r="D524" s="2">
        <f>Table3[[#This Row],[PrimaTécnica]]-Table3[[#This Row],[PrimaTécnica]]*SUM(Table3[[#This Row],[Gastos Adm]:[Cobranza]])</f>
        <v>7161.5549524895996</v>
      </c>
      <c r="E524">
        <v>0</v>
      </c>
      <c r="F524">
        <v>0.15</v>
      </c>
      <c r="G524">
        <v>0.05</v>
      </c>
      <c r="H524">
        <v>0.01</v>
      </c>
      <c r="I524">
        <v>0.01</v>
      </c>
      <c r="J524" s="8">
        <f>Table3[[#This Row],[PrimaTécnica]]*Table3[[#This Row],[Gastos Adm]]</f>
        <v>1377.2221062479998</v>
      </c>
      <c r="K524" s="8">
        <f>Table3[[#This Row],[PrimaTécnica]]*Table3[[#This Row],[Utilidad]]</f>
        <v>459.07403541600002</v>
      </c>
      <c r="L524" s="8">
        <f>Table3[[#This Row],[PrimaTécnica]]*Table3[[#This Row],[Marketing]]</f>
        <v>91.814807083199995</v>
      </c>
      <c r="M524" s="8">
        <f>Table3[[#This Row],[PrimaTécnica]]*Table3[[#This Row],[Cobranza]]</f>
        <v>91.814807083199995</v>
      </c>
      <c r="N52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9181.4807083199994</v>
      </c>
      <c r="O524">
        <v>21.84</v>
      </c>
      <c r="P524">
        <v>54.6</v>
      </c>
      <c r="Q524">
        <v>80.64</v>
      </c>
      <c r="R524">
        <v>44.377200000000002</v>
      </c>
      <c r="S524">
        <v>0.2</v>
      </c>
      <c r="T524">
        <v>0.02</v>
      </c>
      <c r="U524" s="8">
        <f>Table3[[#This Row],[PrimaNeta]]*Table3[[#This Row],[Comisión]]</f>
        <v>2345.7344770800005</v>
      </c>
      <c r="V524" s="15">
        <f>Table3[[#This Row],[PrimaComercial Anual]]-Table3[[#This Row],[PrimaComercial Anual]]*SUM(Table3[[#This Row],[APS]:[IVA]])</f>
        <v>11728.672385400001</v>
      </c>
      <c r="W524" s="2">
        <v>1.4800000000000001E-2</v>
      </c>
      <c r="X524" s="2">
        <v>8.4501000000000007E-2</v>
      </c>
      <c r="Y524">
        <v>0.03</v>
      </c>
      <c r="Z524">
        <v>0.13</v>
      </c>
      <c r="AA524" s="20">
        <f>Table3[[#This Row],[APS]]*Table3[[#This Row],[PrimaComercial Anual]]</f>
        <v>234.35208000000003</v>
      </c>
      <c r="AB524" s="8">
        <f>Table3[[#This Row],[PrimaComercial Anual]]*Table3[[#This Row],[Recargo adicional]]</f>
        <v>1338.0395346</v>
      </c>
      <c r="AC524" s="8">
        <f>Table3[[#This Row],[PrimaComercial Anual]]*Table3[[#This Row],[IT]]</f>
        <v>475.03800000000001</v>
      </c>
      <c r="AD524" s="8">
        <f>Table3[[#This Row],[PrimaComercial Anual]]*Table3[[#This Row],[IVA]]</f>
        <v>2058.498</v>
      </c>
      <c r="AE524" s="15">
        <f>Table3[[#This Row],[PrimaComercial Anual Asistencia]]</f>
        <v>15834.6</v>
      </c>
      <c r="AG524">
        <v>15834.6</v>
      </c>
    </row>
    <row r="525" spans="1:33" x14ac:dyDescent="0.25">
      <c r="A525" t="s">
        <v>17</v>
      </c>
      <c r="B525">
        <v>420000</v>
      </c>
      <c r="C525">
        <v>61</v>
      </c>
      <c r="D525" s="2">
        <f>Table3[[#This Row],[PrimaTécnica]]-Table3[[#This Row],[PrimaTécnica]]*SUM(Table3[[#This Row],[Gastos Adm]:[Cobranza]])</f>
        <v>7161.5549524895996</v>
      </c>
      <c r="E525">
        <v>0</v>
      </c>
      <c r="F525">
        <v>0.15</v>
      </c>
      <c r="G525">
        <v>0.05</v>
      </c>
      <c r="H525">
        <v>0.01</v>
      </c>
      <c r="I525">
        <v>0.01</v>
      </c>
      <c r="J525" s="8">
        <f>Table3[[#This Row],[PrimaTécnica]]*Table3[[#This Row],[Gastos Adm]]</f>
        <v>1377.2221062479998</v>
      </c>
      <c r="K525" s="8">
        <f>Table3[[#This Row],[PrimaTécnica]]*Table3[[#This Row],[Utilidad]]</f>
        <v>459.07403541600002</v>
      </c>
      <c r="L525" s="8">
        <f>Table3[[#This Row],[PrimaTécnica]]*Table3[[#This Row],[Marketing]]</f>
        <v>91.814807083199995</v>
      </c>
      <c r="M525" s="8">
        <f>Table3[[#This Row],[PrimaTécnica]]*Table3[[#This Row],[Cobranza]]</f>
        <v>91.814807083199995</v>
      </c>
      <c r="N52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9181.4807083199994</v>
      </c>
      <c r="O525">
        <v>21.84</v>
      </c>
      <c r="P525">
        <v>54.6</v>
      </c>
      <c r="Q525">
        <v>80.64</v>
      </c>
      <c r="R525">
        <v>44.377200000000002</v>
      </c>
      <c r="S525">
        <v>0.2</v>
      </c>
      <c r="T525">
        <v>0.02</v>
      </c>
      <c r="U525" s="8">
        <f>Table3[[#This Row],[PrimaNeta]]*Table3[[#This Row],[Comisión]]</f>
        <v>2345.7344770800005</v>
      </c>
      <c r="V525" s="15">
        <f>Table3[[#This Row],[PrimaComercial Anual]]-Table3[[#This Row],[PrimaComercial Anual]]*SUM(Table3[[#This Row],[APS]:[IVA]])</f>
        <v>11728.672385400001</v>
      </c>
      <c r="W525" s="2">
        <v>1.4800000000000001E-2</v>
      </c>
      <c r="X525" s="2">
        <v>8.4501000000000007E-2</v>
      </c>
      <c r="Y525">
        <v>0.03</v>
      </c>
      <c r="Z525">
        <v>0.13</v>
      </c>
      <c r="AA525" s="20">
        <f>Table3[[#This Row],[APS]]*Table3[[#This Row],[PrimaComercial Anual]]</f>
        <v>234.35208000000003</v>
      </c>
      <c r="AB525" s="8">
        <f>Table3[[#This Row],[PrimaComercial Anual]]*Table3[[#This Row],[Recargo adicional]]</f>
        <v>1338.0395346</v>
      </c>
      <c r="AC525" s="8">
        <f>Table3[[#This Row],[PrimaComercial Anual]]*Table3[[#This Row],[IT]]</f>
        <v>475.03800000000001</v>
      </c>
      <c r="AD525" s="8">
        <f>Table3[[#This Row],[PrimaComercial Anual]]*Table3[[#This Row],[IVA]]</f>
        <v>2058.498</v>
      </c>
      <c r="AE525" s="15">
        <f>Table3[[#This Row],[PrimaComercial Anual Asistencia]]</f>
        <v>15834.6</v>
      </c>
      <c r="AG525">
        <v>15834.6</v>
      </c>
    </row>
    <row r="526" spans="1:33" x14ac:dyDescent="0.25">
      <c r="A526" t="s">
        <v>17</v>
      </c>
      <c r="B526">
        <v>420000</v>
      </c>
      <c r="C526">
        <v>62</v>
      </c>
      <c r="D526" s="2">
        <f>Table3[[#This Row],[PrimaTécnica]]-Table3[[#This Row],[PrimaTécnica]]*SUM(Table3[[#This Row],[Gastos Adm]:[Cobranza]])</f>
        <v>7161.5549524895996</v>
      </c>
      <c r="E526">
        <v>0</v>
      </c>
      <c r="F526">
        <v>0.15</v>
      </c>
      <c r="G526">
        <v>0.05</v>
      </c>
      <c r="H526">
        <v>0.01</v>
      </c>
      <c r="I526">
        <v>0.01</v>
      </c>
      <c r="J526" s="8">
        <f>Table3[[#This Row],[PrimaTécnica]]*Table3[[#This Row],[Gastos Adm]]</f>
        <v>1377.2221062479998</v>
      </c>
      <c r="K526" s="8">
        <f>Table3[[#This Row],[PrimaTécnica]]*Table3[[#This Row],[Utilidad]]</f>
        <v>459.07403541600002</v>
      </c>
      <c r="L526" s="8">
        <f>Table3[[#This Row],[PrimaTécnica]]*Table3[[#This Row],[Marketing]]</f>
        <v>91.814807083199995</v>
      </c>
      <c r="M526" s="8">
        <f>Table3[[#This Row],[PrimaTécnica]]*Table3[[#This Row],[Cobranza]]</f>
        <v>91.814807083199995</v>
      </c>
      <c r="N52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9181.4807083199994</v>
      </c>
      <c r="O526">
        <v>21.84</v>
      </c>
      <c r="P526">
        <v>54.6</v>
      </c>
      <c r="Q526">
        <v>80.64</v>
      </c>
      <c r="R526">
        <v>44.377200000000002</v>
      </c>
      <c r="S526">
        <v>0.2</v>
      </c>
      <c r="T526">
        <v>0.02</v>
      </c>
      <c r="U526" s="8">
        <f>Table3[[#This Row],[PrimaNeta]]*Table3[[#This Row],[Comisión]]</f>
        <v>2345.7344770800005</v>
      </c>
      <c r="V526" s="15">
        <f>Table3[[#This Row],[PrimaComercial Anual]]-Table3[[#This Row],[PrimaComercial Anual]]*SUM(Table3[[#This Row],[APS]:[IVA]])</f>
        <v>11728.672385400001</v>
      </c>
      <c r="W526" s="2">
        <v>1.4800000000000001E-2</v>
      </c>
      <c r="X526" s="2">
        <v>8.4501000000000007E-2</v>
      </c>
      <c r="Y526">
        <v>0.03</v>
      </c>
      <c r="Z526">
        <v>0.13</v>
      </c>
      <c r="AA526" s="20">
        <f>Table3[[#This Row],[APS]]*Table3[[#This Row],[PrimaComercial Anual]]</f>
        <v>234.35208000000003</v>
      </c>
      <c r="AB526" s="8">
        <f>Table3[[#This Row],[PrimaComercial Anual]]*Table3[[#This Row],[Recargo adicional]]</f>
        <v>1338.0395346</v>
      </c>
      <c r="AC526" s="8">
        <f>Table3[[#This Row],[PrimaComercial Anual]]*Table3[[#This Row],[IT]]</f>
        <v>475.03800000000001</v>
      </c>
      <c r="AD526" s="8">
        <f>Table3[[#This Row],[PrimaComercial Anual]]*Table3[[#This Row],[IVA]]</f>
        <v>2058.498</v>
      </c>
      <c r="AE526" s="15">
        <f>Table3[[#This Row],[PrimaComercial Anual Asistencia]]</f>
        <v>15834.6</v>
      </c>
      <c r="AG526">
        <v>15834.6</v>
      </c>
    </row>
    <row r="527" spans="1:33" x14ac:dyDescent="0.25">
      <c r="A527" t="s">
        <v>17</v>
      </c>
      <c r="B527">
        <v>420000</v>
      </c>
      <c r="C527">
        <v>63</v>
      </c>
      <c r="D527" s="2">
        <f>Table3[[#This Row],[PrimaTécnica]]-Table3[[#This Row],[PrimaTécnica]]*SUM(Table3[[#This Row],[Gastos Adm]:[Cobranza]])</f>
        <v>7161.5549524895996</v>
      </c>
      <c r="E527">
        <v>0</v>
      </c>
      <c r="F527">
        <v>0.15</v>
      </c>
      <c r="G527">
        <v>0.05</v>
      </c>
      <c r="H527">
        <v>0.01</v>
      </c>
      <c r="I527">
        <v>0.01</v>
      </c>
      <c r="J527" s="8">
        <f>Table3[[#This Row],[PrimaTécnica]]*Table3[[#This Row],[Gastos Adm]]</f>
        <v>1377.2221062479998</v>
      </c>
      <c r="K527" s="8">
        <f>Table3[[#This Row],[PrimaTécnica]]*Table3[[#This Row],[Utilidad]]</f>
        <v>459.07403541600002</v>
      </c>
      <c r="L527" s="8">
        <f>Table3[[#This Row],[PrimaTécnica]]*Table3[[#This Row],[Marketing]]</f>
        <v>91.814807083199995</v>
      </c>
      <c r="M527" s="8">
        <f>Table3[[#This Row],[PrimaTécnica]]*Table3[[#This Row],[Cobranza]]</f>
        <v>91.814807083199995</v>
      </c>
      <c r="N52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9181.4807083199994</v>
      </c>
      <c r="O527">
        <v>21.84</v>
      </c>
      <c r="P527">
        <v>54.6</v>
      </c>
      <c r="Q527">
        <v>80.64</v>
      </c>
      <c r="R527">
        <v>44.377200000000002</v>
      </c>
      <c r="S527">
        <v>0.2</v>
      </c>
      <c r="T527">
        <v>0.02</v>
      </c>
      <c r="U527" s="8">
        <f>Table3[[#This Row],[PrimaNeta]]*Table3[[#This Row],[Comisión]]</f>
        <v>2345.7344770800005</v>
      </c>
      <c r="V527" s="15">
        <f>Table3[[#This Row],[PrimaComercial Anual]]-Table3[[#This Row],[PrimaComercial Anual]]*SUM(Table3[[#This Row],[APS]:[IVA]])</f>
        <v>11728.672385400001</v>
      </c>
      <c r="W527" s="2">
        <v>1.4800000000000001E-2</v>
      </c>
      <c r="X527" s="2">
        <v>8.4501000000000007E-2</v>
      </c>
      <c r="Y527">
        <v>0.03</v>
      </c>
      <c r="Z527">
        <v>0.13</v>
      </c>
      <c r="AA527" s="20">
        <f>Table3[[#This Row],[APS]]*Table3[[#This Row],[PrimaComercial Anual]]</f>
        <v>234.35208000000003</v>
      </c>
      <c r="AB527" s="8">
        <f>Table3[[#This Row],[PrimaComercial Anual]]*Table3[[#This Row],[Recargo adicional]]</f>
        <v>1338.0395346</v>
      </c>
      <c r="AC527" s="8">
        <f>Table3[[#This Row],[PrimaComercial Anual]]*Table3[[#This Row],[IT]]</f>
        <v>475.03800000000001</v>
      </c>
      <c r="AD527" s="8">
        <f>Table3[[#This Row],[PrimaComercial Anual]]*Table3[[#This Row],[IVA]]</f>
        <v>2058.498</v>
      </c>
      <c r="AE527" s="15">
        <f>Table3[[#This Row],[PrimaComercial Anual Asistencia]]</f>
        <v>15834.6</v>
      </c>
      <c r="AG527">
        <v>15834.6</v>
      </c>
    </row>
    <row r="528" spans="1:33" x14ac:dyDescent="0.25">
      <c r="A528" t="s">
        <v>17</v>
      </c>
      <c r="B528">
        <v>420000</v>
      </c>
      <c r="C528">
        <v>64</v>
      </c>
      <c r="D528" s="2">
        <f>Table3[[#This Row],[PrimaTécnica]]-Table3[[#This Row],[PrimaTécnica]]*SUM(Table3[[#This Row],[Gastos Adm]:[Cobranza]])</f>
        <v>7161.5549524895996</v>
      </c>
      <c r="E528">
        <v>0</v>
      </c>
      <c r="F528">
        <v>0.15</v>
      </c>
      <c r="G528">
        <v>0.05</v>
      </c>
      <c r="H528">
        <v>0.01</v>
      </c>
      <c r="I528">
        <v>0.01</v>
      </c>
      <c r="J528" s="8">
        <f>Table3[[#This Row],[PrimaTécnica]]*Table3[[#This Row],[Gastos Adm]]</f>
        <v>1377.2221062479998</v>
      </c>
      <c r="K528" s="8">
        <f>Table3[[#This Row],[PrimaTécnica]]*Table3[[#This Row],[Utilidad]]</f>
        <v>459.07403541600002</v>
      </c>
      <c r="L528" s="8">
        <f>Table3[[#This Row],[PrimaTécnica]]*Table3[[#This Row],[Marketing]]</f>
        <v>91.814807083199995</v>
      </c>
      <c r="M528" s="8">
        <f>Table3[[#This Row],[PrimaTécnica]]*Table3[[#This Row],[Cobranza]]</f>
        <v>91.814807083199995</v>
      </c>
      <c r="N52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9181.4807083199994</v>
      </c>
      <c r="O528">
        <v>21.84</v>
      </c>
      <c r="P528">
        <v>54.6</v>
      </c>
      <c r="Q528">
        <v>80.64</v>
      </c>
      <c r="R528">
        <v>44.377200000000002</v>
      </c>
      <c r="S528">
        <v>0.2</v>
      </c>
      <c r="T528">
        <v>0.02</v>
      </c>
      <c r="U528" s="8">
        <f>Table3[[#This Row],[PrimaNeta]]*Table3[[#This Row],[Comisión]]</f>
        <v>2345.7344770800005</v>
      </c>
      <c r="V528" s="15">
        <f>Table3[[#This Row],[PrimaComercial Anual]]-Table3[[#This Row],[PrimaComercial Anual]]*SUM(Table3[[#This Row],[APS]:[IVA]])</f>
        <v>11728.672385400001</v>
      </c>
      <c r="W528" s="2">
        <v>1.4800000000000001E-2</v>
      </c>
      <c r="X528" s="2">
        <v>8.4501000000000007E-2</v>
      </c>
      <c r="Y528">
        <v>0.03</v>
      </c>
      <c r="Z528">
        <v>0.13</v>
      </c>
      <c r="AA528" s="20">
        <f>Table3[[#This Row],[APS]]*Table3[[#This Row],[PrimaComercial Anual]]</f>
        <v>234.35208000000003</v>
      </c>
      <c r="AB528" s="8">
        <f>Table3[[#This Row],[PrimaComercial Anual]]*Table3[[#This Row],[Recargo adicional]]</f>
        <v>1338.0395346</v>
      </c>
      <c r="AC528" s="8">
        <f>Table3[[#This Row],[PrimaComercial Anual]]*Table3[[#This Row],[IT]]</f>
        <v>475.03800000000001</v>
      </c>
      <c r="AD528" s="8">
        <f>Table3[[#This Row],[PrimaComercial Anual]]*Table3[[#This Row],[IVA]]</f>
        <v>2058.498</v>
      </c>
      <c r="AE528" s="15">
        <f>Table3[[#This Row],[PrimaComercial Anual Asistencia]]</f>
        <v>15834.6</v>
      </c>
      <c r="AG528">
        <v>15834.6</v>
      </c>
    </row>
    <row r="529" spans="1:33" x14ac:dyDescent="0.25">
      <c r="A529" t="s">
        <v>17</v>
      </c>
      <c r="B529">
        <v>420000</v>
      </c>
      <c r="C529">
        <v>65</v>
      </c>
      <c r="D529" s="2">
        <f>Table3[[#This Row],[PrimaTécnica]]-Table3[[#This Row],[PrimaTécnica]]*SUM(Table3[[#This Row],[Gastos Adm]:[Cobranza]])</f>
        <v>10185.981849763199</v>
      </c>
      <c r="E529">
        <v>0</v>
      </c>
      <c r="F529">
        <v>0.15</v>
      </c>
      <c r="G529">
        <v>0.05</v>
      </c>
      <c r="H529">
        <v>0.01</v>
      </c>
      <c r="I529">
        <v>0.01</v>
      </c>
      <c r="J529" s="8">
        <f>Table3[[#This Row],[PrimaTécnica]]*Table3[[#This Row],[Gastos Adm]]</f>
        <v>1958.8426634159998</v>
      </c>
      <c r="K529" s="8">
        <f>Table3[[#This Row],[PrimaTécnica]]*Table3[[#This Row],[Utilidad]]</f>
        <v>652.94755447199998</v>
      </c>
      <c r="L529" s="8">
        <f>Table3[[#This Row],[PrimaTécnica]]*Table3[[#This Row],[Marketing]]</f>
        <v>130.58951089440001</v>
      </c>
      <c r="M529" s="8">
        <f>Table3[[#This Row],[PrimaTécnica]]*Table3[[#This Row],[Cobranza]]</f>
        <v>130.58951089440001</v>
      </c>
      <c r="N52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13058.951089439999</v>
      </c>
      <c r="O529">
        <v>21.84</v>
      </c>
      <c r="P529">
        <v>54.6</v>
      </c>
      <c r="Q529">
        <v>80.64</v>
      </c>
      <c r="R529">
        <v>44.377200000000002</v>
      </c>
      <c r="S529">
        <v>0.2</v>
      </c>
      <c r="T529">
        <v>0.02</v>
      </c>
      <c r="U529" s="8">
        <f>Table3[[#This Row],[PrimaNeta]]*Table3[[#This Row],[Comisión]]</f>
        <v>3315.10207236</v>
      </c>
      <c r="V529" s="15">
        <f>Table3[[#This Row],[PrimaComercial Anual]]-Table3[[#This Row],[PrimaComercial Anual]]*SUM(Table3[[#This Row],[APS]:[IVA]])</f>
        <v>16575.510361799999</v>
      </c>
      <c r="W529" s="2">
        <v>1.4800000000000001E-2</v>
      </c>
      <c r="X529" s="2">
        <v>8.4501000000000007E-2</v>
      </c>
      <c r="Y529">
        <v>0.03</v>
      </c>
      <c r="Z529">
        <v>0.13</v>
      </c>
      <c r="AA529" s="20">
        <f>Table3[[#This Row],[APS]]*Table3[[#This Row],[PrimaComercial Anual]]</f>
        <v>331.19736</v>
      </c>
      <c r="AB529" s="8">
        <f>Table3[[#This Row],[PrimaComercial Anual]]*Table3[[#This Row],[Recargo adicional]]</f>
        <v>1890.9802782000002</v>
      </c>
      <c r="AC529" s="8">
        <f>Table3[[#This Row],[PrimaComercial Anual]]*Table3[[#This Row],[IT]]</f>
        <v>671.346</v>
      </c>
      <c r="AD529" s="8">
        <f>Table3[[#This Row],[PrimaComercial Anual]]*Table3[[#This Row],[IVA]]</f>
        <v>2909.1660000000002</v>
      </c>
      <c r="AE529" s="15">
        <f>Table3[[#This Row],[PrimaComercial Anual Asistencia]]</f>
        <v>22378.2</v>
      </c>
      <c r="AG529">
        <v>22378.2</v>
      </c>
    </row>
    <row r="530" spans="1:33" x14ac:dyDescent="0.25">
      <c r="A530" t="s">
        <v>17</v>
      </c>
      <c r="B530">
        <v>420000</v>
      </c>
      <c r="C530">
        <v>66</v>
      </c>
      <c r="D530" s="2">
        <f>Table3[[#This Row],[PrimaTécnica]]-Table3[[#This Row],[PrimaTécnica]]*SUM(Table3[[#This Row],[Gastos Adm]:[Cobranza]])</f>
        <v>10185.981849763199</v>
      </c>
      <c r="E530">
        <v>0</v>
      </c>
      <c r="F530">
        <v>0.15</v>
      </c>
      <c r="G530">
        <v>0.05</v>
      </c>
      <c r="H530">
        <v>0.01</v>
      </c>
      <c r="I530">
        <v>0.01</v>
      </c>
      <c r="J530" s="8">
        <f>Table3[[#This Row],[PrimaTécnica]]*Table3[[#This Row],[Gastos Adm]]</f>
        <v>1958.8426634159998</v>
      </c>
      <c r="K530" s="8">
        <f>Table3[[#This Row],[PrimaTécnica]]*Table3[[#This Row],[Utilidad]]</f>
        <v>652.94755447199998</v>
      </c>
      <c r="L530" s="8">
        <f>Table3[[#This Row],[PrimaTécnica]]*Table3[[#This Row],[Marketing]]</f>
        <v>130.58951089440001</v>
      </c>
      <c r="M530" s="8">
        <f>Table3[[#This Row],[PrimaTécnica]]*Table3[[#This Row],[Cobranza]]</f>
        <v>130.58951089440001</v>
      </c>
      <c r="N53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13058.951089439999</v>
      </c>
      <c r="O530">
        <v>21.84</v>
      </c>
      <c r="P530">
        <v>54.6</v>
      </c>
      <c r="Q530">
        <v>80.64</v>
      </c>
      <c r="R530">
        <v>44.377200000000002</v>
      </c>
      <c r="S530">
        <v>0.2</v>
      </c>
      <c r="T530">
        <v>0.02</v>
      </c>
      <c r="U530" s="8">
        <f>Table3[[#This Row],[PrimaNeta]]*Table3[[#This Row],[Comisión]]</f>
        <v>3315.10207236</v>
      </c>
      <c r="V530" s="15">
        <f>Table3[[#This Row],[PrimaComercial Anual]]-Table3[[#This Row],[PrimaComercial Anual]]*SUM(Table3[[#This Row],[APS]:[IVA]])</f>
        <v>16575.510361799999</v>
      </c>
      <c r="W530" s="2">
        <v>1.4800000000000001E-2</v>
      </c>
      <c r="X530" s="2">
        <v>8.4501000000000007E-2</v>
      </c>
      <c r="Y530">
        <v>0.03</v>
      </c>
      <c r="Z530">
        <v>0.13</v>
      </c>
      <c r="AA530" s="20">
        <f>Table3[[#This Row],[APS]]*Table3[[#This Row],[PrimaComercial Anual]]</f>
        <v>331.19736</v>
      </c>
      <c r="AB530" s="8">
        <f>Table3[[#This Row],[PrimaComercial Anual]]*Table3[[#This Row],[Recargo adicional]]</f>
        <v>1890.9802782000002</v>
      </c>
      <c r="AC530" s="8">
        <f>Table3[[#This Row],[PrimaComercial Anual]]*Table3[[#This Row],[IT]]</f>
        <v>671.346</v>
      </c>
      <c r="AD530" s="8">
        <f>Table3[[#This Row],[PrimaComercial Anual]]*Table3[[#This Row],[IVA]]</f>
        <v>2909.1660000000002</v>
      </c>
      <c r="AE530" s="15">
        <f>Table3[[#This Row],[PrimaComercial Anual Asistencia]]</f>
        <v>22378.2</v>
      </c>
      <c r="AG530">
        <v>22378.2</v>
      </c>
    </row>
    <row r="531" spans="1:33" x14ac:dyDescent="0.25">
      <c r="A531" t="s">
        <v>17</v>
      </c>
      <c r="B531">
        <v>420000</v>
      </c>
      <c r="C531">
        <v>67</v>
      </c>
      <c r="D531" s="2">
        <f>Table3[[#This Row],[PrimaTécnica]]-Table3[[#This Row],[PrimaTécnica]]*SUM(Table3[[#This Row],[Gastos Adm]:[Cobranza]])</f>
        <v>10185.981849763199</v>
      </c>
      <c r="E531">
        <v>0</v>
      </c>
      <c r="F531">
        <v>0.15</v>
      </c>
      <c r="G531">
        <v>0.05</v>
      </c>
      <c r="H531">
        <v>0.01</v>
      </c>
      <c r="I531">
        <v>0.01</v>
      </c>
      <c r="J531" s="8">
        <f>Table3[[#This Row],[PrimaTécnica]]*Table3[[#This Row],[Gastos Adm]]</f>
        <v>1958.8426634159998</v>
      </c>
      <c r="K531" s="8">
        <f>Table3[[#This Row],[PrimaTécnica]]*Table3[[#This Row],[Utilidad]]</f>
        <v>652.94755447199998</v>
      </c>
      <c r="L531" s="8">
        <f>Table3[[#This Row],[PrimaTécnica]]*Table3[[#This Row],[Marketing]]</f>
        <v>130.58951089440001</v>
      </c>
      <c r="M531" s="8">
        <f>Table3[[#This Row],[PrimaTécnica]]*Table3[[#This Row],[Cobranza]]</f>
        <v>130.58951089440001</v>
      </c>
      <c r="N53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13058.951089439999</v>
      </c>
      <c r="O531">
        <v>21.84</v>
      </c>
      <c r="P531">
        <v>54.6</v>
      </c>
      <c r="Q531">
        <v>80.64</v>
      </c>
      <c r="R531">
        <v>44.377200000000002</v>
      </c>
      <c r="S531">
        <v>0.2</v>
      </c>
      <c r="T531">
        <v>0.02</v>
      </c>
      <c r="U531" s="8">
        <f>Table3[[#This Row],[PrimaNeta]]*Table3[[#This Row],[Comisión]]</f>
        <v>3315.10207236</v>
      </c>
      <c r="V531" s="15">
        <f>Table3[[#This Row],[PrimaComercial Anual]]-Table3[[#This Row],[PrimaComercial Anual]]*SUM(Table3[[#This Row],[APS]:[IVA]])</f>
        <v>16575.510361799999</v>
      </c>
      <c r="W531" s="2">
        <v>1.4800000000000001E-2</v>
      </c>
      <c r="X531" s="2">
        <v>8.4501000000000007E-2</v>
      </c>
      <c r="Y531">
        <v>0.03</v>
      </c>
      <c r="Z531">
        <v>0.13</v>
      </c>
      <c r="AA531" s="20">
        <f>Table3[[#This Row],[APS]]*Table3[[#This Row],[PrimaComercial Anual]]</f>
        <v>331.19736</v>
      </c>
      <c r="AB531" s="8">
        <f>Table3[[#This Row],[PrimaComercial Anual]]*Table3[[#This Row],[Recargo adicional]]</f>
        <v>1890.9802782000002</v>
      </c>
      <c r="AC531" s="8">
        <f>Table3[[#This Row],[PrimaComercial Anual]]*Table3[[#This Row],[IT]]</f>
        <v>671.346</v>
      </c>
      <c r="AD531" s="8">
        <f>Table3[[#This Row],[PrimaComercial Anual]]*Table3[[#This Row],[IVA]]</f>
        <v>2909.1660000000002</v>
      </c>
      <c r="AE531" s="15">
        <f>Table3[[#This Row],[PrimaComercial Anual Asistencia]]</f>
        <v>22378.2</v>
      </c>
      <c r="AG531">
        <v>22378.2</v>
      </c>
    </row>
    <row r="532" spans="1:33" x14ac:dyDescent="0.25">
      <c r="A532" t="s">
        <v>17</v>
      </c>
      <c r="B532">
        <v>420000</v>
      </c>
      <c r="C532">
        <v>68</v>
      </c>
      <c r="D532" s="2">
        <f>Table3[[#This Row],[PrimaTécnica]]-Table3[[#This Row],[PrimaTécnica]]*SUM(Table3[[#This Row],[Gastos Adm]:[Cobranza]])</f>
        <v>10185.981849763199</v>
      </c>
      <c r="E532">
        <v>0</v>
      </c>
      <c r="F532">
        <v>0.15</v>
      </c>
      <c r="G532">
        <v>0.05</v>
      </c>
      <c r="H532">
        <v>0.01</v>
      </c>
      <c r="I532">
        <v>0.01</v>
      </c>
      <c r="J532" s="8">
        <f>Table3[[#This Row],[PrimaTécnica]]*Table3[[#This Row],[Gastos Adm]]</f>
        <v>1958.8426634159998</v>
      </c>
      <c r="K532" s="8">
        <f>Table3[[#This Row],[PrimaTécnica]]*Table3[[#This Row],[Utilidad]]</f>
        <v>652.94755447199998</v>
      </c>
      <c r="L532" s="8">
        <f>Table3[[#This Row],[PrimaTécnica]]*Table3[[#This Row],[Marketing]]</f>
        <v>130.58951089440001</v>
      </c>
      <c r="M532" s="8">
        <f>Table3[[#This Row],[PrimaTécnica]]*Table3[[#This Row],[Cobranza]]</f>
        <v>130.58951089440001</v>
      </c>
      <c r="N53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13058.951089439999</v>
      </c>
      <c r="O532">
        <v>21.84</v>
      </c>
      <c r="P532">
        <v>54.6</v>
      </c>
      <c r="Q532">
        <v>80.64</v>
      </c>
      <c r="R532">
        <v>44.377200000000002</v>
      </c>
      <c r="S532">
        <v>0.2</v>
      </c>
      <c r="T532">
        <v>0.02</v>
      </c>
      <c r="U532" s="8">
        <f>Table3[[#This Row],[PrimaNeta]]*Table3[[#This Row],[Comisión]]</f>
        <v>3315.10207236</v>
      </c>
      <c r="V532" s="15">
        <f>Table3[[#This Row],[PrimaComercial Anual]]-Table3[[#This Row],[PrimaComercial Anual]]*SUM(Table3[[#This Row],[APS]:[IVA]])</f>
        <v>16575.510361799999</v>
      </c>
      <c r="W532" s="2">
        <v>1.4800000000000001E-2</v>
      </c>
      <c r="X532" s="2">
        <v>8.4501000000000007E-2</v>
      </c>
      <c r="Y532">
        <v>0.03</v>
      </c>
      <c r="Z532">
        <v>0.13</v>
      </c>
      <c r="AA532" s="20">
        <f>Table3[[#This Row],[APS]]*Table3[[#This Row],[PrimaComercial Anual]]</f>
        <v>331.19736</v>
      </c>
      <c r="AB532" s="8">
        <f>Table3[[#This Row],[PrimaComercial Anual]]*Table3[[#This Row],[Recargo adicional]]</f>
        <v>1890.9802782000002</v>
      </c>
      <c r="AC532" s="8">
        <f>Table3[[#This Row],[PrimaComercial Anual]]*Table3[[#This Row],[IT]]</f>
        <v>671.346</v>
      </c>
      <c r="AD532" s="8">
        <f>Table3[[#This Row],[PrimaComercial Anual]]*Table3[[#This Row],[IVA]]</f>
        <v>2909.1660000000002</v>
      </c>
      <c r="AE532" s="15">
        <f>Table3[[#This Row],[PrimaComercial Anual Asistencia]]</f>
        <v>22378.2</v>
      </c>
      <c r="AG532">
        <v>22378.2</v>
      </c>
    </row>
    <row r="533" spans="1:33" x14ac:dyDescent="0.25">
      <c r="A533" t="s">
        <v>17</v>
      </c>
      <c r="B533">
        <v>420000</v>
      </c>
      <c r="C533">
        <v>69</v>
      </c>
      <c r="D533" s="2">
        <f>Table3[[#This Row],[PrimaTécnica]]-Table3[[#This Row],[PrimaTécnica]]*SUM(Table3[[#This Row],[Gastos Adm]:[Cobranza]])</f>
        <v>10185.981849763199</v>
      </c>
      <c r="E533">
        <v>0</v>
      </c>
      <c r="F533">
        <v>0.15</v>
      </c>
      <c r="G533">
        <v>0.05</v>
      </c>
      <c r="H533">
        <v>0.01</v>
      </c>
      <c r="I533">
        <v>0.01</v>
      </c>
      <c r="J533" s="8">
        <f>Table3[[#This Row],[PrimaTécnica]]*Table3[[#This Row],[Gastos Adm]]</f>
        <v>1958.8426634159998</v>
      </c>
      <c r="K533" s="8">
        <f>Table3[[#This Row],[PrimaTécnica]]*Table3[[#This Row],[Utilidad]]</f>
        <v>652.94755447199998</v>
      </c>
      <c r="L533" s="8">
        <f>Table3[[#This Row],[PrimaTécnica]]*Table3[[#This Row],[Marketing]]</f>
        <v>130.58951089440001</v>
      </c>
      <c r="M533" s="8">
        <f>Table3[[#This Row],[PrimaTécnica]]*Table3[[#This Row],[Cobranza]]</f>
        <v>130.58951089440001</v>
      </c>
      <c r="N53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13058.951089439999</v>
      </c>
      <c r="O533">
        <v>21.84</v>
      </c>
      <c r="P533">
        <v>54.6</v>
      </c>
      <c r="Q533">
        <v>80.64</v>
      </c>
      <c r="R533">
        <v>44.377200000000002</v>
      </c>
      <c r="S533">
        <v>0.2</v>
      </c>
      <c r="T533">
        <v>0.02</v>
      </c>
      <c r="U533" s="8">
        <f>Table3[[#This Row],[PrimaNeta]]*Table3[[#This Row],[Comisión]]</f>
        <v>3315.10207236</v>
      </c>
      <c r="V533" s="15">
        <f>Table3[[#This Row],[PrimaComercial Anual]]-Table3[[#This Row],[PrimaComercial Anual]]*SUM(Table3[[#This Row],[APS]:[IVA]])</f>
        <v>16575.510361799999</v>
      </c>
      <c r="W533" s="2">
        <v>1.4800000000000001E-2</v>
      </c>
      <c r="X533" s="2">
        <v>8.4501000000000007E-2</v>
      </c>
      <c r="Y533">
        <v>0.03</v>
      </c>
      <c r="Z533">
        <v>0.13</v>
      </c>
      <c r="AA533" s="20">
        <f>Table3[[#This Row],[APS]]*Table3[[#This Row],[PrimaComercial Anual]]</f>
        <v>331.19736</v>
      </c>
      <c r="AB533" s="8">
        <f>Table3[[#This Row],[PrimaComercial Anual]]*Table3[[#This Row],[Recargo adicional]]</f>
        <v>1890.9802782000002</v>
      </c>
      <c r="AC533" s="8">
        <f>Table3[[#This Row],[PrimaComercial Anual]]*Table3[[#This Row],[IT]]</f>
        <v>671.346</v>
      </c>
      <c r="AD533" s="8">
        <f>Table3[[#This Row],[PrimaComercial Anual]]*Table3[[#This Row],[IVA]]</f>
        <v>2909.1660000000002</v>
      </c>
      <c r="AE533" s="15">
        <f>Table3[[#This Row],[PrimaComercial Anual Asistencia]]</f>
        <v>22378.2</v>
      </c>
      <c r="AG533">
        <v>22378.2</v>
      </c>
    </row>
    <row r="534" spans="1:33" x14ac:dyDescent="0.25">
      <c r="A534" t="s">
        <v>17</v>
      </c>
      <c r="B534">
        <v>420000</v>
      </c>
      <c r="C534">
        <v>70</v>
      </c>
      <c r="D534" s="2">
        <f>Table3[[#This Row],[PrimaTécnica]]-Table3[[#This Row],[PrimaTécnica]]*SUM(Table3[[#This Row],[Gastos Adm]:[Cobranza]])</f>
        <v>10185.981849763199</v>
      </c>
      <c r="E534">
        <v>0</v>
      </c>
      <c r="F534">
        <v>0.15</v>
      </c>
      <c r="G534">
        <v>0.05</v>
      </c>
      <c r="H534">
        <v>0.01</v>
      </c>
      <c r="I534">
        <v>0.01</v>
      </c>
      <c r="J534" s="8">
        <f>Table3[[#This Row],[PrimaTécnica]]*Table3[[#This Row],[Gastos Adm]]</f>
        <v>1958.8426634159998</v>
      </c>
      <c r="K534" s="8">
        <f>Table3[[#This Row],[PrimaTécnica]]*Table3[[#This Row],[Utilidad]]</f>
        <v>652.94755447199998</v>
      </c>
      <c r="L534" s="8">
        <f>Table3[[#This Row],[PrimaTécnica]]*Table3[[#This Row],[Marketing]]</f>
        <v>130.58951089440001</v>
      </c>
      <c r="M534" s="8">
        <f>Table3[[#This Row],[PrimaTécnica]]*Table3[[#This Row],[Cobranza]]</f>
        <v>130.58951089440001</v>
      </c>
      <c r="N53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13058.951089439999</v>
      </c>
      <c r="O534">
        <v>21.84</v>
      </c>
      <c r="P534">
        <v>54.6</v>
      </c>
      <c r="Q534">
        <v>80.64</v>
      </c>
      <c r="R534">
        <v>44.377200000000002</v>
      </c>
      <c r="S534">
        <v>0.2</v>
      </c>
      <c r="T534">
        <v>0.02</v>
      </c>
      <c r="U534" s="8">
        <f>Table3[[#This Row],[PrimaNeta]]*Table3[[#This Row],[Comisión]]</f>
        <v>3315.10207236</v>
      </c>
      <c r="V534" s="15">
        <f>Table3[[#This Row],[PrimaComercial Anual]]-Table3[[#This Row],[PrimaComercial Anual]]*SUM(Table3[[#This Row],[APS]:[IVA]])</f>
        <v>16575.510361799999</v>
      </c>
      <c r="W534" s="2">
        <v>1.4800000000000001E-2</v>
      </c>
      <c r="X534" s="2">
        <v>8.4501000000000007E-2</v>
      </c>
      <c r="Y534">
        <v>0.03</v>
      </c>
      <c r="Z534">
        <v>0.13</v>
      </c>
      <c r="AA534" s="20">
        <f>Table3[[#This Row],[APS]]*Table3[[#This Row],[PrimaComercial Anual]]</f>
        <v>331.19736</v>
      </c>
      <c r="AB534" s="8">
        <f>Table3[[#This Row],[PrimaComercial Anual]]*Table3[[#This Row],[Recargo adicional]]</f>
        <v>1890.9802782000002</v>
      </c>
      <c r="AC534" s="8">
        <f>Table3[[#This Row],[PrimaComercial Anual]]*Table3[[#This Row],[IT]]</f>
        <v>671.346</v>
      </c>
      <c r="AD534" s="8">
        <f>Table3[[#This Row],[PrimaComercial Anual]]*Table3[[#This Row],[IVA]]</f>
        <v>2909.1660000000002</v>
      </c>
      <c r="AE534" s="15">
        <f>Table3[[#This Row],[PrimaComercial Anual Asistencia]]</f>
        <v>22378.2</v>
      </c>
      <c r="AG534">
        <v>22378.2</v>
      </c>
    </row>
    <row r="535" spans="1:33" x14ac:dyDescent="0.25">
      <c r="A535" t="s">
        <v>17</v>
      </c>
      <c r="B535">
        <v>420000</v>
      </c>
      <c r="C535">
        <v>71</v>
      </c>
      <c r="D535" s="2">
        <f>Table3[[#This Row],[PrimaTécnica]]-Table3[[#This Row],[PrimaTécnica]]*SUM(Table3[[#This Row],[Gastos Adm]:[Cobranza]])</f>
        <v>12030.144592003198</v>
      </c>
      <c r="E535">
        <v>0</v>
      </c>
      <c r="F535">
        <v>0.15</v>
      </c>
      <c r="G535">
        <v>0.05</v>
      </c>
      <c r="H535">
        <v>0.01</v>
      </c>
      <c r="I535">
        <v>0.01</v>
      </c>
      <c r="J535" s="8">
        <f>Table3[[#This Row],[PrimaTécnica]]*Table3[[#This Row],[Gastos Adm]]</f>
        <v>2313.4893446159995</v>
      </c>
      <c r="K535" s="8">
        <f>Table3[[#This Row],[PrimaTécnica]]*Table3[[#This Row],[Utilidad]]</f>
        <v>771.16311487199994</v>
      </c>
      <c r="L535" s="8">
        <f>Table3[[#This Row],[PrimaTécnica]]*Table3[[#This Row],[Marketing]]</f>
        <v>154.23262297439999</v>
      </c>
      <c r="M535" s="8">
        <f>Table3[[#This Row],[PrimaTécnica]]*Table3[[#This Row],[Cobranza]]</f>
        <v>154.23262297439999</v>
      </c>
      <c r="N53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35">
        <v>21.84</v>
      </c>
      <c r="P535">
        <v>54.6</v>
      </c>
      <c r="Q535">
        <v>80.64</v>
      </c>
      <c r="R535">
        <v>44.377200000000002</v>
      </c>
      <c r="S535">
        <v>0.2</v>
      </c>
      <c r="T535">
        <v>0.02</v>
      </c>
      <c r="U535" s="8">
        <f>Table3[[#This Row],[PrimaNeta]]*Table3[[#This Row],[Comisión]]</f>
        <v>3906.1798743599998</v>
      </c>
      <c r="V535" s="15">
        <f>Table3[[#This Row],[PrimaComercial Anual]]-Table3[[#This Row],[PrimaComercial Anual]]*SUM(Table3[[#This Row],[APS]:[IVA]])</f>
        <v>19530.899371799998</v>
      </c>
      <c r="W535" s="2">
        <v>1.4800000000000001E-2</v>
      </c>
      <c r="X535" s="2">
        <v>8.4501000000000007E-2</v>
      </c>
      <c r="Y535">
        <v>0.03</v>
      </c>
      <c r="Z535">
        <v>0.13</v>
      </c>
      <c r="AA535" s="20">
        <f>Table3[[#This Row],[APS]]*Table3[[#This Row],[PrimaComercial Anual]]</f>
        <v>390.24936000000002</v>
      </c>
      <c r="AB535" s="8">
        <f>Table3[[#This Row],[PrimaComercial Anual]]*Table3[[#This Row],[Recargo adicional]]</f>
        <v>2228.1392682000001</v>
      </c>
      <c r="AC535" s="8">
        <f>Table3[[#This Row],[PrimaComercial Anual]]*Table3[[#This Row],[IT]]</f>
        <v>791.04600000000005</v>
      </c>
      <c r="AD535" s="8">
        <f>Table3[[#This Row],[PrimaComercial Anual]]*Table3[[#This Row],[IVA]]</f>
        <v>3427.866</v>
      </c>
      <c r="AE535" s="15">
        <f>Table3[[#This Row],[PrimaComercial Anual Asistencia]]</f>
        <v>26368.2</v>
      </c>
      <c r="AG535">
        <v>26368.2</v>
      </c>
    </row>
    <row r="536" spans="1:33" x14ac:dyDescent="0.25">
      <c r="A536" t="s">
        <v>17</v>
      </c>
      <c r="B536">
        <v>420000</v>
      </c>
      <c r="C536">
        <v>72</v>
      </c>
      <c r="D536" s="2">
        <f>Table3[[#This Row],[PrimaTécnica]]-Table3[[#This Row],[PrimaTécnica]]*SUM(Table3[[#This Row],[Gastos Adm]:[Cobranza]])</f>
        <v>12030.144592003198</v>
      </c>
      <c r="E536">
        <v>0</v>
      </c>
      <c r="F536">
        <v>0.15</v>
      </c>
      <c r="G536">
        <v>0.05</v>
      </c>
      <c r="H536">
        <v>0.01</v>
      </c>
      <c r="I536">
        <v>0.01</v>
      </c>
      <c r="J536" s="8">
        <f>Table3[[#This Row],[PrimaTécnica]]*Table3[[#This Row],[Gastos Adm]]</f>
        <v>2313.4893446159995</v>
      </c>
      <c r="K536" s="8">
        <f>Table3[[#This Row],[PrimaTécnica]]*Table3[[#This Row],[Utilidad]]</f>
        <v>771.16311487199994</v>
      </c>
      <c r="L536" s="8">
        <f>Table3[[#This Row],[PrimaTécnica]]*Table3[[#This Row],[Marketing]]</f>
        <v>154.23262297439999</v>
      </c>
      <c r="M536" s="8">
        <f>Table3[[#This Row],[PrimaTécnica]]*Table3[[#This Row],[Cobranza]]</f>
        <v>154.23262297439999</v>
      </c>
      <c r="N53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36">
        <v>21.84</v>
      </c>
      <c r="P536">
        <v>54.6</v>
      </c>
      <c r="Q536">
        <v>80.64</v>
      </c>
      <c r="R536">
        <v>44.377200000000002</v>
      </c>
      <c r="S536">
        <v>0.2</v>
      </c>
      <c r="T536">
        <v>0.02</v>
      </c>
      <c r="U536" s="8">
        <f>Table3[[#This Row],[PrimaNeta]]*Table3[[#This Row],[Comisión]]</f>
        <v>3906.1798743599998</v>
      </c>
      <c r="V536" s="15">
        <f>Table3[[#This Row],[PrimaComercial Anual]]-Table3[[#This Row],[PrimaComercial Anual]]*SUM(Table3[[#This Row],[APS]:[IVA]])</f>
        <v>19530.899371799998</v>
      </c>
      <c r="W536" s="2">
        <v>1.4800000000000001E-2</v>
      </c>
      <c r="X536" s="2">
        <v>8.4501000000000007E-2</v>
      </c>
      <c r="Y536">
        <v>0.03</v>
      </c>
      <c r="Z536">
        <v>0.13</v>
      </c>
      <c r="AA536" s="20">
        <f>Table3[[#This Row],[APS]]*Table3[[#This Row],[PrimaComercial Anual]]</f>
        <v>390.24936000000002</v>
      </c>
      <c r="AB536" s="8">
        <f>Table3[[#This Row],[PrimaComercial Anual]]*Table3[[#This Row],[Recargo adicional]]</f>
        <v>2228.1392682000001</v>
      </c>
      <c r="AC536" s="8">
        <f>Table3[[#This Row],[PrimaComercial Anual]]*Table3[[#This Row],[IT]]</f>
        <v>791.04600000000005</v>
      </c>
      <c r="AD536" s="8">
        <f>Table3[[#This Row],[PrimaComercial Anual]]*Table3[[#This Row],[IVA]]</f>
        <v>3427.866</v>
      </c>
      <c r="AE536" s="15">
        <f>Table3[[#This Row],[PrimaComercial Anual Asistencia]]</f>
        <v>26368.2</v>
      </c>
      <c r="AG536">
        <v>26368.2</v>
      </c>
    </row>
    <row r="537" spans="1:33" x14ac:dyDescent="0.25">
      <c r="A537" t="s">
        <v>17</v>
      </c>
      <c r="B537">
        <v>420000</v>
      </c>
      <c r="C537">
        <v>73</v>
      </c>
      <c r="D537" s="2">
        <f>Table3[[#This Row],[PrimaTécnica]]-Table3[[#This Row],[PrimaTécnica]]*SUM(Table3[[#This Row],[Gastos Adm]:[Cobranza]])</f>
        <v>12030.144592003198</v>
      </c>
      <c r="E537">
        <v>0</v>
      </c>
      <c r="F537">
        <v>0.15</v>
      </c>
      <c r="G537">
        <v>0.05</v>
      </c>
      <c r="H537">
        <v>0.01</v>
      </c>
      <c r="I537">
        <v>0.01</v>
      </c>
      <c r="J537" s="8">
        <f>Table3[[#This Row],[PrimaTécnica]]*Table3[[#This Row],[Gastos Adm]]</f>
        <v>2313.4893446159995</v>
      </c>
      <c r="K537" s="8">
        <f>Table3[[#This Row],[PrimaTécnica]]*Table3[[#This Row],[Utilidad]]</f>
        <v>771.16311487199994</v>
      </c>
      <c r="L537" s="8">
        <f>Table3[[#This Row],[PrimaTécnica]]*Table3[[#This Row],[Marketing]]</f>
        <v>154.23262297439999</v>
      </c>
      <c r="M537" s="8">
        <f>Table3[[#This Row],[PrimaTécnica]]*Table3[[#This Row],[Cobranza]]</f>
        <v>154.23262297439999</v>
      </c>
      <c r="N53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37">
        <v>21.84</v>
      </c>
      <c r="P537">
        <v>54.6</v>
      </c>
      <c r="Q537">
        <v>80.64</v>
      </c>
      <c r="R537">
        <v>44.377200000000002</v>
      </c>
      <c r="S537">
        <v>0.2</v>
      </c>
      <c r="T537">
        <v>0.02</v>
      </c>
      <c r="U537" s="8">
        <f>Table3[[#This Row],[PrimaNeta]]*Table3[[#This Row],[Comisión]]</f>
        <v>3906.1798743599998</v>
      </c>
      <c r="V537" s="15">
        <f>Table3[[#This Row],[PrimaComercial Anual]]-Table3[[#This Row],[PrimaComercial Anual]]*SUM(Table3[[#This Row],[APS]:[IVA]])</f>
        <v>19530.899371799998</v>
      </c>
      <c r="W537" s="2">
        <v>1.4800000000000001E-2</v>
      </c>
      <c r="X537" s="2">
        <v>8.4501000000000007E-2</v>
      </c>
      <c r="Y537">
        <v>0.03</v>
      </c>
      <c r="Z537">
        <v>0.13</v>
      </c>
      <c r="AA537" s="20">
        <f>Table3[[#This Row],[APS]]*Table3[[#This Row],[PrimaComercial Anual]]</f>
        <v>390.24936000000002</v>
      </c>
      <c r="AB537" s="8">
        <f>Table3[[#This Row],[PrimaComercial Anual]]*Table3[[#This Row],[Recargo adicional]]</f>
        <v>2228.1392682000001</v>
      </c>
      <c r="AC537" s="8">
        <f>Table3[[#This Row],[PrimaComercial Anual]]*Table3[[#This Row],[IT]]</f>
        <v>791.04600000000005</v>
      </c>
      <c r="AD537" s="8">
        <f>Table3[[#This Row],[PrimaComercial Anual]]*Table3[[#This Row],[IVA]]</f>
        <v>3427.866</v>
      </c>
      <c r="AE537" s="15">
        <f>Table3[[#This Row],[PrimaComercial Anual Asistencia]]</f>
        <v>26368.2</v>
      </c>
      <c r="AG537">
        <v>26368.2</v>
      </c>
    </row>
    <row r="538" spans="1:33" x14ac:dyDescent="0.25">
      <c r="A538" t="s">
        <v>17</v>
      </c>
      <c r="B538">
        <v>420000</v>
      </c>
      <c r="C538">
        <v>74</v>
      </c>
      <c r="D538" s="2">
        <f>Table3[[#This Row],[PrimaTécnica]]-Table3[[#This Row],[PrimaTécnica]]*SUM(Table3[[#This Row],[Gastos Adm]:[Cobranza]])</f>
        <v>12030.144592003198</v>
      </c>
      <c r="E538">
        <v>0</v>
      </c>
      <c r="F538">
        <v>0.15</v>
      </c>
      <c r="G538">
        <v>0.05</v>
      </c>
      <c r="H538">
        <v>0.01</v>
      </c>
      <c r="I538">
        <v>0.01</v>
      </c>
      <c r="J538" s="8">
        <f>Table3[[#This Row],[PrimaTécnica]]*Table3[[#This Row],[Gastos Adm]]</f>
        <v>2313.4893446159995</v>
      </c>
      <c r="K538" s="8">
        <f>Table3[[#This Row],[PrimaTécnica]]*Table3[[#This Row],[Utilidad]]</f>
        <v>771.16311487199994</v>
      </c>
      <c r="L538" s="8">
        <f>Table3[[#This Row],[PrimaTécnica]]*Table3[[#This Row],[Marketing]]</f>
        <v>154.23262297439999</v>
      </c>
      <c r="M538" s="8">
        <f>Table3[[#This Row],[PrimaTécnica]]*Table3[[#This Row],[Cobranza]]</f>
        <v>154.23262297439999</v>
      </c>
      <c r="N53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38">
        <v>21.84</v>
      </c>
      <c r="P538">
        <v>54.6</v>
      </c>
      <c r="Q538">
        <v>80.64</v>
      </c>
      <c r="R538">
        <v>44.377200000000002</v>
      </c>
      <c r="S538">
        <v>0.2</v>
      </c>
      <c r="T538">
        <v>0.02</v>
      </c>
      <c r="U538" s="8">
        <f>Table3[[#This Row],[PrimaNeta]]*Table3[[#This Row],[Comisión]]</f>
        <v>3906.1798743599998</v>
      </c>
      <c r="V538" s="15">
        <f>Table3[[#This Row],[PrimaComercial Anual]]-Table3[[#This Row],[PrimaComercial Anual]]*SUM(Table3[[#This Row],[APS]:[IVA]])</f>
        <v>19530.899371799998</v>
      </c>
      <c r="W538" s="2">
        <v>1.4800000000000001E-2</v>
      </c>
      <c r="X538" s="2">
        <v>8.4501000000000007E-2</v>
      </c>
      <c r="Y538">
        <v>0.03</v>
      </c>
      <c r="Z538">
        <v>0.13</v>
      </c>
      <c r="AA538" s="20">
        <f>Table3[[#This Row],[APS]]*Table3[[#This Row],[PrimaComercial Anual]]</f>
        <v>390.24936000000002</v>
      </c>
      <c r="AB538" s="8">
        <f>Table3[[#This Row],[PrimaComercial Anual]]*Table3[[#This Row],[Recargo adicional]]</f>
        <v>2228.1392682000001</v>
      </c>
      <c r="AC538" s="8">
        <f>Table3[[#This Row],[PrimaComercial Anual]]*Table3[[#This Row],[IT]]</f>
        <v>791.04600000000005</v>
      </c>
      <c r="AD538" s="8">
        <f>Table3[[#This Row],[PrimaComercial Anual]]*Table3[[#This Row],[IVA]]</f>
        <v>3427.866</v>
      </c>
      <c r="AE538" s="15">
        <f>Table3[[#This Row],[PrimaComercial Anual Asistencia]]</f>
        <v>26368.2</v>
      </c>
      <c r="AG538">
        <v>26368.2</v>
      </c>
    </row>
    <row r="539" spans="1:33" x14ac:dyDescent="0.25">
      <c r="A539" t="s">
        <v>17</v>
      </c>
      <c r="B539">
        <v>420000</v>
      </c>
      <c r="C539">
        <v>75</v>
      </c>
      <c r="D539" s="2">
        <f>Table3[[#This Row],[PrimaTécnica]]-Table3[[#This Row],[PrimaTécnica]]*SUM(Table3[[#This Row],[Gastos Adm]:[Cobranza]])</f>
        <v>12030.144592003198</v>
      </c>
      <c r="E539">
        <v>0</v>
      </c>
      <c r="F539">
        <v>0.15</v>
      </c>
      <c r="G539">
        <v>0.05</v>
      </c>
      <c r="H539">
        <v>0.01</v>
      </c>
      <c r="I539">
        <v>0.01</v>
      </c>
      <c r="J539" s="8">
        <f>Table3[[#This Row],[PrimaTécnica]]*Table3[[#This Row],[Gastos Adm]]</f>
        <v>2313.4893446159995</v>
      </c>
      <c r="K539" s="8">
        <f>Table3[[#This Row],[PrimaTécnica]]*Table3[[#This Row],[Utilidad]]</f>
        <v>771.16311487199994</v>
      </c>
      <c r="L539" s="8">
        <f>Table3[[#This Row],[PrimaTécnica]]*Table3[[#This Row],[Marketing]]</f>
        <v>154.23262297439999</v>
      </c>
      <c r="M539" s="8">
        <f>Table3[[#This Row],[PrimaTécnica]]*Table3[[#This Row],[Cobranza]]</f>
        <v>154.23262297439999</v>
      </c>
      <c r="N53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39">
        <v>21.84</v>
      </c>
      <c r="P539">
        <v>54.6</v>
      </c>
      <c r="Q539">
        <v>80.64</v>
      </c>
      <c r="R539">
        <v>44.377200000000002</v>
      </c>
      <c r="S539">
        <v>0.2</v>
      </c>
      <c r="T539">
        <v>0.02</v>
      </c>
      <c r="U539" s="8">
        <f>Table3[[#This Row],[PrimaNeta]]*Table3[[#This Row],[Comisión]]</f>
        <v>3906.1798743599998</v>
      </c>
      <c r="V539" s="15">
        <f>Table3[[#This Row],[PrimaComercial Anual]]-Table3[[#This Row],[PrimaComercial Anual]]*SUM(Table3[[#This Row],[APS]:[IVA]])</f>
        <v>19530.899371799998</v>
      </c>
      <c r="W539" s="2">
        <v>1.4800000000000001E-2</v>
      </c>
      <c r="X539" s="2">
        <v>8.4501000000000007E-2</v>
      </c>
      <c r="Y539">
        <v>0.03</v>
      </c>
      <c r="Z539">
        <v>0.13</v>
      </c>
      <c r="AA539" s="20">
        <f>Table3[[#This Row],[APS]]*Table3[[#This Row],[PrimaComercial Anual]]</f>
        <v>390.24936000000002</v>
      </c>
      <c r="AB539" s="8">
        <f>Table3[[#This Row],[PrimaComercial Anual]]*Table3[[#This Row],[Recargo adicional]]</f>
        <v>2228.1392682000001</v>
      </c>
      <c r="AC539" s="8">
        <f>Table3[[#This Row],[PrimaComercial Anual]]*Table3[[#This Row],[IT]]</f>
        <v>791.04600000000005</v>
      </c>
      <c r="AD539" s="8">
        <f>Table3[[#This Row],[PrimaComercial Anual]]*Table3[[#This Row],[IVA]]</f>
        <v>3427.866</v>
      </c>
      <c r="AE539" s="15">
        <f>Table3[[#This Row],[PrimaComercial Anual Asistencia]]</f>
        <v>26368.2</v>
      </c>
      <c r="AG539">
        <v>26368.2</v>
      </c>
    </row>
    <row r="540" spans="1:33" x14ac:dyDescent="0.25">
      <c r="A540" t="s">
        <v>17</v>
      </c>
      <c r="B540">
        <v>420000</v>
      </c>
      <c r="C540">
        <v>76</v>
      </c>
      <c r="D540" s="2">
        <f>Table3[[#This Row],[PrimaTécnica]]-Table3[[#This Row],[PrimaTécnica]]*SUM(Table3[[#This Row],[Gastos Adm]:[Cobranza]])</f>
        <v>12030.144592003198</v>
      </c>
      <c r="E540">
        <v>0</v>
      </c>
      <c r="F540">
        <v>0.15</v>
      </c>
      <c r="G540">
        <v>0.05</v>
      </c>
      <c r="H540">
        <v>0.01</v>
      </c>
      <c r="I540">
        <v>0.01</v>
      </c>
      <c r="J540" s="8">
        <f>Table3[[#This Row],[PrimaTécnica]]*Table3[[#This Row],[Gastos Adm]]</f>
        <v>2313.4893446159995</v>
      </c>
      <c r="K540" s="8">
        <f>Table3[[#This Row],[PrimaTécnica]]*Table3[[#This Row],[Utilidad]]</f>
        <v>771.16311487199994</v>
      </c>
      <c r="L540" s="8">
        <f>Table3[[#This Row],[PrimaTécnica]]*Table3[[#This Row],[Marketing]]</f>
        <v>154.23262297439999</v>
      </c>
      <c r="M540" s="8">
        <f>Table3[[#This Row],[PrimaTécnica]]*Table3[[#This Row],[Cobranza]]</f>
        <v>154.23262297439999</v>
      </c>
      <c r="N54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40">
        <v>21.84</v>
      </c>
      <c r="P540">
        <v>54.6</v>
      </c>
      <c r="Q540">
        <v>80.64</v>
      </c>
      <c r="R540">
        <v>44.377200000000002</v>
      </c>
      <c r="S540">
        <v>0.2</v>
      </c>
      <c r="T540">
        <v>0.02</v>
      </c>
      <c r="U540" s="8">
        <f>Table3[[#This Row],[PrimaNeta]]*Table3[[#This Row],[Comisión]]</f>
        <v>3906.1798743599998</v>
      </c>
      <c r="V540" s="15">
        <f>Table3[[#This Row],[PrimaComercial Anual]]-Table3[[#This Row],[PrimaComercial Anual]]*SUM(Table3[[#This Row],[APS]:[IVA]])</f>
        <v>19530.899371799998</v>
      </c>
      <c r="W540" s="2">
        <v>1.4800000000000001E-2</v>
      </c>
      <c r="X540" s="2">
        <v>8.4501000000000007E-2</v>
      </c>
      <c r="Y540">
        <v>0.03</v>
      </c>
      <c r="Z540">
        <v>0.13</v>
      </c>
      <c r="AA540" s="20">
        <f>Table3[[#This Row],[APS]]*Table3[[#This Row],[PrimaComercial Anual]]</f>
        <v>390.24936000000002</v>
      </c>
      <c r="AB540" s="8">
        <f>Table3[[#This Row],[PrimaComercial Anual]]*Table3[[#This Row],[Recargo adicional]]</f>
        <v>2228.1392682000001</v>
      </c>
      <c r="AC540" s="8">
        <f>Table3[[#This Row],[PrimaComercial Anual]]*Table3[[#This Row],[IT]]</f>
        <v>791.04600000000005</v>
      </c>
      <c r="AD540" s="8">
        <f>Table3[[#This Row],[PrimaComercial Anual]]*Table3[[#This Row],[IVA]]</f>
        <v>3427.866</v>
      </c>
      <c r="AE540" s="15">
        <f>Table3[[#This Row],[PrimaComercial Anual Asistencia]]</f>
        <v>26368.2</v>
      </c>
      <c r="AG540">
        <v>26368.2</v>
      </c>
    </row>
    <row r="541" spans="1:33" x14ac:dyDescent="0.25">
      <c r="A541" t="s">
        <v>17</v>
      </c>
      <c r="B541">
        <v>420000</v>
      </c>
      <c r="C541">
        <v>77</v>
      </c>
      <c r="D541" s="2">
        <f>Table3[[#This Row],[PrimaTécnica]]-Table3[[#This Row],[PrimaTécnica]]*SUM(Table3[[#This Row],[Gastos Adm]:[Cobranza]])</f>
        <v>12030.144592003198</v>
      </c>
      <c r="E541">
        <v>0</v>
      </c>
      <c r="F541">
        <v>0.15</v>
      </c>
      <c r="G541">
        <v>0.05</v>
      </c>
      <c r="H541">
        <v>0.01</v>
      </c>
      <c r="I541">
        <v>0.01</v>
      </c>
      <c r="J541" s="8">
        <f>Table3[[#This Row],[PrimaTécnica]]*Table3[[#This Row],[Gastos Adm]]</f>
        <v>2313.4893446159995</v>
      </c>
      <c r="K541" s="8">
        <f>Table3[[#This Row],[PrimaTécnica]]*Table3[[#This Row],[Utilidad]]</f>
        <v>771.16311487199994</v>
      </c>
      <c r="L541" s="8">
        <f>Table3[[#This Row],[PrimaTécnica]]*Table3[[#This Row],[Marketing]]</f>
        <v>154.23262297439999</v>
      </c>
      <c r="M541" s="8">
        <f>Table3[[#This Row],[PrimaTécnica]]*Table3[[#This Row],[Cobranza]]</f>
        <v>154.23262297439999</v>
      </c>
      <c r="N54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41">
        <v>21.84</v>
      </c>
      <c r="P541">
        <v>54.6</v>
      </c>
      <c r="Q541">
        <v>80.64</v>
      </c>
      <c r="R541">
        <v>44.377200000000002</v>
      </c>
      <c r="S541">
        <v>0.2</v>
      </c>
      <c r="T541">
        <v>0.02</v>
      </c>
      <c r="U541" s="8">
        <f>Table3[[#This Row],[PrimaNeta]]*Table3[[#This Row],[Comisión]]</f>
        <v>3906.1798743599998</v>
      </c>
      <c r="V541" s="15">
        <f>Table3[[#This Row],[PrimaComercial Anual]]-Table3[[#This Row],[PrimaComercial Anual]]*SUM(Table3[[#This Row],[APS]:[IVA]])</f>
        <v>19530.899371799998</v>
      </c>
      <c r="W541" s="2">
        <v>1.4800000000000001E-2</v>
      </c>
      <c r="X541" s="2">
        <v>8.4501000000000007E-2</v>
      </c>
      <c r="Y541">
        <v>0.03</v>
      </c>
      <c r="Z541">
        <v>0.13</v>
      </c>
      <c r="AA541" s="20">
        <f>Table3[[#This Row],[APS]]*Table3[[#This Row],[PrimaComercial Anual]]</f>
        <v>390.24936000000002</v>
      </c>
      <c r="AB541" s="8">
        <f>Table3[[#This Row],[PrimaComercial Anual]]*Table3[[#This Row],[Recargo adicional]]</f>
        <v>2228.1392682000001</v>
      </c>
      <c r="AC541" s="8">
        <f>Table3[[#This Row],[PrimaComercial Anual]]*Table3[[#This Row],[IT]]</f>
        <v>791.04600000000005</v>
      </c>
      <c r="AD541" s="8">
        <f>Table3[[#This Row],[PrimaComercial Anual]]*Table3[[#This Row],[IVA]]</f>
        <v>3427.866</v>
      </c>
      <c r="AE541" s="15">
        <f>Table3[[#This Row],[PrimaComercial Anual Asistencia]]</f>
        <v>26368.2</v>
      </c>
      <c r="AG541">
        <v>26368.2</v>
      </c>
    </row>
    <row r="542" spans="1:33" x14ac:dyDescent="0.25">
      <c r="A542" t="s">
        <v>17</v>
      </c>
      <c r="B542">
        <v>420000</v>
      </c>
      <c r="C542">
        <v>78</v>
      </c>
      <c r="D542" s="2">
        <f>Table3[[#This Row],[PrimaTécnica]]-Table3[[#This Row],[PrimaTécnica]]*SUM(Table3[[#This Row],[Gastos Adm]:[Cobranza]])</f>
        <v>12030.144592003198</v>
      </c>
      <c r="E542">
        <v>0</v>
      </c>
      <c r="F542">
        <v>0.15</v>
      </c>
      <c r="G542">
        <v>0.05</v>
      </c>
      <c r="H542">
        <v>0.01</v>
      </c>
      <c r="I542">
        <v>0.01</v>
      </c>
      <c r="J542" s="8">
        <f>Table3[[#This Row],[PrimaTécnica]]*Table3[[#This Row],[Gastos Adm]]</f>
        <v>2313.4893446159995</v>
      </c>
      <c r="K542" s="8">
        <f>Table3[[#This Row],[PrimaTécnica]]*Table3[[#This Row],[Utilidad]]</f>
        <v>771.16311487199994</v>
      </c>
      <c r="L542" s="8">
        <f>Table3[[#This Row],[PrimaTécnica]]*Table3[[#This Row],[Marketing]]</f>
        <v>154.23262297439999</v>
      </c>
      <c r="M542" s="8">
        <f>Table3[[#This Row],[PrimaTécnica]]*Table3[[#This Row],[Cobranza]]</f>
        <v>154.23262297439999</v>
      </c>
      <c r="N54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42">
        <v>21.84</v>
      </c>
      <c r="P542">
        <v>54.6</v>
      </c>
      <c r="Q542">
        <v>80.64</v>
      </c>
      <c r="R542">
        <v>44.377200000000002</v>
      </c>
      <c r="S542">
        <v>0.2</v>
      </c>
      <c r="T542">
        <v>0.02</v>
      </c>
      <c r="U542" s="8">
        <f>Table3[[#This Row],[PrimaNeta]]*Table3[[#This Row],[Comisión]]</f>
        <v>3906.1798743599998</v>
      </c>
      <c r="V542" s="15">
        <f>Table3[[#This Row],[PrimaComercial Anual]]-Table3[[#This Row],[PrimaComercial Anual]]*SUM(Table3[[#This Row],[APS]:[IVA]])</f>
        <v>19530.899371799998</v>
      </c>
      <c r="W542" s="2">
        <v>1.4800000000000001E-2</v>
      </c>
      <c r="X542" s="2">
        <v>8.4501000000000007E-2</v>
      </c>
      <c r="Y542">
        <v>0.03</v>
      </c>
      <c r="Z542">
        <v>0.13</v>
      </c>
      <c r="AA542" s="20">
        <f>Table3[[#This Row],[APS]]*Table3[[#This Row],[PrimaComercial Anual]]</f>
        <v>390.24936000000002</v>
      </c>
      <c r="AB542" s="8">
        <f>Table3[[#This Row],[PrimaComercial Anual]]*Table3[[#This Row],[Recargo adicional]]</f>
        <v>2228.1392682000001</v>
      </c>
      <c r="AC542" s="8">
        <f>Table3[[#This Row],[PrimaComercial Anual]]*Table3[[#This Row],[IT]]</f>
        <v>791.04600000000005</v>
      </c>
      <c r="AD542" s="8">
        <f>Table3[[#This Row],[PrimaComercial Anual]]*Table3[[#This Row],[IVA]]</f>
        <v>3427.866</v>
      </c>
      <c r="AE542" s="15">
        <f>Table3[[#This Row],[PrimaComercial Anual Asistencia]]</f>
        <v>26368.2</v>
      </c>
      <c r="AG542">
        <v>26368.2</v>
      </c>
    </row>
    <row r="543" spans="1:33" x14ac:dyDescent="0.25">
      <c r="A543" t="s">
        <v>17</v>
      </c>
      <c r="B543">
        <v>420000</v>
      </c>
      <c r="C543">
        <v>79</v>
      </c>
      <c r="D543" s="2">
        <f>Table3[[#This Row],[PrimaTécnica]]-Table3[[#This Row],[PrimaTécnica]]*SUM(Table3[[#This Row],[Gastos Adm]:[Cobranza]])</f>
        <v>12030.144592003198</v>
      </c>
      <c r="E543">
        <v>0</v>
      </c>
      <c r="F543">
        <v>0.15</v>
      </c>
      <c r="G543">
        <v>0.05</v>
      </c>
      <c r="H543">
        <v>0.01</v>
      </c>
      <c r="I543">
        <v>0.01</v>
      </c>
      <c r="J543" s="8">
        <f>Table3[[#This Row],[PrimaTécnica]]*Table3[[#This Row],[Gastos Adm]]</f>
        <v>2313.4893446159995</v>
      </c>
      <c r="K543" s="8">
        <f>Table3[[#This Row],[PrimaTécnica]]*Table3[[#This Row],[Utilidad]]</f>
        <v>771.16311487199994</v>
      </c>
      <c r="L543" s="8">
        <f>Table3[[#This Row],[PrimaTécnica]]*Table3[[#This Row],[Marketing]]</f>
        <v>154.23262297439999</v>
      </c>
      <c r="M543" s="8">
        <f>Table3[[#This Row],[PrimaTécnica]]*Table3[[#This Row],[Cobranza]]</f>
        <v>154.23262297439999</v>
      </c>
      <c r="N54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43">
        <v>21.84</v>
      </c>
      <c r="P543">
        <v>54.6</v>
      </c>
      <c r="Q543">
        <v>80.64</v>
      </c>
      <c r="R543">
        <v>44.377200000000002</v>
      </c>
      <c r="S543">
        <v>0.2</v>
      </c>
      <c r="T543">
        <v>0.02</v>
      </c>
      <c r="U543" s="8">
        <f>Table3[[#This Row],[PrimaNeta]]*Table3[[#This Row],[Comisión]]</f>
        <v>3906.1798743599998</v>
      </c>
      <c r="V543" s="15">
        <f>Table3[[#This Row],[PrimaComercial Anual]]-Table3[[#This Row],[PrimaComercial Anual]]*SUM(Table3[[#This Row],[APS]:[IVA]])</f>
        <v>19530.899371799998</v>
      </c>
      <c r="W543" s="2">
        <v>1.4800000000000001E-2</v>
      </c>
      <c r="X543" s="2">
        <v>8.4501000000000007E-2</v>
      </c>
      <c r="Y543">
        <v>0.03</v>
      </c>
      <c r="Z543">
        <v>0.13</v>
      </c>
      <c r="AA543" s="20">
        <f>Table3[[#This Row],[APS]]*Table3[[#This Row],[PrimaComercial Anual]]</f>
        <v>390.24936000000002</v>
      </c>
      <c r="AB543" s="8">
        <f>Table3[[#This Row],[PrimaComercial Anual]]*Table3[[#This Row],[Recargo adicional]]</f>
        <v>2228.1392682000001</v>
      </c>
      <c r="AC543" s="8">
        <f>Table3[[#This Row],[PrimaComercial Anual]]*Table3[[#This Row],[IT]]</f>
        <v>791.04600000000005</v>
      </c>
      <c r="AD543" s="8">
        <f>Table3[[#This Row],[PrimaComercial Anual]]*Table3[[#This Row],[IVA]]</f>
        <v>3427.866</v>
      </c>
      <c r="AE543" s="15">
        <f>Table3[[#This Row],[PrimaComercial Anual Asistencia]]</f>
        <v>26368.2</v>
      </c>
      <c r="AG543">
        <v>26368.2</v>
      </c>
    </row>
    <row r="544" spans="1:33" x14ac:dyDescent="0.25">
      <c r="A544" t="s">
        <v>17</v>
      </c>
      <c r="B544">
        <v>420000</v>
      </c>
      <c r="C544">
        <v>80</v>
      </c>
      <c r="D544" s="2">
        <f>Table3[[#This Row],[PrimaTécnica]]-Table3[[#This Row],[PrimaTécnica]]*SUM(Table3[[#This Row],[Gastos Adm]:[Cobranza]])</f>
        <v>12030.144592003198</v>
      </c>
      <c r="E544">
        <v>0</v>
      </c>
      <c r="F544">
        <v>0.15</v>
      </c>
      <c r="G544">
        <v>0.05</v>
      </c>
      <c r="H544">
        <v>0.01</v>
      </c>
      <c r="I544">
        <v>0.01</v>
      </c>
      <c r="J544" s="8">
        <f>Table3[[#This Row],[PrimaTécnica]]*Table3[[#This Row],[Gastos Adm]]</f>
        <v>2313.4893446159995</v>
      </c>
      <c r="K544" s="8">
        <f>Table3[[#This Row],[PrimaTécnica]]*Table3[[#This Row],[Utilidad]]</f>
        <v>771.16311487199994</v>
      </c>
      <c r="L544" s="8">
        <f>Table3[[#This Row],[PrimaTécnica]]*Table3[[#This Row],[Marketing]]</f>
        <v>154.23262297439999</v>
      </c>
      <c r="M544" s="8">
        <f>Table3[[#This Row],[PrimaTécnica]]*Table3[[#This Row],[Cobranza]]</f>
        <v>154.23262297439999</v>
      </c>
      <c r="N54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44">
        <v>21.84</v>
      </c>
      <c r="P544">
        <v>54.6</v>
      </c>
      <c r="Q544">
        <v>80.64</v>
      </c>
      <c r="R544">
        <v>44.377200000000002</v>
      </c>
      <c r="S544">
        <v>0.2</v>
      </c>
      <c r="T544">
        <v>0.02</v>
      </c>
      <c r="U544" s="8">
        <f>Table3[[#This Row],[PrimaNeta]]*Table3[[#This Row],[Comisión]]</f>
        <v>3906.1798743599998</v>
      </c>
      <c r="V544" s="15">
        <f>Table3[[#This Row],[PrimaComercial Anual]]-Table3[[#This Row],[PrimaComercial Anual]]*SUM(Table3[[#This Row],[APS]:[IVA]])</f>
        <v>19530.899371799998</v>
      </c>
      <c r="W544" s="2">
        <v>1.4800000000000001E-2</v>
      </c>
      <c r="X544" s="2">
        <v>8.4501000000000007E-2</v>
      </c>
      <c r="Y544">
        <v>0.03</v>
      </c>
      <c r="Z544">
        <v>0.13</v>
      </c>
      <c r="AA544" s="20">
        <f>Table3[[#This Row],[APS]]*Table3[[#This Row],[PrimaComercial Anual]]</f>
        <v>390.24936000000002</v>
      </c>
      <c r="AB544" s="8">
        <f>Table3[[#This Row],[PrimaComercial Anual]]*Table3[[#This Row],[Recargo adicional]]</f>
        <v>2228.1392682000001</v>
      </c>
      <c r="AC544" s="8">
        <f>Table3[[#This Row],[PrimaComercial Anual]]*Table3[[#This Row],[IT]]</f>
        <v>791.04600000000005</v>
      </c>
      <c r="AD544" s="8">
        <f>Table3[[#This Row],[PrimaComercial Anual]]*Table3[[#This Row],[IVA]]</f>
        <v>3427.866</v>
      </c>
      <c r="AE544" s="15">
        <f>Table3[[#This Row],[PrimaComercial Anual Asistencia]]</f>
        <v>26368.2</v>
      </c>
      <c r="AG544">
        <v>26368.2</v>
      </c>
    </row>
    <row r="545" spans="1:33" x14ac:dyDescent="0.25">
      <c r="A545" t="s">
        <v>17</v>
      </c>
      <c r="B545">
        <v>420000</v>
      </c>
      <c r="C545">
        <v>81</v>
      </c>
      <c r="D545" s="2">
        <f>Table3[[#This Row],[PrimaTécnica]]-Table3[[#This Row],[PrimaTécnica]]*SUM(Table3[[#This Row],[Gastos Adm]:[Cobranza]])</f>
        <v>12030.144592003198</v>
      </c>
      <c r="E545">
        <v>0</v>
      </c>
      <c r="F545">
        <v>0.15</v>
      </c>
      <c r="G545">
        <v>0.05</v>
      </c>
      <c r="H545">
        <v>0.01</v>
      </c>
      <c r="I545">
        <v>0.01</v>
      </c>
      <c r="J545" s="8">
        <f>Table3[[#This Row],[PrimaTécnica]]*Table3[[#This Row],[Gastos Adm]]</f>
        <v>2313.4893446159995</v>
      </c>
      <c r="K545" s="8">
        <f>Table3[[#This Row],[PrimaTécnica]]*Table3[[#This Row],[Utilidad]]</f>
        <v>771.16311487199994</v>
      </c>
      <c r="L545" s="8">
        <f>Table3[[#This Row],[PrimaTécnica]]*Table3[[#This Row],[Marketing]]</f>
        <v>154.23262297439999</v>
      </c>
      <c r="M545" s="8">
        <f>Table3[[#This Row],[PrimaTécnica]]*Table3[[#This Row],[Cobranza]]</f>
        <v>154.23262297439999</v>
      </c>
      <c r="N54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45">
        <v>21.84</v>
      </c>
      <c r="P545">
        <v>54.6</v>
      </c>
      <c r="Q545">
        <v>80.64</v>
      </c>
      <c r="R545">
        <v>44.377200000000002</v>
      </c>
      <c r="S545">
        <v>0.2</v>
      </c>
      <c r="T545">
        <v>0.02</v>
      </c>
      <c r="U545" s="8">
        <f>Table3[[#This Row],[PrimaNeta]]*Table3[[#This Row],[Comisión]]</f>
        <v>3906.1798743599998</v>
      </c>
      <c r="V545" s="15">
        <f>Table3[[#This Row],[PrimaComercial Anual]]-Table3[[#This Row],[PrimaComercial Anual]]*SUM(Table3[[#This Row],[APS]:[IVA]])</f>
        <v>19530.899371799998</v>
      </c>
      <c r="W545" s="2">
        <v>1.4800000000000001E-2</v>
      </c>
      <c r="X545" s="2">
        <v>8.4501000000000007E-2</v>
      </c>
      <c r="Y545">
        <v>0.03</v>
      </c>
      <c r="Z545">
        <v>0.13</v>
      </c>
      <c r="AA545" s="20">
        <f>Table3[[#This Row],[APS]]*Table3[[#This Row],[PrimaComercial Anual]]</f>
        <v>390.24936000000002</v>
      </c>
      <c r="AB545" s="8">
        <f>Table3[[#This Row],[PrimaComercial Anual]]*Table3[[#This Row],[Recargo adicional]]</f>
        <v>2228.1392682000001</v>
      </c>
      <c r="AC545" s="8">
        <f>Table3[[#This Row],[PrimaComercial Anual]]*Table3[[#This Row],[IT]]</f>
        <v>791.04600000000005</v>
      </c>
      <c r="AD545" s="8">
        <f>Table3[[#This Row],[PrimaComercial Anual]]*Table3[[#This Row],[IVA]]</f>
        <v>3427.866</v>
      </c>
      <c r="AE545" s="15">
        <f>Table3[[#This Row],[PrimaComercial Anual Asistencia]]</f>
        <v>26368.2</v>
      </c>
      <c r="AG545">
        <v>26368.2</v>
      </c>
    </row>
    <row r="546" spans="1:33" x14ac:dyDescent="0.25">
      <c r="A546" t="s">
        <v>17</v>
      </c>
      <c r="B546">
        <v>420000</v>
      </c>
      <c r="C546">
        <v>82</v>
      </c>
      <c r="D546" s="2">
        <f>Table3[[#This Row],[PrimaTécnica]]-Table3[[#This Row],[PrimaTécnica]]*SUM(Table3[[#This Row],[Gastos Adm]:[Cobranza]])</f>
        <v>12030.144592003198</v>
      </c>
      <c r="E546">
        <v>0</v>
      </c>
      <c r="F546">
        <v>0.15</v>
      </c>
      <c r="G546">
        <v>0.05</v>
      </c>
      <c r="H546">
        <v>0.01</v>
      </c>
      <c r="I546">
        <v>0.01</v>
      </c>
      <c r="J546" s="8">
        <f>Table3[[#This Row],[PrimaTécnica]]*Table3[[#This Row],[Gastos Adm]]</f>
        <v>2313.4893446159995</v>
      </c>
      <c r="K546" s="8">
        <f>Table3[[#This Row],[PrimaTécnica]]*Table3[[#This Row],[Utilidad]]</f>
        <v>771.16311487199994</v>
      </c>
      <c r="L546" s="8">
        <f>Table3[[#This Row],[PrimaTécnica]]*Table3[[#This Row],[Marketing]]</f>
        <v>154.23262297439999</v>
      </c>
      <c r="M546" s="8">
        <f>Table3[[#This Row],[PrimaTécnica]]*Table3[[#This Row],[Cobranza]]</f>
        <v>154.23262297439999</v>
      </c>
      <c r="N54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46">
        <v>21.84</v>
      </c>
      <c r="P546">
        <v>54.6</v>
      </c>
      <c r="Q546">
        <v>80.64</v>
      </c>
      <c r="R546">
        <v>44.377200000000002</v>
      </c>
      <c r="S546">
        <v>0.2</v>
      </c>
      <c r="T546">
        <v>0.02</v>
      </c>
      <c r="U546" s="8">
        <f>Table3[[#This Row],[PrimaNeta]]*Table3[[#This Row],[Comisión]]</f>
        <v>3906.1798743599998</v>
      </c>
      <c r="V546" s="15">
        <f>Table3[[#This Row],[PrimaComercial Anual]]-Table3[[#This Row],[PrimaComercial Anual]]*SUM(Table3[[#This Row],[APS]:[IVA]])</f>
        <v>19530.899371799998</v>
      </c>
      <c r="W546" s="2">
        <v>1.4800000000000001E-2</v>
      </c>
      <c r="X546" s="2">
        <v>8.4501000000000007E-2</v>
      </c>
      <c r="Y546">
        <v>0.03</v>
      </c>
      <c r="Z546">
        <v>0.13</v>
      </c>
      <c r="AA546" s="20">
        <f>Table3[[#This Row],[APS]]*Table3[[#This Row],[PrimaComercial Anual]]</f>
        <v>390.24936000000002</v>
      </c>
      <c r="AB546" s="8">
        <f>Table3[[#This Row],[PrimaComercial Anual]]*Table3[[#This Row],[Recargo adicional]]</f>
        <v>2228.1392682000001</v>
      </c>
      <c r="AC546" s="8">
        <f>Table3[[#This Row],[PrimaComercial Anual]]*Table3[[#This Row],[IT]]</f>
        <v>791.04600000000005</v>
      </c>
      <c r="AD546" s="8">
        <f>Table3[[#This Row],[PrimaComercial Anual]]*Table3[[#This Row],[IVA]]</f>
        <v>3427.866</v>
      </c>
      <c r="AE546" s="15">
        <f>Table3[[#This Row],[PrimaComercial Anual Asistencia]]</f>
        <v>26368.2</v>
      </c>
      <c r="AG546">
        <v>26368.2</v>
      </c>
    </row>
    <row r="547" spans="1:33" x14ac:dyDescent="0.25">
      <c r="A547" t="s">
        <v>17</v>
      </c>
      <c r="B547">
        <v>420000</v>
      </c>
      <c r="C547">
        <v>83</v>
      </c>
      <c r="D547" s="2">
        <f>Table3[[#This Row],[PrimaTécnica]]-Table3[[#This Row],[PrimaTécnica]]*SUM(Table3[[#This Row],[Gastos Adm]:[Cobranza]])</f>
        <v>12030.144592003198</v>
      </c>
      <c r="E547">
        <v>0</v>
      </c>
      <c r="F547">
        <v>0.15</v>
      </c>
      <c r="G547">
        <v>0.05</v>
      </c>
      <c r="H547">
        <v>0.01</v>
      </c>
      <c r="I547">
        <v>0.01</v>
      </c>
      <c r="J547" s="8">
        <f>Table3[[#This Row],[PrimaTécnica]]*Table3[[#This Row],[Gastos Adm]]</f>
        <v>2313.4893446159995</v>
      </c>
      <c r="K547" s="8">
        <f>Table3[[#This Row],[PrimaTécnica]]*Table3[[#This Row],[Utilidad]]</f>
        <v>771.16311487199994</v>
      </c>
      <c r="L547" s="8">
        <f>Table3[[#This Row],[PrimaTécnica]]*Table3[[#This Row],[Marketing]]</f>
        <v>154.23262297439999</v>
      </c>
      <c r="M547" s="8">
        <f>Table3[[#This Row],[PrimaTécnica]]*Table3[[#This Row],[Cobranza]]</f>
        <v>154.23262297439999</v>
      </c>
      <c r="N54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47">
        <v>21.84</v>
      </c>
      <c r="P547">
        <v>54.6</v>
      </c>
      <c r="Q547">
        <v>80.64</v>
      </c>
      <c r="R547">
        <v>44.377200000000002</v>
      </c>
      <c r="S547">
        <v>0.2</v>
      </c>
      <c r="T547">
        <v>0.02</v>
      </c>
      <c r="U547" s="8">
        <f>Table3[[#This Row],[PrimaNeta]]*Table3[[#This Row],[Comisión]]</f>
        <v>3906.1798743599998</v>
      </c>
      <c r="V547" s="15">
        <f>Table3[[#This Row],[PrimaComercial Anual]]-Table3[[#This Row],[PrimaComercial Anual]]*SUM(Table3[[#This Row],[APS]:[IVA]])</f>
        <v>19530.899371799998</v>
      </c>
      <c r="W547" s="2">
        <v>1.4800000000000001E-2</v>
      </c>
      <c r="X547" s="2">
        <v>8.4501000000000007E-2</v>
      </c>
      <c r="Y547">
        <v>0.03</v>
      </c>
      <c r="Z547">
        <v>0.13</v>
      </c>
      <c r="AA547" s="20">
        <f>Table3[[#This Row],[APS]]*Table3[[#This Row],[PrimaComercial Anual]]</f>
        <v>390.24936000000002</v>
      </c>
      <c r="AB547" s="8">
        <f>Table3[[#This Row],[PrimaComercial Anual]]*Table3[[#This Row],[Recargo adicional]]</f>
        <v>2228.1392682000001</v>
      </c>
      <c r="AC547" s="8">
        <f>Table3[[#This Row],[PrimaComercial Anual]]*Table3[[#This Row],[IT]]</f>
        <v>791.04600000000005</v>
      </c>
      <c r="AD547" s="8">
        <f>Table3[[#This Row],[PrimaComercial Anual]]*Table3[[#This Row],[IVA]]</f>
        <v>3427.866</v>
      </c>
      <c r="AE547" s="15">
        <f>Table3[[#This Row],[PrimaComercial Anual Asistencia]]</f>
        <v>26368.2</v>
      </c>
      <c r="AG547">
        <v>26368.2</v>
      </c>
    </row>
    <row r="548" spans="1:33" x14ac:dyDescent="0.25">
      <c r="A548" t="s">
        <v>17</v>
      </c>
      <c r="B548">
        <v>420000</v>
      </c>
      <c r="C548">
        <v>84</v>
      </c>
      <c r="D548" s="2">
        <f>Table3[[#This Row],[PrimaTécnica]]-Table3[[#This Row],[PrimaTécnica]]*SUM(Table3[[#This Row],[Gastos Adm]:[Cobranza]])</f>
        <v>12030.144592003198</v>
      </c>
      <c r="E548">
        <v>0</v>
      </c>
      <c r="F548">
        <v>0.15</v>
      </c>
      <c r="G548">
        <v>0.05</v>
      </c>
      <c r="H548">
        <v>0.01</v>
      </c>
      <c r="I548">
        <v>0.01</v>
      </c>
      <c r="J548" s="8">
        <f>Table3[[#This Row],[PrimaTécnica]]*Table3[[#This Row],[Gastos Adm]]</f>
        <v>2313.4893446159995</v>
      </c>
      <c r="K548" s="8">
        <f>Table3[[#This Row],[PrimaTécnica]]*Table3[[#This Row],[Utilidad]]</f>
        <v>771.16311487199994</v>
      </c>
      <c r="L548" s="8">
        <f>Table3[[#This Row],[PrimaTécnica]]*Table3[[#This Row],[Marketing]]</f>
        <v>154.23262297439999</v>
      </c>
      <c r="M548" s="8">
        <f>Table3[[#This Row],[PrimaTécnica]]*Table3[[#This Row],[Cobranza]]</f>
        <v>154.23262297439999</v>
      </c>
      <c r="N54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48">
        <v>21.84</v>
      </c>
      <c r="P548">
        <v>54.6</v>
      </c>
      <c r="Q548">
        <v>80.64</v>
      </c>
      <c r="R548">
        <v>44.377200000000002</v>
      </c>
      <c r="S548">
        <v>0.2</v>
      </c>
      <c r="T548">
        <v>0.02</v>
      </c>
      <c r="U548" s="8">
        <f>Table3[[#This Row],[PrimaNeta]]*Table3[[#This Row],[Comisión]]</f>
        <v>3906.1798743599998</v>
      </c>
      <c r="V548" s="15">
        <f>Table3[[#This Row],[PrimaComercial Anual]]-Table3[[#This Row],[PrimaComercial Anual]]*SUM(Table3[[#This Row],[APS]:[IVA]])</f>
        <v>19530.899371799998</v>
      </c>
      <c r="W548" s="2">
        <v>1.4800000000000001E-2</v>
      </c>
      <c r="X548" s="2">
        <v>8.4501000000000007E-2</v>
      </c>
      <c r="Y548">
        <v>0.03</v>
      </c>
      <c r="Z548">
        <v>0.13</v>
      </c>
      <c r="AA548" s="20">
        <f>Table3[[#This Row],[APS]]*Table3[[#This Row],[PrimaComercial Anual]]</f>
        <v>390.24936000000002</v>
      </c>
      <c r="AB548" s="8">
        <f>Table3[[#This Row],[PrimaComercial Anual]]*Table3[[#This Row],[Recargo adicional]]</f>
        <v>2228.1392682000001</v>
      </c>
      <c r="AC548" s="8">
        <f>Table3[[#This Row],[PrimaComercial Anual]]*Table3[[#This Row],[IT]]</f>
        <v>791.04600000000005</v>
      </c>
      <c r="AD548" s="8">
        <f>Table3[[#This Row],[PrimaComercial Anual]]*Table3[[#This Row],[IVA]]</f>
        <v>3427.866</v>
      </c>
      <c r="AE548" s="15">
        <f>Table3[[#This Row],[PrimaComercial Anual Asistencia]]</f>
        <v>26368.2</v>
      </c>
      <c r="AG548">
        <v>26368.2</v>
      </c>
    </row>
    <row r="549" spans="1:33" x14ac:dyDescent="0.25">
      <c r="A549" t="s">
        <v>17</v>
      </c>
      <c r="B549">
        <v>420000</v>
      </c>
      <c r="C549">
        <v>85</v>
      </c>
      <c r="D549" s="2">
        <f>Table3[[#This Row],[PrimaTécnica]]-Table3[[#This Row],[PrimaTécnica]]*SUM(Table3[[#This Row],[Gastos Adm]:[Cobranza]])</f>
        <v>12030.144592003198</v>
      </c>
      <c r="E549">
        <v>0</v>
      </c>
      <c r="F549">
        <v>0.15</v>
      </c>
      <c r="G549">
        <v>0.05</v>
      </c>
      <c r="H549">
        <v>0.01</v>
      </c>
      <c r="I549">
        <v>0.01</v>
      </c>
      <c r="J549" s="8">
        <f>Table3[[#This Row],[PrimaTécnica]]*Table3[[#This Row],[Gastos Adm]]</f>
        <v>2313.4893446159995</v>
      </c>
      <c r="K549" s="8">
        <f>Table3[[#This Row],[PrimaTécnica]]*Table3[[#This Row],[Utilidad]]</f>
        <v>771.16311487199994</v>
      </c>
      <c r="L549" s="8">
        <f>Table3[[#This Row],[PrimaTécnica]]*Table3[[#This Row],[Marketing]]</f>
        <v>154.23262297439999</v>
      </c>
      <c r="M549" s="8">
        <f>Table3[[#This Row],[PrimaTécnica]]*Table3[[#This Row],[Cobranza]]</f>
        <v>154.23262297439999</v>
      </c>
      <c r="N54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49">
        <v>21.84</v>
      </c>
      <c r="P549">
        <v>54.6</v>
      </c>
      <c r="Q549">
        <v>80.64</v>
      </c>
      <c r="R549">
        <v>44.377200000000002</v>
      </c>
      <c r="S549">
        <v>0.2</v>
      </c>
      <c r="T549">
        <v>0.02</v>
      </c>
      <c r="U549" s="8">
        <f>Table3[[#This Row],[PrimaNeta]]*Table3[[#This Row],[Comisión]]</f>
        <v>3906.1798743599998</v>
      </c>
      <c r="V549" s="15">
        <f>Table3[[#This Row],[PrimaComercial Anual]]-Table3[[#This Row],[PrimaComercial Anual]]*SUM(Table3[[#This Row],[APS]:[IVA]])</f>
        <v>19530.899371799998</v>
      </c>
      <c r="W549" s="2">
        <v>1.4800000000000001E-2</v>
      </c>
      <c r="X549" s="2">
        <v>8.4501000000000007E-2</v>
      </c>
      <c r="Y549">
        <v>0.03</v>
      </c>
      <c r="Z549">
        <v>0.13</v>
      </c>
      <c r="AA549" s="20">
        <f>Table3[[#This Row],[APS]]*Table3[[#This Row],[PrimaComercial Anual]]</f>
        <v>390.24936000000002</v>
      </c>
      <c r="AB549" s="8">
        <f>Table3[[#This Row],[PrimaComercial Anual]]*Table3[[#This Row],[Recargo adicional]]</f>
        <v>2228.1392682000001</v>
      </c>
      <c r="AC549" s="8">
        <f>Table3[[#This Row],[PrimaComercial Anual]]*Table3[[#This Row],[IT]]</f>
        <v>791.04600000000005</v>
      </c>
      <c r="AD549" s="8">
        <f>Table3[[#This Row],[PrimaComercial Anual]]*Table3[[#This Row],[IVA]]</f>
        <v>3427.866</v>
      </c>
      <c r="AE549" s="15">
        <f>Table3[[#This Row],[PrimaComercial Anual Asistencia]]</f>
        <v>26368.2</v>
      </c>
      <c r="AG549">
        <v>26368.2</v>
      </c>
    </row>
    <row r="550" spans="1:33" x14ac:dyDescent="0.25">
      <c r="A550" t="s">
        <v>17</v>
      </c>
      <c r="B550">
        <v>420000</v>
      </c>
      <c r="C550">
        <v>86</v>
      </c>
      <c r="D550" s="2">
        <f>Table3[[#This Row],[PrimaTécnica]]-Table3[[#This Row],[PrimaTécnica]]*SUM(Table3[[#This Row],[Gastos Adm]:[Cobranza]])</f>
        <v>12030.144592003198</v>
      </c>
      <c r="E550">
        <v>0</v>
      </c>
      <c r="F550">
        <v>0.15</v>
      </c>
      <c r="G550">
        <v>0.05</v>
      </c>
      <c r="H550">
        <v>0.01</v>
      </c>
      <c r="I550">
        <v>0.01</v>
      </c>
      <c r="J550" s="8">
        <f>Table3[[#This Row],[PrimaTécnica]]*Table3[[#This Row],[Gastos Adm]]</f>
        <v>2313.4893446159995</v>
      </c>
      <c r="K550" s="8">
        <f>Table3[[#This Row],[PrimaTécnica]]*Table3[[#This Row],[Utilidad]]</f>
        <v>771.16311487199994</v>
      </c>
      <c r="L550" s="8">
        <f>Table3[[#This Row],[PrimaTécnica]]*Table3[[#This Row],[Marketing]]</f>
        <v>154.23262297439999</v>
      </c>
      <c r="M550" s="8">
        <f>Table3[[#This Row],[PrimaTécnica]]*Table3[[#This Row],[Cobranza]]</f>
        <v>154.23262297439999</v>
      </c>
      <c r="N55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50">
        <v>21.84</v>
      </c>
      <c r="P550">
        <v>54.6</v>
      </c>
      <c r="Q550">
        <v>80.64</v>
      </c>
      <c r="R550">
        <v>44.377200000000002</v>
      </c>
      <c r="S550">
        <v>0.2</v>
      </c>
      <c r="T550">
        <v>0.02</v>
      </c>
      <c r="U550" s="8">
        <f>Table3[[#This Row],[PrimaNeta]]*Table3[[#This Row],[Comisión]]</f>
        <v>3906.1798743599998</v>
      </c>
      <c r="V550" s="15">
        <f>Table3[[#This Row],[PrimaComercial Anual]]-Table3[[#This Row],[PrimaComercial Anual]]*SUM(Table3[[#This Row],[APS]:[IVA]])</f>
        <v>19530.899371799998</v>
      </c>
      <c r="W550" s="2">
        <v>1.4800000000000001E-2</v>
      </c>
      <c r="X550" s="2">
        <v>8.4501000000000007E-2</v>
      </c>
      <c r="Y550">
        <v>0.03</v>
      </c>
      <c r="Z550">
        <v>0.13</v>
      </c>
      <c r="AA550" s="20">
        <f>Table3[[#This Row],[APS]]*Table3[[#This Row],[PrimaComercial Anual]]</f>
        <v>390.24936000000002</v>
      </c>
      <c r="AB550" s="8">
        <f>Table3[[#This Row],[PrimaComercial Anual]]*Table3[[#This Row],[Recargo adicional]]</f>
        <v>2228.1392682000001</v>
      </c>
      <c r="AC550" s="8">
        <f>Table3[[#This Row],[PrimaComercial Anual]]*Table3[[#This Row],[IT]]</f>
        <v>791.04600000000005</v>
      </c>
      <c r="AD550" s="8">
        <f>Table3[[#This Row],[PrimaComercial Anual]]*Table3[[#This Row],[IVA]]</f>
        <v>3427.866</v>
      </c>
      <c r="AE550" s="15">
        <f>Table3[[#This Row],[PrimaComercial Anual Asistencia]]</f>
        <v>26368.2</v>
      </c>
      <c r="AG550">
        <v>26368.2</v>
      </c>
    </row>
    <row r="551" spans="1:33" x14ac:dyDescent="0.25">
      <c r="A551" t="s">
        <v>17</v>
      </c>
      <c r="B551">
        <v>420000</v>
      </c>
      <c r="C551">
        <v>87</v>
      </c>
      <c r="D551" s="2">
        <f>Table3[[#This Row],[PrimaTécnica]]-Table3[[#This Row],[PrimaTécnica]]*SUM(Table3[[#This Row],[Gastos Adm]:[Cobranza]])</f>
        <v>12030.144592003198</v>
      </c>
      <c r="E551">
        <v>0</v>
      </c>
      <c r="F551">
        <v>0.15</v>
      </c>
      <c r="G551">
        <v>0.05</v>
      </c>
      <c r="H551">
        <v>0.01</v>
      </c>
      <c r="I551">
        <v>0.01</v>
      </c>
      <c r="J551" s="8">
        <f>Table3[[#This Row],[PrimaTécnica]]*Table3[[#This Row],[Gastos Adm]]</f>
        <v>2313.4893446159995</v>
      </c>
      <c r="K551" s="8">
        <f>Table3[[#This Row],[PrimaTécnica]]*Table3[[#This Row],[Utilidad]]</f>
        <v>771.16311487199994</v>
      </c>
      <c r="L551" s="8">
        <f>Table3[[#This Row],[PrimaTécnica]]*Table3[[#This Row],[Marketing]]</f>
        <v>154.23262297439999</v>
      </c>
      <c r="M551" s="8">
        <f>Table3[[#This Row],[PrimaTécnica]]*Table3[[#This Row],[Cobranza]]</f>
        <v>154.23262297439999</v>
      </c>
      <c r="N55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51">
        <v>21.84</v>
      </c>
      <c r="P551">
        <v>54.6</v>
      </c>
      <c r="Q551">
        <v>80.64</v>
      </c>
      <c r="R551">
        <v>44.377200000000002</v>
      </c>
      <c r="S551">
        <v>0.2</v>
      </c>
      <c r="T551">
        <v>0.02</v>
      </c>
      <c r="U551" s="8">
        <f>Table3[[#This Row],[PrimaNeta]]*Table3[[#This Row],[Comisión]]</f>
        <v>3906.1798743599998</v>
      </c>
      <c r="V551" s="15">
        <f>Table3[[#This Row],[PrimaComercial Anual]]-Table3[[#This Row],[PrimaComercial Anual]]*SUM(Table3[[#This Row],[APS]:[IVA]])</f>
        <v>19530.899371799998</v>
      </c>
      <c r="W551" s="2">
        <v>1.4800000000000001E-2</v>
      </c>
      <c r="X551" s="2">
        <v>8.4501000000000007E-2</v>
      </c>
      <c r="Y551">
        <v>0.03</v>
      </c>
      <c r="Z551">
        <v>0.13</v>
      </c>
      <c r="AA551" s="20">
        <f>Table3[[#This Row],[APS]]*Table3[[#This Row],[PrimaComercial Anual]]</f>
        <v>390.24936000000002</v>
      </c>
      <c r="AB551" s="8">
        <f>Table3[[#This Row],[PrimaComercial Anual]]*Table3[[#This Row],[Recargo adicional]]</f>
        <v>2228.1392682000001</v>
      </c>
      <c r="AC551" s="8">
        <f>Table3[[#This Row],[PrimaComercial Anual]]*Table3[[#This Row],[IT]]</f>
        <v>791.04600000000005</v>
      </c>
      <c r="AD551" s="8">
        <f>Table3[[#This Row],[PrimaComercial Anual]]*Table3[[#This Row],[IVA]]</f>
        <v>3427.866</v>
      </c>
      <c r="AE551" s="15">
        <f>Table3[[#This Row],[PrimaComercial Anual Asistencia]]</f>
        <v>26368.2</v>
      </c>
      <c r="AG551">
        <v>26368.2</v>
      </c>
    </row>
    <row r="552" spans="1:33" x14ac:dyDescent="0.25">
      <c r="A552" t="s">
        <v>17</v>
      </c>
      <c r="B552">
        <v>420000</v>
      </c>
      <c r="C552">
        <v>88</v>
      </c>
      <c r="D552" s="2">
        <f>Table3[[#This Row],[PrimaTécnica]]-Table3[[#This Row],[PrimaTécnica]]*SUM(Table3[[#This Row],[Gastos Adm]:[Cobranza]])</f>
        <v>12030.144592003198</v>
      </c>
      <c r="E552">
        <v>0</v>
      </c>
      <c r="F552">
        <v>0.15</v>
      </c>
      <c r="G552">
        <v>0.05</v>
      </c>
      <c r="H552">
        <v>0.01</v>
      </c>
      <c r="I552">
        <v>0.01</v>
      </c>
      <c r="J552" s="8">
        <f>Table3[[#This Row],[PrimaTécnica]]*Table3[[#This Row],[Gastos Adm]]</f>
        <v>2313.4893446159995</v>
      </c>
      <c r="K552" s="8">
        <f>Table3[[#This Row],[PrimaTécnica]]*Table3[[#This Row],[Utilidad]]</f>
        <v>771.16311487199994</v>
      </c>
      <c r="L552" s="8">
        <f>Table3[[#This Row],[PrimaTécnica]]*Table3[[#This Row],[Marketing]]</f>
        <v>154.23262297439999</v>
      </c>
      <c r="M552" s="8">
        <f>Table3[[#This Row],[PrimaTécnica]]*Table3[[#This Row],[Cobranza]]</f>
        <v>154.23262297439999</v>
      </c>
      <c r="N55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52">
        <v>21.84</v>
      </c>
      <c r="P552">
        <v>54.6</v>
      </c>
      <c r="Q552">
        <v>80.64</v>
      </c>
      <c r="R552">
        <v>44.377200000000002</v>
      </c>
      <c r="S552">
        <v>0.2</v>
      </c>
      <c r="T552">
        <v>0.02</v>
      </c>
      <c r="U552" s="8">
        <f>Table3[[#This Row],[PrimaNeta]]*Table3[[#This Row],[Comisión]]</f>
        <v>3906.1798743599998</v>
      </c>
      <c r="V552" s="15">
        <f>Table3[[#This Row],[PrimaComercial Anual]]-Table3[[#This Row],[PrimaComercial Anual]]*SUM(Table3[[#This Row],[APS]:[IVA]])</f>
        <v>19530.899371799998</v>
      </c>
      <c r="W552" s="2">
        <v>1.4800000000000001E-2</v>
      </c>
      <c r="X552" s="2">
        <v>8.4501000000000007E-2</v>
      </c>
      <c r="Y552">
        <v>0.03</v>
      </c>
      <c r="Z552">
        <v>0.13</v>
      </c>
      <c r="AA552" s="20">
        <f>Table3[[#This Row],[APS]]*Table3[[#This Row],[PrimaComercial Anual]]</f>
        <v>390.24936000000002</v>
      </c>
      <c r="AB552" s="8">
        <f>Table3[[#This Row],[PrimaComercial Anual]]*Table3[[#This Row],[Recargo adicional]]</f>
        <v>2228.1392682000001</v>
      </c>
      <c r="AC552" s="8">
        <f>Table3[[#This Row],[PrimaComercial Anual]]*Table3[[#This Row],[IT]]</f>
        <v>791.04600000000005</v>
      </c>
      <c r="AD552" s="8">
        <f>Table3[[#This Row],[PrimaComercial Anual]]*Table3[[#This Row],[IVA]]</f>
        <v>3427.866</v>
      </c>
      <c r="AE552" s="15">
        <f>Table3[[#This Row],[PrimaComercial Anual Asistencia]]</f>
        <v>26368.2</v>
      </c>
      <c r="AG552">
        <v>26368.2</v>
      </c>
    </row>
    <row r="553" spans="1:33" x14ac:dyDescent="0.25">
      <c r="A553" t="s">
        <v>17</v>
      </c>
      <c r="B553">
        <v>420000</v>
      </c>
      <c r="C553">
        <v>89</v>
      </c>
      <c r="D553" s="2">
        <f>Table3[[#This Row],[PrimaTécnica]]-Table3[[#This Row],[PrimaTécnica]]*SUM(Table3[[#This Row],[Gastos Adm]:[Cobranza]])</f>
        <v>12030.144592003198</v>
      </c>
      <c r="E553">
        <v>0</v>
      </c>
      <c r="F553">
        <v>0.15</v>
      </c>
      <c r="G553">
        <v>0.05</v>
      </c>
      <c r="H553">
        <v>0.01</v>
      </c>
      <c r="I553">
        <v>0.01</v>
      </c>
      <c r="J553" s="8">
        <f>Table3[[#This Row],[PrimaTécnica]]*Table3[[#This Row],[Gastos Adm]]</f>
        <v>2313.4893446159995</v>
      </c>
      <c r="K553" s="8">
        <f>Table3[[#This Row],[PrimaTécnica]]*Table3[[#This Row],[Utilidad]]</f>
        <v>771.16311487199994</v>
      </c>
      <c r="L553" s="8">
        <f>Table3[[#This Row],[PrimaTécnica]]*Table3[[#This Row],[Marketing]]</f>
        <v>154.23262297439999</v>
      </c>
      <c r="M553" s="8">
        <f>Table3[[#This Row],[PrimaTécnica]]*Table3[[#This Row],[Cobranza]]</f>
        <v>154.23262297439999</v>
      </c>
      <c r="N55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53">
        <v>21.84</v>
      </c>
      <c r="P553">
        <v>54.6</v>
      </c>
      <c r="Q553">
        <v>80.64</v>
      </c>
      <c r="R553">
        <v>44.377200000000002</v>
      </c>
      <c r="S553">
        <v>0.2</v>
      </c>
      <c r="T553">
        <v>0.02</v>
      </c>
      <c r="U553" s="8">
        <f>Table3[[#This Row],[PrimaNeta]]*Table3[[#This Row],[Comisión]]</f>
        <v>3906.1798743599998</v>
      </c>
      <c r="V553" s="15">
        <f>Table3[[#This Row],[PrimaComercial Anual]]-Table3[[#This Row],[PrimaComercial Anual]]*SUM(Table3[[#This Row],[APS]:[IVA]])</f>
        <v>19530.899371799998</v>
      </c>
      <c r="W553" s="2">
        <v>1.4800000000000001E-2</v>
      </c>
      <c r="X553" s="2">
        <v>8.4501000000000007E-2</v>
      </c>
      <c r="Y553">
        <v>0.03</v>
      </c>
      <c r="Z553">
        <v>0.13</v>
      </c>
      <c r="AA553" s="20">
        <f>Table3[[#This Row],[APS]]*Table3[[#This Row],[PrimaComercial Anual]]</f>
        <v>390.24936000000002</v>
      </c>
      <c r="AB553" s="8">
        <f>Table3[[#This Row],[PrimaComercial Anual]]*Table3[[#This Row],[Recargo adicional]]</f>
        <v>2228.1392682000001</v>
      </c>
      <c r="AC553" s="8">
        <f>Table3[[#This Row],[PrimaComercial Anual]]*Table3[[#This Row],[IT]]</f>
        <v>791.04600000000005</v>
      </c>
      <c r="AD553" s="8">
        <f>Table3[[#This Row],[PrimaComercial Anual]]*Table3[[#This Row],[IVA]]</f>
        <v>3427.866</v>
      </c>
      <c r="AE553" s="15">
        <f>Table3[[#This Row],[PrimaComercial Anual Asistencia]]</f>
        <v>26368.2</v>
      </c>
      <c r="AG553">
        <v>26368.2</v>
      </c>
    </row>
    <row r="554" spans="1:33" x14ac:dyDescent="0.25">
      <c r="A554" t="s">
        <v>17</v>
      </c>
      <c r="B554">
        <v>420000</v>
      </c>
      <c r="C554">
        <v>90</v>
      </c>
      <c r="D554" s="2">
        <f>Table3[[#This Row],[PrimaTécnica]]-Table3[[#This Row],[PrimaTécnica]]*SUM(Table3[[#This Row],[Gastos Adm]:[Cobranza]])</f>
        <v>12030.144592003198</v>
      </c>
      <c r="E554">
        <v>0</v>
      </c>
      <c r="F554">
        <v>0.15</v>
      </c>
      <c r="G554">
        <v>0.05</v>
      </c>
      <c r="H554">
        <v>0.01</v>
      </c>
      <c r="I554">
        <v>0.01</v>
      </c>
      <c r="J554" s="8">
        <f>Table3[[#This Row],[PrimaTécnica]]*Table3[[#This Row],[Gastos Adm]]</f>
        <v>2313.4893446159995</v>
      </c>
      <c r="K554" s="8">
        <f>Table3[[#This Row],[PrimaTécnica]]*Table3[[#This Row],[Utilidad]]</f>
        <v>771.16311487199994</v>
      </c>
      <c r="L554" s="8">
        <f>Table3[[#This Row],[PrimaTécnica]]*Table3[[#This Row],[Marketing]]</f>
        <v>154.23262297439999</v>
      </c>
      <c r="M554" s="8">
        <f>Table3[[#This Row],[PrimaTécnica]]*Table3[[#This Row],[Cobranza]]</f>
        <v>154.23262297439999</v>
      </c>
      <c r="N55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54">
        <v>21.84</v>
      </c>
      <c r="P554">
        <v>54.6</v>
      </c>
      <c r="Q554">
        <v>80.64</v>
      </c>
      <c r="R554">
        <v>44.377200000000002</v>
      </c>
      <c r="S554">
        <v>0.2</v>
      </c>
      <c r="T554">
        <v>0.02</v>
      </c>
      <c r="U554" s="8">
        <f>Table3[[#This Row],[PrimaNeta]]*Table3[[#This Row],[Comisión]]</f>
        <v>3906.1798743599998</v>
      </c>
      <c r="V554" s="15">
        <f>Table3[[#This Row],[PrimaComercial Anual]]-Table3[[#This Row],[PrimaComercial Anual]]*SUM(Table3[[#This Row],[APS]:[IVA]])</f>
        <v>19530.899371799998</v>
      </c>
      <c r="W554" s="2">
        <v>1.4800000000000001E-2</v>
      </c>
      <c r="X554" s="2">
        <v>8.4501000000000007E-2</v>
      </c>
      <c r="Y554">
        <v>0.03</v>
      </c>
      <c r="Z554">
        <v>0.13</v>
      </c>
      <c r="AA554" s="20">
        <f>Table3[[#This Row],[APS]]*Table3[[#This Row],[PrimaComercial Anual]]</f>
        <v>390.24936000000002</v>
      </c>
      <c r="AB554" s="8">
        <f>Table3[[#This Row],[PrimaComercial Anual]]*Table3[[#This Row],[Recargo adicional]]</f>
        <v>2228.1392682000001</v>
      </c>
      <c r="AC554" s="8">
        <f>Table3[[#This Row],[PrimaComercial Anual]]*Table3[[#This Row],[IT]]</f>
        <v>791.04600000000005</v>
      </c>
      <c r="AD554" s="8">
        <f>Table3[[#This Row],[PrimaComercial Anual]]*Table3[[#This Row],[IVA]]</f>
        <v>3427.866</v>
      </c>
      <c r="AE554" s="15">
        <f>Table3[[#This Row],[PrimaComercial Anual Asistencia]]</f>
        <v>26368.2</v>
      </c>
      <c r="AG554">
        <v>26368.2</v>
      </c>
    </row>
    <row r="555" spans="1:33" x14ac:dyDescent="0.25">
      <c r="A555" t="s">
        <v>17</v>
      </c>
      <c r="B555">
        <v>420000</v>
      </c>
      <c r="C555">
        <v>91</v>
      </c>
      <c r="D555" s="2">
        <f>Table3[[#This Row],[PrimaTécnica]]-Table3[[#This Row],[PrimaTécnica]]*SUM(Table3[[#This Row],[Gastos Adm]:[Cobranza]])</f>
        <v>12030.144592003198</v>
      </c>
      <c r="E555">
        <v>0</v>
      </c>
      <c r="F555">
        <v>0.15</v>
      </c>
      <c r="G555">
        <v>0.05</v>
      </c>
      <c r="H555">
        <v>0.01</v>
      </c>
      <c r="I555">
        <v>0.01</v>
      </c>
      <c r="J555" s="8">
        <f>Table3[[#This Row],[PrimaTécnica]]*Table3[[#This Row],[Gastos Adm]]</f>
        <v>2313.4893446159995</v>
      </c>
      <c r="K555" s="8">
        <f>Table3[[#This Row],[PrimaTécnica]]*Table3[[#This Row],[Utilidad]]</f>
        <v>771.16311487199994</v>
      </c>
      <c r="L555" s="8">
        <f>Table3[[#This Row],[PrimaTécnica]]*Table3[[#This Row],[Marketing]]</f>
        <v>154.23262297439999</v>
      </c>
      <c r="M555" s="8">
        <f>Table3[[#This Row],[PrimaTécnica]]*Table3[[#This Row],[Cobranza]]</f>
        <v>154.23262297439999</v>
      </c>
      <c r="N55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55">
        <v>21.84</v>
      </c>
      <c r="P555">
        <v>54.6</v>
      </c>
      <c r="Q555">
        <v>80.64</v>
      </c>
      <c r="R555">
        <v>44.377200000000002</v>
      </c>
      <c r="S555">
        <v>0.2</v>
      </c>
      <c r="T555">
        <v>0.02</v>
      </c>
      <c r="U555" s="8">
        <f>Table3[[#This Row],[PrimaNeta]]*Table3[[#This Row],[Comisión]]</f>
        <v>3906.1798743599998</v>
      </c>
      <c r="V555" s="15">
        <f>Table3[[#This Row],[PrimaComercial Anual]]-Table3[[#This Row],[PrimaComercial Anual]]*SUM(Table3[[#This Row],[APS]:[IVA]])</f>
        <v>19530.899371799998</v>
      </c>
      <c r="W555" s="2">
        <v>1.4800000000000001E-2</v>
      </c>
      <c r="X555" s="2">
        <v>8.4501000000000007E-2</v>
      </c>
      <c r="Y555">
        <v>0.03</v>
      </c>
      <c r="Z555">
        <v>0.13</v>
      </c>
      <c r="AA555" s="20">
        <f>Table3[[#This Row],[APS]]*Table3[[#This Row],[PrimaComercial Anual]]</f>
        <v>390.24936000000002</v>
      </c>
      <c r="AB555" s="8">
        <f>Table3[[#This Row],[PrimaComercial Anual]]*Table3[[#This Row],[Recargo adicional]]</f>
        <v>2228.1392682000001</v>
      </c>
      <c r="AC555" s="8">
        <f>Table3[[#This Row],[PrimaComercial Anual]]*Table3[[#This Row],[IT]]</f>
        <v>791.04600000000005</v>
      </c>
      <c r="AD555" s="8">
        <f>Table3[[#This Row],[PrimaComercial Anual]]*Table3[[#This Row],[IVA]]</f>
        <v>3427.866</v>
      </c>
      <c r="AE555" s="15">
        <f>Table3[[#This Row],[PrimaComercial Anual Asistencia]]</f>
        <v>26368.2</v>
      </c>
      <c r="AG555">
        <v>26368.2</v>
      </c>
    </row>
    <row r="556" spans="1:33" x14ac:dyDescent="0.25">
      <c r="A556" t="s">
        <v>17</v>
      </c>
      <c r="B556">
        <v>420000</v>
      </c>
      <c r="C556">
        <v>92</v>
      </c>
      <c r="D556" s="2">
        <f>Table3[[#This Row],[PrimaTécnica]]-Table3[[#This Row],[PrimaTécnica]]*SUM(Table3[[#This Row],[Gastos Adm]:[Cobranza]])</f>
        <v>12030.144592003198</v>
      </c>
      <c r="E556">
        <v>0</v>
      </c>
      <c r="F556">
        <v>0.15</v>
      </c>
      <c r="G556">
        <v>0.05</v>
      </c>
      <c r="H556">
        <v>0.01</v>
      </c>
      <c r="I556">
        <v>0.01</v>
      </c>
      <c r="J556" s="8">
        <f>Table3[[#This Row],[PrimaTécnica]]*Table3[[#This Row],[Gastos Adm]]</f>
        <v>2313.4893446159995</v>
      </c>
      <c r="K556" s="8">
        <f>Table3[[#This Row],[PrimaTécnica]]*Table3[[#This Row],[Utilidad]]</f>
        <v>771.16311487199994</v>
      </c>
      <c r="L556" s="8">
        <f>Table3[[#This Row],[PrimaTécnica]]*Table3[[#This Row],[Marketing]]</f>
        <v>154.23262297439999</v>
      </c>
      <c r="M556" s="8">
        <f>Table3[[#This Row],[PrimaTécnica]]*Table3[[#This Row],[Cobranza]]</f>
        <v>154.23262297439999</v>
      </c>
      <c r="N55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56">
        <v>21.84</v>
      </c>
      <c r="P556">
        <v>54.6</v>
      </c>
      <c r="Q556">
        <v>80.64</v>
      </c>
      <c r="R556">
        <v>44.377200000000002</v>
      </c>
      <c r="S556">
        <v>0.2</v>
      </c>
      <c r="T556">
        <v>0.02</v>
      </c>
      <c r="U556" s="8">
        <f>Table3[[#This Row],[PrimaNeta]]*Table3[[#This Row],[Comisión]]</f>
        <v>3906.1798743599998</v>
      </c>
      <c r="V556" s="15">
        <f>Table3[[#This Row],[PrimaComercial Anual]]-Table3[[#This Row],[PrimaComercial Anual]]*SUM(Table3[[#This Row],[APS]:[IVA]])</f>
        <v>19530.899371799998</v>
      </c>
      <c r="W556" s="2">
        <v>1.4800000000000001E-2</v>
      </c>
      <c r="X556" s="2">
        <v>8.4501000000000007E-2</v>
      </c>
      <c r="Y556">
        <v>0.03</v>
      </c>
      <c r="Z556">
        <v>0.13</v>
      </c>
      <c r="AA556" s="20">
        <f>Table3[[#This Row],[APS]]*Table3[[#This Row],[PrimaComercial Anual]]</f>
        <v>390.24936000000002</v>
      </c>
      <c r="AB556" s="8">
        <f>Table3[[#This Row],[PrimaComercial Anual]]*Table3[[#This Row],[Recargo adicional]]</f>
        <v>2228.1392682000001</v>
      </c>
      <c r="AC556" s="8">
        <f>Table3[[#This Row],[PrimaComercial Anual]]*Table3[[#This Row],[IT]]</f>
        <v>791.04600000000005</v>
      </c>
      <c r="AD556" s="8">
        <f>Table3[[#This Row],[PrimaComercial Anual]]*Table3[[#This Row],[IVA]]</f>
        <v>3427.866</v>
      </c>
      <c r="AE556" s="15">
        <f>Table3[[#This Row],[PrimaComercial Anual Asistencia]]</f>
        <v>26368.2</v>
      </c>
      <c r="AG556">
        <v>26368.2</v>
      </c>
    </row>
    <row r="557" spans="1:33" x14ac:dyDescent="0.25">
      <c r="A557" t="s">
        <v>17</v>
      </c>
      <c r="B557">
        <v>420000</v>
      </c>
      <c r="C557">
        <v>93</v>
      </c>
      <c r="D557" s="2">
        <f>Table3[[#This Row],[PrimaTécnica]]-Table3[[#This Row],[PrimaTécnica]]*SUM(Table3[[#This Row],[Gastos Adm]:[Cobranza]])</f>
        <v>12030.144592003198</v>
      </c>
      <c r="E557">
        <v>0</v>
      </c>
      <c r="F557">
        <v>0.15</v>
      </c>
      <c r="G557">
        <v>0.05</v>
      </c>
      <c r="H557">
        <v>0.01</v>
      </c>
      <c r="I557">
        <v>0.01</v>
      </c>
      <c r="J557" s="8">
        <f>Table3[[#This Row],[PrimaTécnica]]*Table3[[#This Row],[Gastos Adm]]</f>
        <v>2313.4893446159995</v>
      </c>
      <c r="K557" s="8">
        <f>Table3[[#This Row],[PrimaTécnica]]*Table3[[#This Row],[Utilidad]]</f>
        <v>771.16311487199994</v>
      </c>
      <c r="L557" s="8">
        <f>Table3[[#This Row],[PrimaTécnica]]*Table3[[#This Row],[Marketing]]</f>
        <v>154.23262297439999</v>
      </c>
      <c r="M557" s="8">
        <f>Table3[[#This Row],[PrimaTécnica]]*Table3[[#This Row],[Cobranza]]</f>
        <v>154.23262297439999</v>
      </c>
      <c r="N55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57">
        <v>21.84</v>
      </c>
      <c r="P557">
        <v>54.6</v>
      </c>
      <c r="Q557">
        <v>80.64</v>
      </c>
      <c r="R557">
        <v>44.377200000000002</v>
      </c>
      <c r="S557">
        <v>0.2</v>
      </c>
      <c r="T557">
        <v>0.02</v>
      </c>
      <c r="U557" s="8">
        <f>Table3[[#This Row],[PrimaNeta]]*Table3[[#This Row],[Comisión]]</f>
        <v>3906.1798743599998</v>
      </c>
      <c r="V557" s="15">
        <f>Table3[[#This Row],[PrimaComercial Anual]]-Table3[[#This Row],[PrimaComercial Anual]]*SUM(Table3[[#This Row],[APS]:[IVA]])</f>
        <v>19530.899371799998</v>
      </c>
      <c r="W557" s="2">
        <v>1.4800000000000001E-2</v>
      </c>
      <c r="X557" s="2">
        <v>8.4501000000000007E-2</v>
      </c>
      <c r="Y557">
        <v>0.03</v>
      </c>
      <c r="Z557">
        <v>0.13</v>
      </c>
      <c r="AA557" s="20">
        <f>Table3[[#This Row],[APS]]*Table3[[#This Row],[PrimaComercial Anual]]</f>
        <v>390.24936000000002</v>
      </c>
      <c r="AB557" s="8">
        <f>Table3[[#This Row],[PrimaComercial Anual]]*Table3[[#This Row],[Recargo adicional]]</f>
        <v>2228.1392682000001</v>
      </c>
      <c r="AC557" s="8">
        <f>Table3[[#This Row],[PrimaComercial Anual]]*Table3[[#This Row],[IT]]</f>
        <v>791.04600000000005</v>
      </c>
      <c r="AD557" s="8">
        <f>Table3[[#This Row],[PrimaComercial Anual]]*Table3[[#This Row],[IVA]]</f>
        <v>3427.866</v>
      </c>
      <c r="AE557" s="15">
        <f>Table3[[#This Row],[PrimaComercial Anual Asistencia]]</f>
        <v>26368.2</v>
      </c>
      <c r="AG557">
        <v>26368.2</v>
      </c>
    </row>
    <row r="558" spans="1:33" x14ac:dyDescent="0.25">
      <c r="A558" t="s">
        <v>17</v>
      </c>
      <c r="B558">
        <v>420000</v>
      </c>
      <c r="C558">
        <v>94</v>
      </c>
      <c r="D558" s="2">
        <f>Table3[[#This Row],[PrimaTécnica]]-Table3[[#This Row],[PrimaTécnica]]*SUM(Table3[[#This Row],[Gastos Adm]:[Cobranza]])</f>
        <v>12030.144592003198</v>
      </c>
      <c r="E558">
        <v>0</v>
      </c>
      <c r="F558">
        <v>0.15</v>
      </c>
      <c r="G558">
        <v>0.05</v>
      </c>
      <c r="H558">
        <v>0.01</v>
      </c>
      <c r="I558">
        <v>0.01</v>
      </c>
      <c r="J558" s="8">
        <f>Table3[[#This Row],[PrimaTécnica]]*Table3[[#This Row],[Gastos Adm]]</f>
        <v>2313.4893446159995</v>
      </c>
      <c r="K558" s="8">
        <f>Table3[[#This Row],[PrimaTécnica]]*Table3[[#This Row],[Utilidad]]</f>
        <v>771.16311487199994</v>
      </c>
      <c r="L558" s="8">
        <f>Table3[[#This Row],[PrimaTécnica]]*Table3[[#This Row],[Marketing]]</f>
        <v>154.23262297439999</v>
      </c>
      <c r="M558" s="8">
        <f>Table3[[#This Row],[PrimaTécnica]]*Table3[[#This Row],[Cobranza]]</f>
        <v>154.23262297439999</v>
      </c>
      <c r="N55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58">
        <v>21.84</v>
      </c>
      <c r="P558">
        <v>54.6</v>
      </c>
      <c r="Q558">
        <v>80.64</v>
      </c>
      <c r="R558">
        <v>44.377200000000002</v>
      </c>
      <c r="S558">
        <v>0.2</v>
      </c>
      <c r="T558">
        <v>0.02</v>
      </c>
      <c r="U558" s="8">
        <f>Table3[[#This Row],[PrimaNeta]]*Table3[[#This Row],[Comisión]]</f>
        <v>3906.1798743599998</v>
      </c>
      <c r="V558" s="15">
        <f>Table3[[#This Row],[PrimaComercial Anual]]-Table3[[#This Row],[PrimaComercial Anual]]*SUM(Table3[[#This Row],[APS]:[IVA]])</f>
        <v>19530.899371799998</v>
      </c>
      <c r="W558" s="2">
        <v>1.4800000000000001E-2</v>
      </c>
      <c r="X558" s="2">
        <v>8.4501000000000007E-2</v>
      </c>
      <c r="Y558">
        <v>0.03</v>
      </c>
      <c r="Z558">
        <v>0.13</v>
      </c>
      <c r="AA558" s="20">
        <f>Table3[[#This Row],[APS]]*Table3[[#This Row],[PrimaComercial Anual]]</f>
        <v>390.24936000000002</v>
      </c>
      <c r="AB558" s="8">
        <f>Table3[[#This Row],[PrimaComercial Anual]]*Table3[[#This Row],[Recargo adicional]]</f>
        <v>2228.1392682000001</v>
      </c>
      <c r="AC558" s="8">
        <f>Table3[[#This Row],[PrimaComercial Anual]]*Table3[[#This Row],[IT]]</f>
        <v>791.04600000000005</v>
      </c>
      <c r="AD558" s="8">
        <f>Table3[[#This Row],[PrimaComercial Anual]]*Table3[[#This Row],[IVA]]</f>
        <v>3427.866</v>
      </c>
      <c r="AE558" s="15">
        <f>Table3[[#This Row],[PrimaComercial Anual Asistencia]]</f>
        <v>26368.2</v>
      </c>
      <c r="AG558">
        <v>26368.2</v>
      </c>
    </row>
    <row r="559" spans="1:33" x14ac:dyDescent="0.25">
      <c r="A559" t="s">
        <v>17</v>
      </c>
      <c r="B559">
        <v>420000</v>
      </c>
      <c r="C559">
        <v>95</v>
      </c>
      <c r="D559" s="2">
        <f>Table3[[#This Row],[PrimaTécnica]]-Table3[[#This Row],[PrimaTécnica]]*SUM(Table3[[#This Row],[Gastos Adm]:[Cobranza]])</f>
        <v>12030.144592003198</v>
      </c>
      <c r="E559">
        <v>0</v>
      </c>
      <c r="F559">
        <v>0.15</v>
      </c>
      <c r="G559">
        <v>0.05</v>
      </c>
      <c r="H559">
        <v>0.01</v>
      </c>
      <c r="I559">
        <v>0.01</v>
      </c>
      <c r="J559" s="8">
        <f>Table3[[#This Row],[PrimaTécnica]]*Table3[[#This Row],[Gastos Adm]]</f>
        <v>2313.4893446159995</v>
      </c>
      <c r="K559" s="8">
        <f>Table3[[#This Row],[PrimaTécnica]]*Table3[[#This Row],[Utilidad]]</f>
        <v>771.16311487199994</v>
      </c>
      <c r="L559" s="8">
        <f>Table3[[#This Row],[PrimaTécnica]]*Table3[[#This Row],[Marketing]]</f>
        <v>154.23262297439999</v>
      </c>
      <c r="M559" s="8">
        <f>Table3[[#This Row],[PrimaTécnica]]*Table3[[#This Row],[Cobranza]]</f>
        <v>154.23262297439999</v>
      </c>
      <c r="N55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59">
        <v>21.84</v>
      </c>
      <c r="P559">
        <v>54.6</v>
      </c>
      <c r="Q559">
        <v>80.64</v>
      </c>
      <c r="R559">
        <v>44.377200000000002</v>
      </c>
      <c r="S559">
        <v>0.2</v>
      </c>
      <c r="T559">
        <v>0.02</v>
      </c>
      <c r="U559" s="8">
        <f>Table3[[#This Row],[PrimaNeta]]*Table3[[#This Row],[Comisión]]</f>
        <v>3906.1798743599998</v>
      </c>
      <c r="V559" s="15">
        <f>Table3[[#This Row],[PrimaComercial Anual]]-Table3[[#This Row],[PrimaComercial Anual]]*SUM(Table3[[#This Row],[APS]:[IVA]])</f>
        <v>19530.899371799998</v>
      </c>
      <c r="W559" s="2">
        <v>1.4800000000000001E-2</v>
      </c>
      <c r="X559" s="2">
        <v>8.4501000000000007E-2</v>
      </c>
      <c r="Y559">
        <v>0.03</v>
      </c>
      <c r="Z559">
        <v>0.13</v>
      </c>
      <c r="AA559" s="20">
        <f>Table3[[#This Row],[APS]]*Table3[[#This Row],[PrimaComercial Anual]]</f>
        <v>390.24936000000002</v>
      </c>
      <c r="AB559" s="8">
        <f>Table3[[#This Row],[PrimaComercial Anual]]*Table3[[#This Row],[Recargo adicional]]</f>
        <v>2228.1392682000001</v>
      </c>
      <c r="AC559" s="8">
        <f>Table3[[#This Row],[PrimaComercial Anual]]*Table3[[#This Row],[IT]]</f>
        <v>791.04600000000005</v>
      </c>
      <c r="AD559" s="8">
        <f>Table3[[#This Row],[PrimaComercial Anual]]*Table3[[#This Row],[IVA]]</f>
        <v>3427.866</v>
      </c>
      <c r="AE559" s="15">
        <f>Table3[[#This Row],[PrimaComercial Anual Asistencia]]</f>
        <v>26368.2</v>
      </c>
      <c r="AG559">
        <v>26368.2</v>
      </c>
    </row>
    <row r="560" spans="1:33" x14ac:dyDescent="0.25">
      <c r="A560" t="s">
        <v>17</v>
      </c>
      <c r="B560">
        <v>420000</v>
      </c>
      <c r="C560">
        <v>96</v>
      </c>
      <c r="D560" s="2">
        <f>Table3[[#This Row],[PrimaTécnica]]-Table3[[#This Row],[PrimaTécnica]]*SUM(Table3[[#This Row],[Gastos Adm]:[Cobranza]])</f>
        <v>12030.144592003198</v>
      </c>
      <c r="E560">
        <v>0</v>
      </c>
      <c r="F560">
        <v>0.15</v>
      </c>
      <c r="G560">
        <v>0.05</v>
      </c>
      <c r="H560">
        <v>0.01</v>
      </c>
      <c r="I560">
        <v>0.01</v>
      </c>
      <c r="J560" s="8">
        <f>Table3[[#This Row],[PrimaTécnica]]*Table3[[#This Row],[Gastos Adm]]</f>
        <v>2313.4893446159995</v>
      </c>
      <c r="K560" s="8">
        <f>Table3[[#This Row],[PrimaTécnica]]*Table3[[#This Row],[Utilidad]]</f>
        <v>771.16311487199994</v>
      </c>
      <c r="L560" s="8">
        <f>Table3[[#This Row],[PrimaTécnica]]*Table3[[#This Row],[Marketing]]</f>
        <v>154.23262297439999</v>
      </c>
      <c r="M560" s="8">
        <f>Table3[[#This Row],[PrimaTécnica]]*Table3[[#This Row],[Cobranza]]</f>
        <v>154.23262297439999</v>
      </c>
      <c r="N56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60">
        <v>21.84</v>
      </c>
      <c r="P560">
        <v>54.6</v>
      </c>
      <c r="Q560">
        <v>80.64</v>
      </c>
      <c r="R560">
        <v>44.377200000000002</v>
      </c>
      <c r="S560">
        <v>0.2</v>
      </c>
      <c r="T560">
        <v>0.02</v>
      </c>
      <c r="U560" s="8">
        <f>Table3[[#This Row],[PrimaNeta]]*Table3[[#This Row],[Comisión]]</f>
        <v>3906.1798743599998</v>
      </c>
      <c r="V560" s="15">
        <f>Table3[[#This Row],[PrimaComercial Anual]]-Table3[[#This Row],[PrimaComercial Anual]]*SUM(Table3[[#This Row],[APS]:[IVA]])</f>
        <v>19530.899371799998</v>
      </c>
      <c r="W560" s="2">
        <v>1.4800000000000001E-2</v>
      </c>
      <c r="X560" s="2">
        <v>8.4501000000000007E-2</v>
      </c>
      <c r="Y560">
        <v>0.03</v>
      </c>
      <c r="Z560">
        <v>0.13</v>
      </c>
      <c r="AA560" s="20">
        <f>Table3[[#This Row],[APS]]*Table3[[#This Row],[PrimaComercial Anual]]</f>
        <v>390.24936000000002</v>
      </c>
      <c r="AB560" s="8">
        <f>Table3[[#This Row],[PrimaComercial Anual]]*Table3[[#This Row],[Recargo adicional]]</f>
        <v>2228.1392682000001</v>
      </c>
      <c r="AC560" s="8">
        <f>Table3[[#This Row],[PrimaComercial Anual]]*Table3[[#This Row],[IT]]</f>
        <v>791.04600000000005</v>
      </c>
      <c r="AD560" s="8">
        <f>Table3[[#This Row],[PrimaComercial Anual]]*Table3[[#This Row],[IVA]]</f>
        <v>3427.866</v>
      </c>
      <c r="AE560" s="15">
        <f>Table3[[#This Row],[PrimaComercial Anual Asistencia]]</f>
        <v>26368.2</v>
      </c>
      <c r="AG560">
        <v>26368.2</v>
      </c>
    </row>
    <row r="561" spans="1:33" x14ac:dyDescent="0.25">
      <c r="A561" t="s">
        <v>17</v>
      </c>
      <c r="B561">
        <v>420000</v>
      </c>
      <c r="C561">
        <v>97</v>
      </c>
      <c r="D561" s="2">
        <f>Table3[[#This Row],[PrimaTécnica]]-Table3[[#This Row],[PrimaTécnica]]*SUM(Table3[[#This Row],[Gastos Adm]:[Cobranza]])</f>
        <v>12030.144592003198</v>
      </c>
      <c r="E561">
        <v>0</v>
      </c>
      <c r="F561">
        <v>0.15</v>
      </c>
      <c r="G561">
        <v>0.05</v>
      </c>
      <c r="H561">
        <v>0.01</v>
      </c>
      <c r="I561">
        <v>0.01</v>
      </c>
      <c r="J561" s="8">
        <f>Table3[[#This Row],[PrimaTécnica]]*Table3[[#This Row],[Gastos Adm]]</f>
        <v>2313.4893446159995</v>
      </c>
      <c r="K561" s="8">
        <f>Table3[[#This Row],[PrimaTécnica]]*Table3[[#This Row],[Utilidad]]</f>
        <v>771.16311487199994</v>
      </c>
      <c r="L561" s="8">
        <f>Table3[[#This Row],[PrimaTécnica]]*Table3[[#This Row],[Marketing]]</f>
        <v>154.23262297439999</v>
      </c>
      <c r="M561" s="8">
        <f>Table3[[#This Row],[PrimaTécnica]]*Table3[[#This Row],[Cobranza]]</f>
        <v>154.23262297439999</v>
      </c>
      <c r="N56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61">
        <v>21.84</v>
      </c>
      <c r="P561">
        <v>54.6</v>
      </c>
      <c r="Q561">
        <v>80.64</v>
      </c>
      <c r="R561">
        <v>44.377200000000002</v>
      </c>
      <c r="S561">
        <v>0.2</v>
      </c>
      <c r="T561">
        <v>0.02</v>
      </c>
      <c r="U561" s="8">
        <f>Table3[[#This Row],[PrimaNeta]]*Table3[[#This Row],[Comisión]]</f>
        <v>3906.1798743599998</v>
      </c>
      <c r="V561" s="15">
        <f>Table3[[#This Row],[PrimaComercial Anual]]-Table3[[#This Row],[PrimaComercial Anual]]*SUM(Table3[[#This Row],[APS]:[IVA]])</f>
        <v>19530.899371799998</v>
      </c>
      <c r="W561" s="2">
        <v>1.4800000000000001E-2</v>
      </c>
      <c r="X561" s="2">
        <v>8.4501000000000007E-2</v>
      </c>
      <c r="Y561">
        <v>0.03</v>
      </c>
      <c r="Z561">
        <v>0.13</v>
      </c>
      <c r="AA561" s="20">
        <f>Table3[[#This Row],[APS]]*Table3[[#This Row],[PrimaComercial Anual]]</f>
        <v>390.24936000000002</v>
      </c>
      <c r="AB561" s="8">
        <f>Table3[[#This Row],[PrimaComercial Anual]]*Table3[[#This Row],[Recargo adicional]]</f>
        <v>2228.1392682000001</v>
      </c>
      <c r="AC561" s="8">
        <f>Table3[[#This Row],[PrimaComercial Anual]]*Table3[[#This Row],[IT]]</f>
        <v>791.04600000000005</v>
      </c>
      <c r="AD561" s="8">
        <f>Table3[[#This Row],[PrimaComercial Anual]]*Table3[[#This Row],[IVA]]</f>
        <v>3427.866</v>
      </c>
      <c r="AE561" s="15">
        <f>Table3[[#This Row],[PrimaComercial Anual Asistencia]]</f>
        <v>26368.2</v>
      </c>
      <c r="AG561">
        <v>26368.2</v>
      </c>
    </row>
    <row r="562" spans="1:33" x14ac:dyDescent="0.25">
      <c r="A562" t="s">
        <v>17</v>
      </c>
      <c r="B562">
        <v>420000</v>
      </c>
      <c r="C562">
        <v>98</v>
      </c>
      <c r="D562" s="2">
        <f>Table3[[#This Row],[PrimaTécnica]]-Table3[[#This Row],[PrimaTécnica]]*SUM(Table3[[#This Row],[Gastos Adm]:[Cobranza]])</f>
        <v>12030.144592003198</v>
      </c>
      <c r="E562">
        <v>0</v>
      </c>
      <c r="F562">
        <v>0.15</v>
      </c>
      <c r="G562">
        <v>0.05</v>
      </c>
      <c r="H562">
        <v>0.01</v>
      </c>
      <c r="I562">
        <v>0.01</v>
      </c>
      <c r="J562" s="8">
        <f>Table3[[#This Row],[PrimaTécnica]]*Table3[[#This Row],[Gastos Adm]]</f>
        <v>2313.4893446159995</v>
      </c>
      <c r="K562" s="8">
        <f>Table3[[#This Row],[PrimaTécnica]]*Table3[[#This Row],[Utilidad]]</f>
        <v>771.16311487199994</v>
      </c>
      <c r="L562" s="8">
        <f>Table3[[#This Row],[PrimaTécnica]]*Table3[[#This Row],[Marketing]]</f>
        <v>154.23262297439999</v>
      </c>
      <c r="M562" s="8">
        <f>Table3[[#This Row],[PrimaTécnica]]*Table3[[#This Row],[Cobranza]]</f>
        <v>154.23262297439999</v>
      </c>
      <c r="N56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62">
        <v>21.84</v>
      </c>
      <c r="P562">
        <v>54.6</v>
      </c>
      <c r="Q562">
        <v>80.64</v>
      </c>
      <c r="R562">
        <v>44.377200000000002</v>
      </c>
      <c r="S562">
        <v>0.2</v>
      </c>
      <c r="T562">
        <v>0.02</v>
      </c>
      <c r="U562" s="8">
        <f>Table3[[#This Row],[PrimaNeta]]*Table3[[#This Row],[Comisión]]</f>
        <v>3906.1798743599998</v>
      </c>
      <c r="V562" s="15">
        <f>Table3[[#This Row],[PrimaComercial Anual]]-Table3[[#This Row],[PrimaComercial Anual]]*SUM(Table3[[#This Row],[APS]:[IVA]])</f>
        <v>19530.899371799998</v>
      </c>
      <c r="W562" s="2">
        <v>1.4800000000000001E-2</v>
      </c>
      <c r="X562" s="2">
        <v>8.4501000000000007E-2</v>
      </c>
      <c r="Y562">
        <v>0.03</v>
      </c>
      <c r="Z562">
        <v>0.13</v>
      </c>
      <c r="AA562" s="20">
        <f>Table3[[#This Row],[APS]]*Table3[[#This Row],[PrimaComercial Anual]]</f>
        <v>390.24936000000002</v>
      </c>
      <c r="AB562" s="8">
        <f>Table3[[#This Row],[PrimaComercial Anual]]*Table3[[#This Row],[Recargo adicional]]</f>
        <v>2228.1392682000001</v>
      </c>
      <c r="AC562" s="8">
        <f>Table3[[#This Row],[PrimaComercial Anual]]*Table3[[#This Row],[IT]]</f>
        <v>791.04600000000005</v>
      </c>
      <c r="AD562" s="8">
        <f>Table3[[#This Row],[PrimaComercial Anual]]*Table3[[#This Row],[IVA]]</f>
        <v>3427.866</v>
      </c>
      <c r="AE562" s="15">
        <f>Table3[[#This Row],[PrimaComercial Anual Asistencia]]</f>
        <v>26368.2</v>
      </c>
      <c r="AG562">
        <v>26368.2</v>
      </c>
    </row>
    <row r="563" spans="1:33" x14ac:dyDescent="0.25">
      <c r="A563" t="s">
        <v>17</v>
      </c>
      <c r="B563">
        <v>420000</v>
      </c>
      <c r="C563">
        <v>99</v>
      </c>
      <c r="D563" s="2">
        <f>Table3[[#This Row],[PrimaTécnica]]-Table3[[#This Row],[PrimaTécnica]]*SUM(Table3[[#This Row],[Gastos Adm]:[Cobranza]])</f>
        <v>12030.144592003198</v>
      </c>
      <c r="E563">
        <v>0</v>
      </c>
      <c r="F563">
        <v>0.15</v>
      </c>
      <c r="G563">
        <v>0.05</v>
      </c>
      <c r="H563">
        <v>0.01</v>
      </c>
      <c r="I563">
        <v>0.01</v>
      </c>
      <c r="J563" s="8">
        <f>Table3[[#This Row],[PrimaTécnica]]*Table3[[#This Row],[Gastos Adm]]</f>
        <v>2313.4893446159995</v>
      </c>
      <c r="K563" s="8">
        <f>Table3[[#This Row],[PrimaTécnica]]*Table3[[#This Row],[Utilidad]]</f>
        <v>771.16311487199994</v>
      </c>
      <c r="L563" s="8">
        <f>Table3[[#This Row],[PrimaTécnica]]*Table3[[#This Row],[Marketing]]</f>
        <v>154.23262297439999</v>
      </c>
      <c r="M563" s="8">
        <f>Table3[[#This Row],[PrimaTécnica]]*Table3[[#This Row],[Cobranza]]</f>
        <v>154.23262297439999</v>
      </c>
      <c r="N56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563">
        <v>21.84</v>
      </c>
      <c r="P563">
        <v>54.6</v>
      </c>
      <c r="Q563">
        <v>80.64</v>
      </c>
      <c r="R563">
        <v>44.377200000000002</v>
      </c>
      <c r="S563">
        <v>0.2</v>
      </c>
      <c r="T563">
        <v>0.02</v>
      </c>
      <c r="U563" s="8">
        <f>Table3[[#This Row],[PrimaNeta]]*Table3[[#This Row],[Comisión]]</f>
        <v>3906.1798743599998</v>
      </c>
      <c r="V563" s="15">
        <f>Table3[[#This Row],[PrimaComercial Anual]]-Table3[[#This Row],[PrimaComercial Anual]]*SUM(Table3[[#This Row],[APS]:[IVA]])</f>
        <v>19530.899371799998</v>
      </c>
      <c r="W563" s="2">
        <v>1.4800000000000001E-2</v>
      </c>
      <c r="X563" s="2">
        <v>8.4501000000000007E-2</v>
      </c>
      <c r="Y563">
        <v>0.03</v>
      </c>
      <c r="Z563">
        <v>0.13</v>
      </c>
      <c r="AA563" s="20">
        <f>Table3[[#This Row],[APS]]*Table3[[#This Row],[PrimaComercial Anual]]</f>
        <v>390.24936000000002</v>
      </c>
      <c r="AB563" s="8">
        <f>Table3[[#This Row],[PrimaComercial Anual]]*Table3[[#This Row],[Recargo adicional]]</f>
        <v>2228.1392682000001</v>
      </c>
      <c r="AC563" s="8">
        <f>Table3[[#This Row],[PrimaComercial Anual]]*Table3[[#This Row],[IT]]</f>
        <v>791.04600000000005</v>
      </c>
      <c r="AD563" s="8">
        <f>Table3[[#This Row],[PrimaComercial Anual]]*Table3[[#This Row],[IVA]]</f>
        <v>3427.866</v>
      </c>
      <c r="AE563" s="15">
        <f>Table3[[#This Row],[PrimaComercial Anual Asistencia]]</f>
        <v>26368.2</v>
      </c>
      <c r="AG563">
        <v>26368.2</v>
      </c>
    </row>
    <row r="564" spans="1:33" x14ac:dyDescent="0.25">
      <c r="A564" t="s">
        <v>18</v>
      </c>
      <c r="B564">
        <v>420000</v>
      </c>
      <c r="C564">
        <v>0</v>
      </c>
      <c r="D564" s="2">
        <f>Table3[[#This Row],[PrimaTécnica]]-Table3[[#This Row],[PrimaTécnica]]*SUM(Table3[[#This Row],[Gastos Adm]:[Cobranza]])</f>
        <v>3104.3969195616</v>
      </c>
      <c r="E564">
        <v>0</v>
      </c>
      <c r="F564">
        <v>0.15</v>
      </c>
      <c r="G564">
        <v>0.05</v>
      </c>
      <c r="H564">
        <v>0.01</v>
      </c>
      <c r="I564">
        <v>0.01</v>
      </c>
      <c r="J564" s="8">
        <f>Table3[[#This Row],[PrimaTécnica]]*Table3[[#This Row],[Gastos Adm]]</f>
        <v>596.99940760800007</v>
      </c>
      <c r="K564" s="8">
        <f>Table3[[#This Row],[PrimaTécnica]]*Table3[[#This Row],[Utilidad]]</f>
        <v>198.99980253600003</v>
      </c>
      <c r="L564" s="8">
        <f>Table3[[#This Row],[PrimaTécnica]]*Table3[[#This Row],[Marketing]]</f>
        <v>39.799960507200005</v>
      </c>
      <c r="M564" s="8">
        <f>Table3[[#This Row],[PrimaTécnica]]*Table3[[#This Row],[Cobranza]]</f>
        <v>39.799960507200005</v>
      </c>
      <c r="N56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3979.9960507200003</v>
      </c>
      <c r="O564">
        <v>21.84</v>
      </c>
      <c r="P564">
        <v>54.6</v>
      </c>
      <c r="Q564">
        <v>80.64</v>
      </c>
      <c r="R564">
        <v>44.377200000000002</v>
      </c>
      <c r="S564">
        <v>0.2</v>
      </c>
      <c r="T564">
        <v>0.02</v>
      </c>
      <c r="U564" s="8">
        <f>Table3[[#This Row],[PrimaNeta]]*Table3[[#This Row],[Comisión]]</f>
        <v>1045.36331268</v>
      </c>
      <c r="V564" s="15">
        <f>Table3[[#This Row],[PrimaComercial Anual]]-Table3[[#This Row],[PrimaComercial Anual]]*SUM(Table3[[#This Row],[APS]:[IVA]])</f>
        <v>5226.8165633999997</v>
      </c>
      <c r="W564" s="2">
        <v>1.4800000000000001E-2</v>
      </c>
      <c r="X564" s="2">
        <v>8.4501000000000007E-2</v>
      </c>
      <c r="Y564">
        <v>0.03</v>
      </c>
      <c r="Z564">
        <v>0.13</v>
      </c>
      <c r="AA564" s="20">
        <f>Table3[[#This Row],[APS]]*Table3[[#This Row],[PrimaComercial Anual]]</f>
        <v>104.43768000000001</v>
      </c>
      <c r="AB564" s="8">
        <f>Table3[[#This Row],[PrimaComercial Anual]]*Table3[[#This Row],[Recargo adicional]]</f>
        <v>596.28975660000003</v>
      </c>
      <c r="AC564" s="8">
        <f>Table3[[#This Row],[PrimaComercial Anual]]*Table3[[#This Row],[IT]]</f>
        <v>211.69800000000001</v>
      </c>
      <c r="AD564" s="8">
        <f>Table3[[#This Row],[PrimaComercial Anual]]*Table3[[#This Row],[IVA]]</f>
        <v>917.35800000000006</v>
      </c>
      <c r="AE564" s="15">
        <f>Table3[[#This Row],[PrimaComercial Anual Asistencia]]</f>
        <v>7056.6</v>
      </c>
      <c r="AG564">
        <v>7056.6</v>
      </c>
    </row>
    <row r="565" spans="1:33" x14ac:dyDescent="0.25">
      <c r="A565" t="s">
        <v>18</v>
      </c>
      <c r="B565">
        <v>420000</v>
      </c>
      <c r="C565">
        <v>1</v>
      </c>
      <c r="D565" s="2">
        <f>Table3[[#This Row],[PrimaTécnica]]-Table3[[#This Row],[PrimaTécnica]]*SUM(Table3[[#This Row],[Gastos Adm]:[Cobranza]])</f>
        <v>3104.3969195616</v>
      </c>
      <c r="E565">
        <v>0</v>
      </c>
      <c r="F565">
        <v>0.15</v>
      </c>
      <c r="G565">
        <v>0.05</v>
      </c>
      <c r="H565">
        <v>0.01</v>
      </c>
      <c r="I565">
        <v>0.01</v>
      </c>
      <c r="J565" s="8">
        <f>Table3[[#This Row],[PrimaTécnica]]*Table3[[#This Row],[Gastos Adm]]</f>
        <v>596.99940760800007</v>
      </c>
      <c r="K565" s="8">
        <f>Table3[[#This Row],[PrimaTécnica]]*Table3[[#This Row],[Utilidad]]</f>
        <v>198.99980253600003</v>
      </c>
      <c r="L565" s="8">
        <f>Table3[[#This Row],[PrimaTécnica]]*Table3[[#This Row],[Marketing]]</f>
        <v>39.799960507200005</v>
      </c>
      <c r="M565" s="8">
        <f>Table3[[#This Row],[PrimaTécnica]]*Table3[[#This Row],[Cobranza]]</f>
        <v>39.799960507200005</v>
      </c>
      <c r="N56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3979.9960507200003</v>
      </c>
      <c r="O565">
        <v>21.84</v>
      </c>
      <c r="P565">
        <v>54.6</v>
      </c>
      <c r="Q565">
        <v>80.64</v>
      </c>
      <c r="R565">
        <v>44.377200000000002</v>
      </c>
      <c r="S565">
        <v>0.2</v>
      </c>
      <c r="T565">
        <v>0.02</v>
      </c>
      <c r="U565" s="8">
        <f>Table3[[#This Row],[PrimaNeta]]*Table3[[#This Row],[Comisión]]</f>
        <v>1045.36331268</v>
      </c>
      <c r="V565" s="15">
        <f>Table3[[#This Row],[PrimaComercial Anual]]-Table3[[#This Row],[PrimaComercial Anual]]*SUM(Table3[[#This Row],[APS]:[IVA]])</f>
        <v>5226.8165633999997</v>
      </c>
      <c r="W565" s="2">
        <v>1.4800000000000001E-2</v>
      </c>
      <c r="X565" s="2">
        <v>8.4501000000000007E-2</v>
      </c>
      <c r="Y565">
        <v>0.03</v>
      </c>
      <c r="Z565">
        <v>0.13</v>
      </c>
      <c r="AA565" s="20">
        <f>Table3[[#This Row],[APS]]*Table3[[#This Row],[PrimaComercial Anual]]</f>
        <v>104.43768000000001</v>
      </c>
      <c r="AB565" s="8">
        <f>Table3[[#This Row],[PrimaComercial Anual]]*Table3[[#This Row],[Recargo adicional]]</f>
        <v>596.28975660000003</v>
      </c>
      <c r="AC565" s="8">
        <f>Table3[[#This Row],[PrimaComercial Anual]]*Table3[[#This Row],[IT]]</f>
        <v>211.69800000000001</v>
      </c>
      <c r="AD565" s="8">
        <f>Table3[[#This Row],[PrimaComercial Anual]]*Table3[[#This Row],[IVA]]</f>
        <v>917.35800000000006</v>
      </c>
      <c r="AE565" s="15">
        <f>Table3[[#This Row],[PrimaComercial Anual Asistencia]]</f>
        <v>7056.6</v>
      </c>
      <c r="AG565">
        <v>7056.6</v>
      </c>
    </row>
    <row r="566" spans="1:33" x14ac:dyDescent="0.25">
      <c r="A566" t="s">
        <v>18</v>
      </c>
      <c r="B566">
        <v>420000</v>
      </c>
      <c r="C566">
        <v>2</v>
      </c>
      <c r="D566" s="2">
        <f>Table3[[#This Row],[PrimaTécnica]]-Table3[[#This Row],[PrimaTécnica]]*SUM(Table3[[#This Row],[Gastos Adm]:[Cobranza]])</f>
        <v>3104.3969195616</v>
      </c>
      <c r="E566">
        <v>0</v>
      </c>
      <c r="F566">
        <v>0.15</v>
      </c>
      <c r="G566">
        <v>0.05</v>
      </c>
      <c r="H566">
        <v>0.01</v>
      </c>
      <c r="I566">
        <v>0.01</v>
      </c>
      <c r="J566" s="8">
        <f>Table3[[#This Row],[PrimaTécnica]]*Table3[[#This Row],[Gastos Adm]]</f>
        <v>596.99940760800007</v>
      </c>
      <c r="K566" s="8">
        <f>Table3[[#This Row],[PrimaTécnica]]*Table3[[#This Row],[Utilidad]]</f>
        <v>198.99980253600003</v>
      </c>
      <c r="L566" s="8">
        <f>Table3[[#This Row],[PrimaTécnica]]*Table3[[#This Row],[Marketing]]</f>
        <v>39.799960507200005</v>
      </c>
      <c r="M566" s="8">
        <f>Table3[[#This Row],[PrimaTécnica]]*Table3[[#This Row],[Cobranza]]</f>
        <v>39.799960507200005</v>
      </c>
      <c r="N56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3979.9960507200003</v>
      </c>
      <c r="O566">
        <v>21.84</v>
      </c>
      <c r="P566">
        <v>54.6</v>
      </c>
      <c r="Q566">
        <v>80.64</v>
      </c>
      <c r="R566">
        <v>44.377200000000002</v>
      </c>
      <c r="S566">
        <v>0.2</v>
      </c>
      <c r="T566">
        <v>0.02</v>
      </c>
      <c r="U566" s="8">
        <f>Table3[[#This Row],[PrimaNeta]]*Table3[[#This Row],[Comisión]]</f>
        <v>1045.36331268</v>
      </c>
      <c r="V566" s="15">
        <f>Table3[[#This Row],[PrimaComercial Anual]]-Table3[[#This Row],[PrimaComercial Anual]]*SUM(Table3[[#This Row],[APS]:[IVA]])</f>
        <v>5226.8165633999997</v>
      </c>
      <c r="W566" s="2">
        <v>1.4800000000000001E-2</v>
      </c>
      <c r="X566" s="2">
        <v>8.4501000000000007E-2</v>
      </c>
      <c r="Y566">
        <v>0.03</v>
      </c>
      <c r="Z566">
        <v>0.13</v>
      </c>
      <c r="AA566" s="20">
        <f>Table3[[#This Row],[APS]]*Table3[[#This Row],[PrimaComercial Anual]]</f>
        <v>104.43768000000001</v>
      </c>
      <c r="AB566" s="8">
        <f>Table3[[#This Row],[PrimaComercial Anual]]*Table3[[#This Row],[Recargo adicional]]</f>
        <v>596.28975660000003</v>
      </c>
      <c r="AC566" s="8">
        <f>Table3[[#This Row],[PrimaComercial Anual]]*Table3[[#This Row],[IT]]</f>
        <v>211.69800000000001</v>
      </c>
      <c r="AD566" s="8">
        <f>Table3[[#This Row],[PrimaComercial Anual]]*Table3[[#This Row],[IVA]]</f>
        <v>917.35800000000006</v>
      </c>
      <c r="AE566" s="15">
        <f>Table3[[#This Row],[PrimaComercial Anual Asistencia]]</f>
        <v>7056.6</v>
      </c>
      <c r="AG566">
        <v>7056.6</v>
      </c>
    </row>
    <row r="567" spans="1:33" x14ac:dyDescent="0.25">
      <c r="A567" t="s">
        <v>18</v>
      </c>
      <c r="B567">
        <v>420000</v>
      </c>
      <c r="C567">
        <v>3</v>
      </c>
      <c r="D567" s="2">
        <f>Table3[[#This Row],[PrimaTécnica]]-Table3[[#This Row],[PrimaTécnica]]*SUM(Table3[[#This Row],[Gastos Adm]:[Cobranza]])</f>
        <v>2182.3155484416002</v>
      </c>
      <c r="E567">
        <v>0</v>
      </c>
      <c r="F567">
        <v>0.15</v>
      </c>
      <c r="G567">
        <v>0.05</v>
      </c>
      <c r="H567">
        <v>0.01</v>
      </c>
      <c r="I567">
        <v>0.01</v>
      </c>
      <c r="J567" s="8">
        <f>Table3[[#This Row],[PrimaTécnica]]*Table3[[#This Row],[Gastos Adm]]</f>
        <v>419.67606700800002</v>
      </c>
      <c r="K567" s="8">
        <f>Table3[[#This Row],[PrimaTécnica]]*Table3[[#This Row],[Utilidad]]</f>
        <v>139.89202233600003</v>
      </c>
      <c r="L567" s="8">
        <f>Table3[[#This Row],[PrimaTécnica]]*Table3[[#This Row],[Marketing]]</f>
        <v>27.978404467200004</v>
      </c>
      <c r="M567" s="8">
        <f>Table3[[#This Row],[PrimaTécnica]]*Table3[[#This Row],[Cobranza]]</f>
        <v>27.978404467200004</v>
      </c>
      <c r="N56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567">
        <v>21.84</v>
      </c>
      <c r="P567">
        <v>54.6</v>
      </c>
      <c r="Q567">
        <v>80.64</v>
      </c>
      <c r="R567">
        <v>44.377200000000002</v>
      </c>
      <c r="S567">
        <v>0.2</v>
      </c>
      <c r="T567">
        <v>0.02</v>
      </c>
      <c r="U567" s="8">
        <f>Table3[[#This Row],[PrimaNeta]]*Table3[[#This Row],[Comisión]]</f>
        <v>749.82441168000014</v>
      </c>
      <c r="V567" s="15">
        <f>Table3[[#This Row],[PrimaComercial Anual]]-Table3[[#This Row],[PrimaComercial Anual]]*SUM(Table3[[#This Row],[APS]:[IVA]])</f>
        <v>3749.1220584000002</v>
      </c>
      <c r="W567" s="2">
        <v>1.4800000000000001E-2</v>
      </c>
      <c r="X567" s="2">
        <v>8.4501000000000007E-2</v>
      </c>
      <c r="Y567">
        <v>0.03</v>
      </c>
      <c r="Z567">
        <v>0.13</v>
      </c>
      <c r="AA567" s="20">
        <f>Table3[[#This Row],[APS]]*Table3[[#This Row],[PrimaComercial Anual]]</f>
        <v>74.911680000000004</v>
      </c>
      <c r="AB567" s="8">
        <f>Table3[[#This Row],[PrimaComercial Anual]]*Table3[[#This Row],[Recargo adicional]]</f>
        <v>427.71026160000008</v>
      </c>
      <c r="AC567" s="8">
        <f>Table3[[#This Row],[PrimaComercial Anual]]*Table3[[#This Row],[IT]]</f>
        <v>151.84800000000001</v>
      </c>
      <c r="AD567" s="8">
        <f>Table3[[#This Row],[PrimaComercial Anual]]*Table3[[#This Row],[IVA]]</f>
        <v>658.00800000000004</v>
      </c>
      <c r="AE567" s="15">
        <f>Table3[[#This Row],[PrimaComercial Anual Asistencia]]</f>
        <v>5061.6000000000004</v>
      </c>
      <c r="AG567">
        <v>5061.6000000000004</v>
      </c>
    </row>
    <row r="568" spans="1:33" x14ac:dyDescent="0.25">
      <c r="A568" t="s">
        <v>18</v>
      </c>
      <c r="B568">
        <v>420000</v>
      </c>
      <c r="C568">
        <v>4</v>
      </c>
      <c r="D568" s="2">
        <f>Table3[[#This Row],[PrimaTécnica]]-Table3[[#This Row],[PrimaTécnica]]*SUM(Table3[[#This Row],[Gastos Adm]:[Cobranza]])</f>
        <v>2182.3155484416002</v>
      </c>
      <c r="E568">
        <v>0</v>
      </c>
      <c r="F568">
        <v>0.15</v>
      </c>
      <c r="G568">
        <v>0.05</v>
      </c>
      <c r="H568">
        <v>0.01</v>
      </c>
      <c r="I568">
        <v>0.01</v>
      </c>
      <c r="J568" s="8">
        <f>Table3[[#This Row],[PrimaTécnica]]*Table3[[#This Row],[Gastos Adm]]</f>
        <v>419.67606700800002</v>
      </c>
      <c r="K568" s="8">
        <f>Table3[[#This Row],[PrimaTécnica]]*Table3[[#This Row],[Utilidad]]</f>
        <v>139.89202233600003</v>
      </c>
      <c r="L568" s="8">
        <f>Table3[[#This Row],[PrimaTécnica]]*Table3[[#This Row],[Marketing]]</f>
        <v>27.978404467200004</v>
      </c>
      <c r="M568" s="8">
        <f>Table3[[#This Row],[PrimaTécnica]]*Table3[[#This Row],[Cobranza]]</f>
        <v>27.978404467200004</v>
      </c>
      <c r="N56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568">
        <v>21.84</v>
      </c>
      <c r="P568">
        <v>54.6</v>
      </c>
      <c r="Q568">
        <v>80.64</v>
      </c>
      <c r="R568">
        <v>44.377200000000002</v>
      </c>
      <c r="S568">
        <v>0.2</v>
      </c>
      <c r="T568">
        <v>0.02</v>
      </c>
      <c r="U568" s="8">
        <f>Table3[[#This Row],[PrimaNeta]]*Table3[[#This Row],[Comisión]]</f>
        <v>749.82441168000014</v>
      </c>
      <c r="V568" s="15">
        <f>Table3[[#This Row],[PrimaComercial Anual]]-Table3[[#This Row],[PrimaComercial Anual]]*SUM(Table3[[#This Row],[APS]:[IVA]])</f>
        <v>3749.1220584000002</v>
      </c>
      <c r="W568" s="2">
        <v>1.4800000000000001E-2</v>
      </c>
      <c r="X568" s="2">
        <v>8.4501000000000007E-2</v>
      </c>
      <c r="Y568">
        <v>0.03</v>
      </c>
      <c r="Z568">
        <v>0.13</v>
      </c>
      <c r="AA568" s="20">
        <f>Table3[[#This Row],[APS]]*Table3[[#This Row],[PrimaComercial Anual]]</f>
        <v>74.911680000000004</v>
      </c>
      <c r="AB568" s="8">
        <f>Table3[[#This Row],[PrimaComercial Anual]]*Table3[[#This Row],[Recargo adicional]]</f>
        <v>427.71026160000008</v>
      </c>
      <c r="AC568" s="8">
        <f>Table3[[#This Row],[PrimaComercial Anual]]*Table3[[#This Row],[IT]]</f>
        <v>151.84800000000001</v>
      </c>
      <c r="AD568" s="8">
        <f>Table3[[#This Row],[PrimaComercial Anual]]*Table3[[#This Row],[IVA]]</f>
        <v>658.00800000000004</v>
      </c>
      <c r="AE568" s="15">
        <f>Table3[[#This Row],[PrimaComercial Anual Asistencia]]</f>
        <v>5061.6000000000004</v>
      </c>
      <c r="AG568">
        <v>5061.6000000000004</v>
      </c>
    </row>
    <row r="569" spans="1:33" x14ac:dyDescent="0.25">
      <c r="A569" t="s">
        <v>18</v>
      </c>
      <c r="B569">
        <v>420000</v>
      </c>
      <c r="C569">
        <v>5</v>
      </c>
      <c r="D569" s="2">
        <f>Table3[[#This Row],[PrimaTécnica]]-Table3[[#This Row],[PrimaTécnica]]*SUM(Table3[[#This Row],[Gastos Adm]:[Cobranza]])</f>
        <v>2182.3155484416002</v>
      </c>
      <c r="E569">
        <v>0</v>
      </c>
      <c r="F569">
        <v>0.15</v>
      </c>
      <c r="G569">
        <v>0.05</v>
      </c>
      <c r="H569">
        <v>0.01</v>
      </c>
      <c r="I569">
        <v>0.01</v>
      </c>
      <c r="J569" s="8">
        <f>Table3[[#This Row],[PrimaTécnica]]*Table3[[#This Row],[Gastos Adm]]</f>
        <v>419.67606700800002</v>
      </c>
      <c r="K569" s="8">
        <f>Table3[[#This Row],[PrimaTécnica]]*Table3[[#This Row],[Utilidad]]</f>
        <v>139.89202233600003</v>
      </c>
      <c r="L569" s="8">
        <f>Table3[[#This Row],[PrimaTécnica]]*Table3[[#This Row],[Marketing]]</f>
        <v>27.978404467200004</v>
      </c>
      <c r="M569" s="8">
        <f>Table3[[#This Row],[PrimaTécnica]]*Table3[[#This Row],[Cobranza]]</f>
        <v>27.978404467200004</v>
      </c>
      <c r="N56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569">
        <v>21.84</v>
      </c>
      <c r="P569">
        <v>54.6</v>
      </c>
      <c r="Q569">
        <v>80.64</v>
      </c>
      <c r="R569">
        <v>44.377200000000002</v>
      </c>
      <c r="S569">
        <v>0.2</v>
      </c>
      <c r="T569">
        <v>0.02</v>
      </c>
      <c r="U569" s="8">
        <f>Table3[[#This Row],[PrimaNeta]]*Table3[[#This Row],[Comisión]]</f>
        <v>749.82441168000014</v>
      </c>
      <c r="V569" s="15">
        <f>Table3[[#This Row],[PrimaComercial Anual]]-Table3[[#This Row],[PrimaComercial Anual]]*SUM(Table3[[#This Row],[APS]:[IVA]])</f>
        <v>3749.1220584000002</v>
      </c>
      <c r="W569" s="2">
        <v>1.4800000000000001E-2</v>
      </c>
      <c r="X569" s="2">
        <v>8.4501000000000007E-2</v>
      </c>
      <c r="Y569">
        <v>0.03</v>
      </c>
      <c r="Z569">
        <v>0.13</v>
      </c>
      <c r="AA569" s="20">
        <f>Table3[[#This Row],[APS]]*Table3[[#This Row],[PrimaComercial Anual]]</f>
        <v>74.911680000000004</v>
      </c>
      <c r="AB569" s="8">
        <f>Table3[[#This Row],[PrimaComercial Anual]]*Table3[[#This Row],[Recargo adicional]]</f>
        <v>427.71026160000008</v>
      </c>
      <c r="AC569" s="8">
        <f>Table3[[#This Row],[PrimaComercial Anual]]*Table3[[#This Row],[IT]]</f>
        <v>151.84800000000001</v>
      </c>
      <c r="AD569" s="8">
        <f>Table3[[#This Row],[PrimaComercial Anual]]*Table3[[#This Row],[IVA]]</f>
        <v>658.00800000000004</v>
      </c>
      <c r="AE569" s="15">
        <f>Table3[[#This Row],[PrimaComercial Anual Asistencia]]</f>
        <v>5061.6000000000004</v>
      </c>
      <c r="AG569">
        <v>5061.6000000000004</v>
      </c>
    </row>
    <row r="570" spans="1:33" x14ac:dyDescent="0.25">
      <c r="A570" t="s">
        <v>18</v>
      </c>
      <c r="B570">
        <v>420000</v>
      </c>
      <c r="C570">
        <v>6</v>
      </c>
      <c r="D570" s="2">
        <f>Table3[[#This Row],[PrimaTécnica]]-Table3[[#This Row],[PrimaTécnica]]*SUM(Table3[[#This Row],[Gastos Adm]:[Cobranza]])</f>
        <v>2182.3155484416002</v>
      </c>
      <c r="E570">
        <v>0</v>
      </c>
      <c r="F570">
        <v>0.15</v>
      </c>
      <c r="G570">
        <v>0.05</v>
      </c>
      <c r="H570">
        <v>0.01</v>
      </c>
      <c r="I570">
        <v>0.01</v>
      </c>
      <c r="J570" s="8">
        <f>Table3[[#This Row],[PrimaTécnica]]*Table3[[#This Row],[Gastos Adm]]</f>
        <v>419.67606700800002</v>
      </c>
      <c r="K570" s="8">
        <f>Table3[[#This Row],[PrimaTécnica]]*Table3[[#This Row],[Utilidad]]</f>
        <v>139.89202233600003</v>
      </c>
      <c r="L570" s="8">
        <f>Table3[[#This Row],[PrimaTécnica]]*Table3[[#This Row],[Marketing]]</f>
        <v>27.978404467200004</v>
      </c>
      <c r="M570" s="8">
        <f>Table3[[#This Row],[PrimaTécnica]]*Table3[[#This Row],[Cobranza]]</f>
        <v>27.978404467200004</v>
      </c>
      <c r="N57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570">
        <v>21.84</v>
      </c>
      <c r="P570">
        <v>54.6</v>
      </c>
      <c r="Q570">
        <v>80.64</v>
      </c>
      <c r="R570">
        <v>44.377200000000002</v>
      </c>
      <c r="S570">
        <v>0.2</v>
      </c>
      <c r="T570">
        <v>0.02</v>
      </c>
      <c r="U570" s="8">
        <f>Table3[[#This Row],[PrimaNeta]]*Table3[[#This Row],[Comisión]]</f>
        <v>749.82441168000014</v>
      </c>
      <c r="V570" s="15">
        <f>Table3[[#This Row],[PrimaComercial Anual]]-Table3[[#This Row],[PrimaComercial Anual]]*SUM(Table3[[#This Row],[APS]:[IVA]])</f>
        <v>3749.1220584000002</v>
      </c>
      <c r="W570" s="2">
        <v>1.4800000000000001E-2</v>
      </c>
      <c r="X570" s="2">
        <v>8.4501000000000007E-2</v>
      </c>
      <c r="Y570">
        <v>0.03</v>
      </c>
      <c r="Z570">
        <v>0.13</v>
      </c>
      <c r="AA570" s="20">
        <f>Table3[[#This Row],[APS]]*Table3[[#This Row],[PrimaComercial Anual]]</f>
        <v>74.911680000000004</v>
      </c>
      <c r="AB570" s="8">
        <f>Table3[[#This Row],[PrimaComercial Anual]]*Table3[[#This Row],[Recargo adicional]]</f>
        <v>427.71026160000008</v>
      </c>
      <c r="AC570" s="8">
        <f>Table3[[#This Row],[PrimaComercial Anual]]*Table3[[#This Row],[IT]]</f>
        <v>151.84800000000001</v>
      </c>
      <c r="AD570" s="8">
        <f>Table3[[#This Row],[PrimaComercial Anual]]*Table3[[#This Row],[IVA]]</f>
        <v>658.00800000000004</v>
      </c>
      <c r="AE570" s="15">
        <f>Table3[[#This Row],[PrimaComercial Anual Asistencia]]</f>
        <v>5061.6000000000004</v>
      </c>
      <c r="AG570">
        <v>5061.6000000000004</v>
      </c>
    </row>
    <row r="571" spans="1:33" x14ac:dyDescent="0.25">
      <c r="A571" t="s">
        <v>18</v>
      </c>
      <c r="B571">
        <v>420000</v>
      </c>
      <c r="C571">
        <v>7</v>
      </c>
      <c r="D571" s="2">
        <f>Table3[[#This Row],[PrimaTécnica]]-Table3[[#This Row],[PrimaTécnica]]*SUM(Table3[[#This Row],[Gastos Adm]:[Cobranza]])</f>
        <v>2182.3155484416002</v>
      </c>
      <c r="E571">
        <v>0</v>
      </c>
      <c r="F571">
        <v>0.15</v>
      </c>
      <c r="G571">
        <v>0.05</v>
      </c>
      <c r="H571">
        <v>0.01</v>
      </c>
      <c r="I571">
        <v>0.01</v>
      </c>
      <c r="J571" s="8">
        <f>Table3[[#This Row],[PrimaTécnica]]*Table3[[#This Row],[Gastos Adm]]</f>
        <v>419.67606700800002</v>
      </c>
      <c r="K571" s="8">
        <f>Table3[[#This Row],[PrimaTécnica]]*Table3[[#This Row],[Utilidad]]</f>
        <v>139.89202233600003</v>
      </c>
      <c r="L571" s="8">
        <f>Table3[[#This Row],[PrimaTécnica]]*Table3[[#This Row],[Marketing]]</f>
        <v>27.978404467200004</v>
      </c>
      <c r="M571" s="8">
        <f>Table3[[#This Row],[PrimaTécnica]]*Table3[[#This Row],[Cobranza]]</f>
        <v>27.978404467200004</v>
      </c>
      <c r="N57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571">
        <v>21.84</v>
      </c>
      <c r="P571">
        <v>54.6</v>
      </c>
      <c r="Q571">
        <v>80.64</v>
      </c>
      <c r="R571">
        <v>44.377200000000002</v>
      </c>
      <c r="S571">
        <v>0.2</v>
      </c>
      <c r="T571">
        <v>0.02</v>
      </c>
      <c r="U571" s="8">
        <f>Table3[[#This Row],[PrimaNeta]]*Table3[[#This Row],[Comisión]]</f>
        <v>749.82441168000014</v>
      </c>
      <c r="V571" s="15">
        <f>Table3[[#This Row],[PrimaComercial Anual]]-Table3[[#This Row],[PrimaComercial Anual]]*SUM(Table3[[#This Row],[APS]:[IVA]])</f>
        <v>3749.1220584000002</v>
      </c>
      <c r="W571" s="2">
        <v>1.4800000000000001E-2</v>
      </c>
      <c r="X571" s="2">
        <v>8.4501000000000007E-2</v>
      </c>
      <c r="Y571">
        <v>0.03</v>
      </c>
      <c r="Z571">
        <v>0.13</v>
      </c>
      <c r="AA571" s="20">
        <f>Table3[[#This Row],[APS]]*Table3[[#This Row],[PrimaComercial Anual]]</f>
        <v>74.911680000000004</v>
      </c>
      <c r="AB571" s="8">
        <f>Table3[[#This Row],[PrimaComercial Anual]]*Table3[[#This Row],[Recargo adicional]]</f>
        <v>427.71026160000008</v>
      </c>
      <c r="AC571" s="8">
        <f>Table3[[#This Row],[PrimaComercial Anual]]*Table3[[#This Row],[IT]]</f>
        <v>151.84800000000001</v>
      </c>
      <c r="AD571" s="8">
        <f>Table3[[#This Row],[PrimaComercial Anual]]*Table3[[#This Row],[IVA]]</f>
        <v>658.00800000000004</v>
      </c>
      <c r="AE571" s="15">
        <f>Table3[[#This Row],[PrimaComercial Anual Asistencia]]</f>
        <v>5061.6000000000004</v>
      </c>
      <c r="AG571">
        <v>5061.6000000000004</v>
      </c>
    </row>
    <row r="572" spans="1:33" x14ac:dyDescent="0.25">
      <c r="A572" t="s">
        <v>18</v>
      </c>
      <c r="B572">
        <v>420000</v>
      </c>
      <c r="C572">
        <v>8</v>
      </c>
      <c r="D572" s="2">
        <f>Table3[[#This Row],[PrimaTécnica]]-Table3[[#This Row],[PrimaTécnica]]*SUM(Table3[[#This Row],[Gastos Adm]:[Cobranza]])</f>
        <v>2182.3155484416002</v>
      </c>
      <c r="E572">
        <v>0</v>
      </c>
      <c r="F572">
        <v>0.15</v>
      </c>
      <c r="G572">
        <v>0.05</v>
      </c>
      <c r="H572">
        <v>0.01</v>
      </c>
      <c r="I572">
        <v>0.01</v>
      </c>
      <c r="J572" s="8">
        <f>Table3[[#This Row],[PrimaTécnica]]*Table3[[#This Row],[Gastos Adm]]</f>
        <v>419.67606700800002</v>
      </c>
      <c r="K572" s="8">
        <f>Table3[[#This Row],[PrimaTécnica]]*Table3[[#This Row],[Utilidad]]</f>
        <v>139.89202233600003</v>
      </c>
      <c r="L572" s="8">
        <f>Table3[[#This Row],[PrimaTécnica]]*Table3[[#This Row],[Marketing]]</f>
        <v>27.978404467200004</v>
      </c>
      <c r="M572" s="8">
        <f>Table3[[#This Row],[PrimaTécnica]]*Table3[[#This Row],[Cobranza]]</f>
        <v>27.978404467200004</v>
      </c>
      <c r="N57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572">
        <v>21.84</v>
      </c>
      <c r="P572">
        <v>54.6</v>
      </c>
      <c r="Q572">
        <v>80.64</v>
      </c>
      <c r="R572">
        <v>44.377200000000002</v>
      </c>
      <c r="S572">
        <v>0.2</v>
      </c>
      <c r="T572">
        <v>0.02</v>
      </c>
      <c r="U572" s="8">
        <f>Table3[[#This Row],[PrimaNeta]]*Table3[[#This Row],[Comisión]]</f>
        <v>749.82441168000014</v>
      </c>
      <c r="V572" s="15">
        <f>Table3[[#This Row],[PrimaComercial Anual]]-Table3[[#This Row],[PrimaComercial Anual]]*SUM(Table3[[#This Row],[APS]:[IVA]])</f>
        <v>3749.1220584000002</v>
      </c>
      <c r="W572" s="2">
        <v>1.4800000000000001E-2</v>
      </c>
      <c r="X572" s="2">
        <v>8.4501000000000007E-2</v>
      </c>
      <c r="Y572">
        <v>0.03</v>
      </c>
      <c r="Z572">
        <v>0.13</v>
      </c>
      <c r="AA572" s="20">
        <f>Table3[[#This Row],[APS]]*Table3[[#This Row],[PrimaComercial Anual]]</f>
        <v>74.911680000000004</v>
      </c>
      <c r="AB572" s="8">
        <f>Table3[[#This Row],[PrimaComercial Anual]]*Table3[[#This Row],[Recargo adicional]]</f>
        <v>427.71026160000008</v>
      </c>
      <c r="AC572" s="8">
        <f>Table3[[#This Row],[PrimaComercial Anual]]*Table3[[#This Row],[IT]]</f>
        <v>151.84800000000001</v>
      </c>
      <c r="AD572" s="8">
        <f>Table3[[#This Row],[PrimaComercial Anual]]*Table3[[#This Row],[IVA]]</f>
        <v>658.00800000000004</v>
      </c>
      <c r="AE572" s="15">
        <f>Table3[[#This Row],[PrimaComercial Anual Asistencia]]</f>
        <v>5061.6000000000004</v>
      </c>
      <c r="AG572">
        <v>5061.6000000000004</v>
      </c>
    </row>
    <row r="573" spans="1:33" x14ac:dyDescent="0.25">
      <c r="A573" t="s">
        <v>18</v>
      </c>
      <c r="B573">
        <v>420000</v>
      </c>
      <c r="C573">
        <v>9</v>
      </c>
      <c r="D573" s="2">
        <f>Table3[[#This Row],[PrimaTécnica]]-Table3[[#This Row],[PrimaTécnica]]*SUM(Table3[[#This Row],[Gastos Adm]:[Cobranza]])</f>
        <v>2182.3155484416002</v>
      </c>
      <c r="E573">
        <v>0</v>
      </c>
      <c r="F573">
        <v>0.15</v>
      </c>
      <c r="G573">
        <v>0.05</v>
      </c>
      <c r="H573">
        <v>0.01</v>
      </c>
      <c r="I573">
        <v>0.01</v>
      </c>
      <c r="J573" s="8">
        <f>Table3[[#This Row],[PrimaTécnica]]*Table3[[#This Row],[Gastos Adm]]</f>
        <v>419.67606700800002</v>
      </c>
      <c r="K573" s="8">
        <f>Table3[[#This Row],[PrimaTécnica]]*Table3[[#This Row],[Utilidad]]</f>
        <v>139.89202233600003</v>
      </c>
      <c r="L573" s="8">
        <f>Table3[[#This Row],[PrimaTécnica]]*Table3[[#This Row],[Marketing]]</f>
        <v>27.978404467200004</v>
      </c>
      <c r="M573" s="8">
        <f>Table3[[#This Row],[PrimaTécnica]]*Table3[[#This Row],[Cobranza]]</f>
        <v>27.978404467200004</v>
      </c>
      <c r="N57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573">
        <v>21.84</v>
      </c>
      <c r="P573">
        <v>54.6</v>
      </c>
      <c r="Q573">
        <v>80.64</v>
      </c>
      <c r="R573">
        <v>44.377200000000002</v>
      </c>
      <c r="S573">
        <v>0.2</v>
      </c>
      <c r="T573">
        <v>0.02</v>
      </c>
      <c r="U573" s="8">
        <f>Table3[[#This Row],[PrimaNeta]]*Table3[[#This Row],[Comisión]]</f>
        <v>749.82441168000014</v>
      </c>
      <c r="V573" s="15">
        <f>Table3[[#This Row],[PrimaComercial Anual]]-Table3[[#This Row],[PrimaComercial Anual]]*SUM(Table3[[#This Row],[APS]:[IVA]])</f>
        <v>3749.1220584000002</v>
      </c>
      <c r="W573" s="2">
        <v>1.4800000000000001E-2</v>
      </c>
      <c r="X573" s="2">
        <v>8.4501000000000007E-2</v>
      </c>
      <c r="Y573">
        <v>0.03</v>
      </c>
      <c r="Z573">
        <v>0.13</v>
      </c>
      <c r="AA573" s="20">
        <f>Table3[[#This Row],[APS]]*Table3[[#This Row],[PrimaComercial Anual]]</f>
        <v>74.911680000000004</v>
      </c>
      <c r="AB573" s="8">
        <f>Table3[[#This Row],[PrimaComercial Anual]]*Table3[[#This Row],[Recargo adicional]]</f>
        <v>427.71026160000008</v>
      </c>
      <c r="AC573" s="8">
        <f>Table3[[#This Row],[PrimaComercial Anual]]*Table3[[#This Row],[IT]]</f>
        <v>151.84800000000001</v>
      </c>
      <c r="AD573" s="8">
        <f>Table3[[#This Row],[PrimaComercial Anual]]*Table3[[#This Row],[IVA]]</f>
        <v>658.00800000000004</v>
      </c>
      <c r="AE573" s="15">
        <f>Table3[[#This Row],[PrimaComercial Anual Asistencia]]</f>
        <v>5061.6000000000004</v>
      </c>
      <c r="AG573">
        <v>5061.6000000000004</v>
      </c>
    </row>
    <row r="574" spans="1:33" x14ac:dyDescent="0.25">
      <c r="A574" t="s">
        <v>18</v>
      </c>
      <c r="B574">
        <v>420000</v>
      </c>
      <c r="C574">
        <v>10</v>
      </c>
      <c r="D574" s="2">
        <f>Table3[[#This Row],[PrimaTécnica]]-Table3[[#This Row],[PrimaTécnica]]*SUM(Table3[[#This Row],[Gastos Adm]:[Cobranza]])</f>
        <v>2182.3155484416002</v>
      </c>
      <c r="E574">
        <v>0</v>
      </c>
      <c r="F574">
        <v>0.15</v>
      </c>
      <c r="G574">
        <v>0.05</v>
      </c>
      <c r="H574">
        <v>0.01</v>
      </c>
      <c r="I574">
        <v>0.01</v>
      </c>
      <c r="J574" s="8">
        <f>Table3[[#This Row],[PrimaTécnica]]*Table3[[#This Row],[Gastos Adm]]</f>
        <v>419.67606700800002</v>
      </c>
      <c r="K574" s="8">
        <f>Table3[[#This Row],[PrimaTécnica]]*Table3[[#This Row],[Utilidad]]</f>
        <v>139.89202233600003</v>
      </c>
      <c r="L574" s="8">
        <f>Table3[[#This Row],[PrimaTécnica]]*Table3[[#This Row],[Marketing]]</f>
        <v>27.978404467200004</v>
      </c>
      <c r="M574" s="8">
        <f>Table3[[#This Row],[PrimaTécnica]]*Table3[[#This Row],[Cobranza]]</f>
        <v>27.978404467200004</v>
      </c>
      <c r="N57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574">
        <v>21.84</v>
      </c>
      <c r="P574">
        <v>54.6</v>
      </c>
      <c r="Q574">
        <v>80.64</v>
      </c>
      <c r="R574">
        <v>44.377200000000002</v>
      </c>
      <c r="S574">
        <v>0.2</v>
      </c>
      <c r="T574">
        <v>0.02</v>
      </c>
      <c r="U574" s="8">
        <f>Table3[[#This Row],[PrimaNeta]]*Table3[[#This Row],[Comisión]]</f>
        <v>749.82441168000014</v>
      </c>
      <c r="V574" s="15">
        <f>Table3[[#This Row],[PrimaComercial Anual]]-Table3[[#This Row],[PrimaComercial Anual]]*SUM(Table3[[#This Row],[APS]:[IVA]])</f>
        <v>3749.1220584000002</v>
      </c>
      <c r="W574" s="2">
        <v>1.4800000000000001E-2</v>
      </c>
      <c r="X574" s="2">
        <v>8.4501000000000007E-2</v>
      </c>
      <c r="Y574">
        <v>0.03</v>
      </c>
      <c r="Z574">
        <v>0.13</v>
      </c>
      <c r="AA574" s="20">
        <f>Table3[[#This Row],[APS]]*Table3[[#This Row],[PrimaComercial Anual]]</f>
        <v>74.911680000000004</v>
      </c>
      <c r="AB574" s="8">
        <f>Table3[[#This Row],[PrimaComercial Anual]]*Table3[[#This Row],[Recargo adicional]]</f>
        <v>427.71026160000008</v>
      </c>
      <c r="AC574" s="8">
        <f>Table3[[#This Row],[PrimaComercial Anual]]*Table3[[#This Row],[IT]]</f>
        <v>151.84800000000001</v>
      </c>
      <c r="AD574" s="8">
        <f>Table3[[#This Row],[PrimaComercial Anual]]*Table3[[#This Row],[IVA]]</f>
        <v>658.00800000000004</v>
      </c>
      <c r="AE574" s="15">
        <f>Table3[[#This Row],[PrimaComercial Anual Asistencia]]</f>
        <v>5061.6000000000004</v>
      </c>
      <c r="AG574">
        <v>5061.6000000000004</v>
      </c>
    </row>
    <row r="575" spans="1:33" x14ac:dyDescent="0.25">
      <c r="A575" t="s">
        <v>18</v>
      </c>
      <c r="B575">
        <v>420000</v>
      </c>
      <c r="C575">
        <v>11</v>
      </c>
      <c r="D575" s="2">
        <f>Table3[[#This Row],[PrimaTécnica]]-Table3[[#This Row],[PrimaTécnica]]*SUM(Table3[[#This Row],[Gastos Adm]:[Cobranza]])</f>
        <v>2182.3155484416002</v>
      </c>
      <c r="E575">
        <v>0</v>
      </c>
      <c r="F575">
        <v>0.15</v>
      </c>
      <c r="G575">
        <v>0.05</v>
      </c>
      <c r="H575">
        <v>0.01</v>
      </c>
      <c r="I575">
        <v>0.01</v>
      </c>
      <c r="J575" s="8">
        <f>Table3[[#This Row],[PrimaTécnica]]*Table3[[#This Row],[Gastos Adm]]</f>
        <v>419.67606700800002</v>
      </c>
      <c r="K575" s="8">
        <f>Table3[[#This Row],[PrimaTécnica]]*Table3[[#This Row],[Utilidad]]</f>
        <v>139.89202233600003</v>
      </c>
      <c r="L575" s="8">
        <f>Table3[[#This Row],[PrimaTécnica]]*Table3[[#This Row],[Marketing]]</f>
        <v>27.978404467200004</v>
      </c>
      <c r="M575" s="8">
        <f>Table3[[#This Row],[PrimaTécnica]]*Table3[[#This Row],[Cobranza]]</f>
        <v>27.978404467200004</v>
      </c>
      <c r="N57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575">
        <v>21.84</v>
      </c>
      <c r="P575">
        <v>54.6</v>
      </c>
      <c r="Q575">
        <v>80.64</v>
      </c>
      <c r="R575">
        <v>44.377200000000002</v>
      </c>
      <c r="S575">
        <v>0.2</v>
      </c>
      <c r="T575">
        <v>0.02</v>
      </c>
      <c r="U575" s="8">
        <f>Table3[[#This Row],[PrimaNeta]]*Table3[[#This Row],[Comisión]]</f>
        <v>749.82441168000014</v>
      </c>
      <c r="V575" s="15">
        <f>Table3[[#This Row],[PrimaComercial Anual]]-Table3[[#This Row],[PrimaComercial Anual]]*SUM(Table3[[#This Row],[APS]:[IVA]])</f>
        <v>3749.1220584000002</v>
      </c>
      <c r="W575" s="2">
        <v>1.4800000000000001E-2</v>
      </c>
      <c r="X575" s="2">
        <v>8.4501000000000007E-2</v>
      </c>
      <c r="Y575">
        <v>0.03</v>
      </c>
      <c r="Z575">
        <v>0.13</v>
      </c>
      <c r="AA575" s="20">
        <f>Table3[[#This Row],[APS]]*Table3[[#This Row],[PrimaComercial Anual]]</f>
        <v>74.911680000000004</v>
      </c>
      <c r="AB575" s="8">
        <f>Table3[[#This Row],[PrimaComercial Anual]]*Table3[[#This Row],[Recargo adicional]]</f>
        <v>427.71026160000008</v>
      </c>
      <c r="AC575" s="8">
        <f>Table3[[#This Row],[PrimaComercial Anual]]*Table3[[#This Row],[IT]]</f>
        <v>151.84800000000001</v>
      </c>
      <c r="AD575" s="8">
        <f>Table3[[#This Row],[PrimaComercial Anual]]*Table3[[#This Row],[IVA]]</f>
        <v>658.00800000000004</v>
      </c>
      <c r="AE575" s="15">
        <f>Table3[[#This Row],[PrimaComercial Anual Asistencia]]</f>
        <v>5061.6000000000004</v>
      </c>
      <c r="AG575">
        <v>5061.6000000000004</v>
      </c>
    </row>
    <row r="576" spans="1:33" x14ac:dyDescent="0.25">
      <c r="A576" t="s">
        <v>18</v>
      </c>
      <c r="B576">
        <v>420000</v>
      </c>
      <c r="C576">
        <v>12</v>
      </c>
      <c r="D576" s="2">
        <f>Table3[[#This Row],[PrimaTécnica]]-Table3[[#This Row],[PrimaTécnica]]*SUM(Table3[[#This Row],[Gastos Adm]:[Cobranza]])</f>
        <v>2182.3155484416002</v>
      </c>
      <c r="E576">
        <v>0</v>
      </c>
      <c r="F576">
        <v>0.15</v>
      </c>
      <c r="G576">
        <v>0.05</v>
      </c>
      <c r="H576">
        <v>0.01</v>
      </c>
      <c r="I576">
        <v>0.01</v>
      </c>
      <c r="J576" s="8">
        <f>Table3[[#This Row],[PrimaTécnica]]*Table3[[#This Row],[Gastos Adm]]</f>
        <v>419.67606700800002</v>
      </c>
      <c r="K576" s="8">
        <f>Table3[[#This Row],[PrimaTécnica]]*Table3[[#This Row],[Utilidad]]</f>
        <v>139.89202233600003</v>
      </c>
      <c r="L576" s="8">
        <f>Table3[[#This Row],[PrimaTécnica]]*Table3[[#This Row],[Marketing]]</f>
        <v>27.978404467200004</v>
      </c>
      <c r="M576" s="8">
        <f>Table3[[#This Row],[PrimaTécnica]]*Table3[[#This Row],[Cobranza]]</f>
        <v>27.978404467200004</v>
      </c>
      <c r="N57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576">
        <v>21.84</v>
      </c>
      <c r="P576">
        <v>54.6</v>
      </c>
      <c r="Q576">
        <v>80.64</v>
      </c>
      <c r="R576">
        <v>44.377200000000002</v>
      </c>
      <c r="S576">
        <v>0.2</v>
      </c>
      <c r="T576">
        <v>0.02</v>
      </c>
      <c r="U576" s="8">
        <f>Table3[[#This Row],[PrimaNeta]]*Table3[[#This Row],[Comisión]]</f>
        <v>749.82441168000014</v>
      </c>
      <c r="V576" s="15">
        <f>Table3[[#This Row],[PrimaComercial Anual]]-Table3[[#This Row],[PrimaComercial Anual]]*SUM(Table3[[#This Row],[APS]:[IVA]])</f>
        <v>3749.1220584000002</v>
      </c>
      <c r="W576" s="2">
        <v>1.4800000000000001E-2</v>
      </c>
      <c r="X576" s="2">
        <v>8.4501000000000007E-2</v>
      </c>
      <c r="Y576">
        <v>0.03</v>
      </c>
      <c r="Z576">
        <v>0.13</v>
      </c>
      <c r="AA576" s="20">
        <f>Table3[[#This Row],[APS]]*Table3[[#This Row],[PrimaComercial Anual]]</f>
        <v>74.911680000000004</v>
      </c>
      <c r="AB576" s="8">
        <f>Table3[[#This Row],[PrimaComercial Anual]]*Table3[[#This Row],[Recargo adicional]]</f>
        <v>427.71026160000008</v>
      </c>
      <c r="AC576" s="8">
        <f>Table3[[#This Row],[PrimaComercial Anual]]*Table3[[#This Row],[IT]]</f>
        <v>151.84800000000001</v>
      </c>
      <c r="AD576" s="8">
        <f>Table3[[#This Row],[PrimaComercial Anual]]*Table3[[#This Row],[IVA]]</f>
        <v>658.00800000000004</v>
      </c>
      <c r="AE576" s="15">
        <f>Table3[[#This Row],[PrimaComercial Anual Asistencia]]</f>
        <v>5061.6000000000004</v>
      </c>
      <c r="AG576">
        <v>5061.6000000000004</v>
      </c>
    </row>
    <row r="577" spans="1:33" x14ac:dyDescent="0.25">
      <c r="A577" t="s">
        <v>18</v>
      </c>
      <c r="B577">
        <v>420000</v>
      </c>
      <c r="C577">
        <v>13</v>
      </c>
      <c r="D577" s="2">
        <f>Table3[[#This Row],[PrimaTécnica]]-Table3[[#This Row],[PrimaTécnica]]*SUM(Table3[[#This Row],[Gastos Adm]:[Cobranza]])</f>
        <v>2182.3155484416002</v>
      </c>
      <c r="E577">
        <v>0</v>
      </c>
      <c r="F577">
        <v>0.15</v>
      </c>
      <c r="G577">
        <v>0.05</v>
      </c>
      <c r="H577">
        <v>0.01</v>
      </c>
      <c r="I577">
        <v>0.01</v>
      </c>
      <c r="J577" s="8">
        <f>Table3[[#This Row],[PrimaTécnica]]*Table3[[#This Row],[Gastos Adm]]</f>
        <v>419.67606700800002</v>
      </c>
      <c r="K577" s="8">
        <f>Table3[[#This Row],[PrimaTécnica]]*Table3[[#This Row],[Utilidad]]</f>
        <v>139.89202233600003</v>
      </c>
      <c r="L577" s="8">
        <f>Table3[[#This Row],[PrimaTécnica]]*Table3[[#This Row],[Marketing]]</f>
        <v>27.978404467200004</v>
      </c>
      <c r="M577" s="8">
        <f>Table3[[#This Row],[PrimaTécnica]]*Table3[[#This Row],[Cobranza]]</f>
        <v>27.978404467200004</v>
      </c>
      <c r="N57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577">
        <v>21.84</v>
      </c>
      <c r="P577">
        <v>54.6</v>
      </c>
      <c r="Q577">
        <v>80.64</v>
      </c>
      <c r="R577">
        <v>44.377200000000002</v>
      </c>
      <c r="S577">
        <v>0.2</v>
      </c>
      <c r="T577">
        <v>0.02</v>
      </c>
      <c r="U577" s="8">
        <f>Table3[[#This Row],[PrimaNeta]]*Table3[[#This Row],[Comisión]]</f>
        <v>749.82441168000014</v>
      </c>
      <c r="V577" s="15">
        <f>Table3[[#This Row],[PrimaComercial Anual]]-Table3[[#This Row],[PrimaComercial Anual]]*SUM(Table3[[#This Row],[APS]:[IVA]])</f>
        <v>3749.1220584000002</v>
      </c>
      <c r="W577" s="2">
        <v>1.4800000000000001E-2</v>
      </c>
      <c r="X577" s="2">
        <v>8.4501000000000007E-2</v>
      </c>
      <c r="Y577">
        <v>0.03</v>
      </c>
      <c r="Z577">
        <v>0.13</v>
      </c>
      <c r="AA577" s="20">
        <f>Table3[[#This Row],[APS]]*Table3[[#This Row],[PrimaComercial Anual]]</f>
        <v>74.911680000000004</v>
      </c>
      <c r="AB577" s="8">
        <f>Table3[[#This Row],[PrimaComercial Anual]]*Table3[[#This Row],[Recargo adicional]]</f>
        <v>427.71026160000008</v>
      </c>
      <c r="AC577" s="8">
        <f>Table3[[#This Row],[PrimaComercial Anual]]*Table3[[#This Row],[IT]]</f>
        <v>151.84800000000001</v>
      </c>
      <c r="AD577" s="8">
        <f>Table3[[#This Row],[PrimaComercial Anual]]*Table3[[#This Row],[IVA]]</f>
        <v>658.00800000000004</v>
      </c>
      <c r="AE577" s="15">
        <f>Table3[[#This Row],[PrimaComercial Anual Asistencia]]</f>
        <v>5061.6000000000004</v>
      </c>
      <c r="AG577">
        <v>5061.6000000000004</v>
      </c>
    </row>
    <row r="578" spans="1:33" x14ac:dyDescent="0.25">
      <c r="A578" t="s">
        <v>18</v>
      </c>
      <c r="B578">
        <v>420000</v>
      </c>
      <c r="C578">
        <v>14</v>
      </c>
      <c r="D578" s="2">
        <f>Table3[[#This Row],[PrimaTécnica]]-Table3[[#This Row],[PrimaTécnica]]*SUM(Table3[[#This Row],[Gastos Adm]:[Cobranza]])</f>
        <v>2182.3155484416002</v>
      </c>
      <c r="E578">
        <v>0</v>
      </c>
      <c r="F578">
        <v>0.15</v>
      </c>
      <c r="G578">
        <v>0.05</v>
      </c>
      <c r="H578">
        <v>0.01</v>
      </c>
      <c r="I578">
        <v>0.01</v>
      </c>
      <c r="J578" s="8">
        <f>Table3[[#This Row],[PrimaTécnica]]*Table3[[#This Row],[Gastos Adm]]</f>
        <v>419.67606700800002</v>
      </c>
      <c r="K578" s="8">
        <f>Table3[[#This Row],[PrimaTécnica]]*Table3[[#This Row],[Utilidad]]</f>
        <v>139.89202233600003</v>
      </c>
      <c r="L578" s="8">
        <f>Table3[[#This Row],[PrimaTécnica]]*Table3[[#This Row],[Marketing]]</f>
        <v>27.978404467200004</v>
      </c>
      <c r="M578" s="8">
        <f>Table3[[#This Row],[PrimaTécnica]]*Table3[[#This Row],[Cobranza]]</f>
        <v>27.978404467200004</v>
      </c>
      <c r="N57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578">
        <v>21.84</v>
      </c>
      <c r="P578">
        <v>54.6</v>
      </c>
      <c r="Q578">
        <v>80.64</v>
      </c>
      <c r="R578">
        <v>44.377200000000002</v>
      </c>
      <c r="S578">
        <v>0.2</v>
      </c>
      <c r="T578">
        <v>0.02</v>
      </c>
      <c r="U578" s="8">
        <f>Table3[[#This Row],[PrimaNeta]]*Table3[[#This Row],[Comisión]]</f>
        <v>749.82441168000014</v>
      </c>
      <c r="V578" s="15">
        <f>Table3[[#This Row],[PrimaComercial Anual]]-Table3[[#This Row],[PrimaComercial Anual]]*SUM(Table3[[#This Row],[APS]:[IVA]])</f>
        <v>3749.1220584000002</v>
      </c>
      <c r="W578" s="2">
        <v>1.4800000000000001E-2</v>
      </c>
      <c r="X578" s="2">
        <v>8.4501000000000007E-2</v>
      </c>
      <c r="Y578">
        <v>0.03</v>
      </c>
      <c r="Z578">
        <v>0.13</v>
      </c>
      <c r="AA578" s="20">
        <f>Table3[[#This Row],[APS]]*Table3[[#This Row],[PrimaComercial Anual]]</f>
        <v>74.911680000000004</v>
      </c>
      <c r="AB578" s="8">
        <f>Table3[[#This Row],[PrimaComercial Anual]]*Table3[[#This Row],[Recargo adicional]]</f>
        <v>427.71026160000008</v>
      </c>
      <c r="AC578" s="8">
        <f>Table3[[#This Row],[PrimaComercial Anual]]*Table3[[#This Row],[IT]]</f>
        <v>151.84800000000001</v>
      </c>
      <c r="AD578" s="8">
        <f>Table3[[#This Row],[PrimaComercial Anual]]*Table3[[#This Row],[IVA]]</f>
        <v>658.00800000000004</v>
      </c>
      <c r="AE578" s="15">
        <f>Table3[[#This Row],[PrimaComercial Anual Asistencia]]</f>
        <v>5061.6000000000004</v>
      </c>
      <c r="AG578">
        <v>5061.6000000000004</v>
      </c>
    </row>
    <row r="579" spans="1:33" x14ac:dyDescent="0.25">
      <c r="A579" t="s">
        <v>18</v>
      </c>
      <c r="B579">
        <v>420000</v>
      </c>
      <c r="C579">
        <v>15</v>
      </c>
      <c r="D579" s="2">
        <f>Table3[[#This Row],[PrimaTécnica]]-Table3[[#This Row],[PrimaTécnica]]*SUM(Table3[[#This Row],[Gastos Adm]:[Cobranza]])</f>
        <v>2182.3155484416002</v>
      </c>
      <c r="E579">
        <v>0</v>
      </c>
      <c r="F579">
        <v>0.15</v>
      </c>
      <c r="G579">
        <v>0.05</v>
      </c>
      <c r="H579">
        <v>0.01</v>
      </c>
      <c r="I579">
        <v>0.01</v>
      </c>
      <c r="J579" s="8">
        <f>Table3[[#This Row],[PrimaTécnica]]*Table3[[#This Row],[Gastos Adm]]</f>
        <v>419.67606700800002</v>
      </c>
      <c r="K579" s="8">
        <f>Table3[[#This Row],[PrimaTécnica]]*Table3[[#This Row],[Utilidad]]</f>
        <v>139.89202233600003</v>
      </c>
      <c r="L579" s="8">
        <f>Table3[[#This Row],[PrimaTécnica]]*Table3[[#This Row],[Marketing]]</f>
        <v>27.978404467200004</v>
      </c>
      <c r="M579" s="8">
        <f>Table3[[#This Row],[PrimaTécnica]]*Table3[[#This Row],[Cobranza]]</f>
        <v>27.978404467200004</v>
      </c>
      <c r="N57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579">
        <v>21.84</v>
      </c>
      <c r="P579">
        <v>54.6</v>
      </c>
      <c r="Q579">
        <v>80.64</v>
      </c>
      <c r="R579">
        <v>44.377200000000002</v>
      </c>
      <c r="S579">
        <v>0.2</v>
      </c>
      <c r="T579">
        <v>0.02</v>
      </c>
      <c r="U579" s="8">
        <f>Table3[[#This Row],[PrimaNeta]]*Table3[[#This Row],[Comisión]]</f>
        <v>749.82441168000014</v>
      </c>
      <c r="V579" s="15">
        <f>Table3[[#This Row],[PrimaComercial Anual]]-Table3[[#This Row],[PrimaComercial Anual]]*SUM(Table3[[#This Row],[APS]:[IVA]])</f>
        <v>3749.1220584000002</v>
      </c>
      <c r="W579" s="2">
        <v>1.4800000000000001E-2</v>
      </c>
      <c r="X579" s="2">
        <v>8.4501000000000007E-2</v>
      </c>
      <c r="Y579">
        <v>0.03</v>
      </c>
      <c r="Z579">
        <v>0.13</v>
      </c>
      <c r="AA579" s="20">
        <f>Table3[[#This Row],[APS]]*Table3[[#This Row],[PrimaComercial Anual]]</f>
        <v>74.911680000000004</v>
      </c>
      <c r="AB579" s="8">
        <f>Table3[[#This Row],[PrimaComercial Anual]]*Table3[[#This Row],[Recargo adicional]]</f>
        <v>427.71026160000008</v>
      </c>
      <c r="AC579" s="8">
        <f>Table3[[#This Row],[PrimaComercial Anual]]*Table3[[#This Row],[IT]]</f>
        <v>151.84800000000001</v>
      </c>
      <c r="AD579" s="8">
        <f>Table3[[#This Row],[PrimaComercial Anual]]*Table3[[#This Row],[IVA]]</f>
        <v>658.00800000000004</v>
      </c>
      <c r="AE579" s="15">
        <f>Table3[[#This Row],[PrimaComercial Anual Asistencia]]</f>
        <v>5061.6000000000004</v>
      </c>
      <c r="AG579">
        <v>5061.6000000000004</v>
      </c>
    </row>
    <row r="580" spans="1:33" x14ac:dyDescent="0.25">
      <c r="A580" t="s">
        <v>18</v>
      </c>
      <c r="B580">
        <v>420000</v>
      </c>
      <c r="C580">
        <v>16</v>
      </c>
      <c r="D580" s="2">
        <f>Table3[[#This Row],[PrimaTécnica]]-Table3[[#This Row],[PrimaTécnica]]*SUM(Table3[[#This Row],[Gastos Adm]:[Cobranza]])</f>
        <v>2182.3155484416002</v>
      </c>
      <c r="E580">
        <v>0</v>
      </c>
      <c r="F580">
        <v>0.15</v>
      </c>
      <c r="G580">
        <v>0.05</v>
      </c>
      <c r="H580">
        <v>0.01</v>
      </c>
      <c r="I580">
        <v>0.01</v>
      </c>
      <c r="J580" s="8">
        <f>Table3[[#This Row],[PrimaTécnica]]*Table3[[#This Row],[Gastos Adm]]</f>
        <v>419.67606700800002</v>
      </c>
      <c r="K580" s="8">
        <f>Table3[[#This Row],[PrimaTécnica]]*Table3[[#This Row],[Utilidad]]</f>
        <v>139.89202233600003</v>
      </c>
      <c r="L580" s="8">
        <f>Table3[[#This Row],[PrimaTécnica]]*Table3[[#This Row],[Marketing]]</f>
        <v>27.978404467200004</v>
      </c>
      <c r="M580" s="8">
        <f>Table3[[#This Row],[PrimaTécnica]]*Table3[[#This Row],[Cobranza]]</f>
        <v>27.978404467200004</v>
      </c>
      <c r="N58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580">
        <v>21.84</v>
      </c>
      <c r="P580">
        <v>54.6</v>
      </c>
      <c r="Q580">
        <v>80.64</v>
      </c>
      <c r="R580">
        <v>44.377200000000002</v>
      </c>
      <c r="S580">
        <v>0.2</v>
      </c>
      <c r="T580">
        <v>0.02</v>
      </c>
      <c r="U580" s="8">
        <f>Table3[[#This Row],[PrimaNeta]]*Table3[[#This Row],[Comisión]]</f>
        <v>749.82441168000014</v>
      </c>
      <c r="V580" s="15">
        <f>Table3[[#This Row],[PrimaComercial Anual]]-Table3[[#This Row],[PrimaComercial Anual]]*SUM(Table3[[#This Row],[APS]:[IVA]])</f>
        <v>3749.1220584000002</v>
      </c>
      <c r="W580" s="2">
        <v>1.4800000000000001E-2</v>
      </c>
      <c r="X580" s="2">
        <v>8.4501000000000007E-2</v>
      </c>
      <c r="Y580">
        <v>0.03</v>
      </c>
      <c r="Z580">
        <v>0.13</v>
      </c>
      <c r="AA580" s="20">
        <f>Table3[[#This Row],[APS]]*Table3[[#This Row],[PrimaComercial Anual]]</f>
        <v>74.911680000000004</v>
      </c>
      <c r="AB580" s="8">
        <f>Table3[[#This Row],[PrimaComercial Anual]]*Table3[[#This Row],[Recargo adicional]]</f>
        <v>427.71026160000008</v>
      </c>
      <c r="AC580" s="8">
        <f>Table3[[#This Row],[PrimaComercial Anual]]*Table3[[#This Row],[IT]]</f>
        <v>151.84800000000001</v>
      </c>
      <c r="AD580" s="8">
        <f>Table3[[#This Row],[PrimaComercial Anual]]*Table3[[#This Row],[IVA]]</f>
        <v>658.00800000000004</v>
      </c>
      <c r="AE580" s="15">
        <f>Table3[[#This Row],[PrimaComercial Anual Asistencia]]</f>
        <v>5061.6000000000004</v>
      </c>
      <c r="AG580">
        <v>5061.6000000000004</v>
      </c>
    </row>
    <row r="581" spans="1:33" x14ac:dyDescent="0.25">
      <c r="A581" t="s">
        <v>18</v>
      </c>
      <c r="B581">
        <v>420000</v>
      </c>
      <c r="C581">
        <v>17</v>
      </c>
      <c r="D581" s="2">
        <f>Table3[[#This Row],[PrimaTécnica]]-Table3[[#This Row],[PrimaTécnica]]*SUM(Table3[[#This Row],[Gastos Adm]:[Cobranza]])</f>
        <v>2182.3155484416002</v>
      </c>
      <c r="E581">
        <v>0</v>
      </c>
      <c r="F581">
        <v>0.15</v>
      </c>
      <c r="G581">
        <v>0.05</v>
      </c>
      <c r="H581">
        <v>0.01</v>
      </c>
      <c r="I581">
        <v>0.01</v>
      </c>
      <c r="J581" s="8">
        <f>Table3[[#This Row],[PrimaTécnica]]*Table3[[#This Row],[Gastos Adm]]</f>
        <v>419.67606700800002</v>
      </c>
      <c r="K581" s="8">
        <f>Table3[[#This Row],[PrimaTécnica]]*Table3[[#This Row],[Utilidad]]</f>
        <v>139.89202233600003</v>
      </c>
      <c r="L581" s="8">
        <f>Table3[[#This Row],[PrimaTécnica]]*Table3[[#This Row],[Marketing]]</f>
        <v>27.978404467200004</v>
      </c>
      <c r="M581" s="8">
        <f>Table3[[#This Row],[PrimaTécnica]]*Table3[[#This Row],[Cobranza]]</f>
        <v>27.978404467200004</v>
      </c>
      <c r="N58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581">
        <v>21.84</v>
      </c>
      <c r="P581">
        <v>54.6</v>
      </c>
      <c r="Q581">
        <v>80.64</v>
      </c>
      <c r="R581">
        <v>44.377200000000002</v>
      </c>
      <c r="S581">
        <v>0.2</v>
      </c>
      <c r="T581">
        <v>0.02</v>
      </c>
      <c r="U581" s="8">
        <f>Table3[[#This Row],[PrimaNeta]]*Table3[[#This Row],[Comisión]]</f>
        <v>749.82441168000014</v>
      </c>
      <c r="V581" s="15">
        <f>Table3[[#This Row],[PrimaComercial Anual]]-Table3[[#This Row],[PrimaComercial Anual]]*SUM(Table3[[#This Row],[APS]:[IVA]])</f>
        <v>3749.1220584000002</v>
      </c>
      <c r="W581" s="2">
        <v>1.4800000000000001E-2</v>
      </c>
      <c r="X581" s="2">
        <v>8.4501000000000007E-2</v>
      </c>
      <c r="Y581">
        <v>0.03</v>
      </c>
      <c r="Z581">
        <v>0.13</v>
      </c>
      <c r="AA581" s="20">
        <f>Table3[[#This Row],[APS]]*Table3[[#This Row],[PrimaComercial Anual]]</f>
        <v>74.911680000000004</v>
      </c>
      <c r="AB581" s="8">
        <f>Table3[[#This Row],[PrimaComercial Anual]]*Table3[[#This Row],[Recargo adicional]]</f>
        <v>427.71026160000008</v>
      </c>
      <c r="AC581" s="8">
        <f>Table3[[#This Row],[PrimaComercial Anual]]*Table3[[#This Row],[IT]]</f>
        <v>151.84800000000001</v>
      </c>
      <c r="AD581" s="8">
        <f>Table3[[#This Row],[PrimaComercial Anual]]*Table3[[#This Row],[IVA]]</f>
        <v>658.00800000000004</v>
      </c>
      <c r="AE581" s="15">
        <f>Table3[[#This Row],[PrimaComercial Anual Asistencia]]</f>
        <v>5061.6000000000004</v>
      </c>
      <c r="AG581">
        <v>5061.6000000000004</v>
      </c>
    </row>
    <row r="582" spans="1:33" x14ac:dyDescent="0.25">
      <c r="A582" t="s">
        <v>18</v>
      </c>
      <c r="B582">
        <v>420000</v>
      </c>
      <c r="C582">
        <v>18</v>
      </c>
      <c r="D582" s="2">
        <f>Table3[[#This Row],[PrimaTécnica]]-Table3[[#This Row],[PrimaTécnica]]*SUM(Table3[[#This Row],[Gastos Adm]:[Cobranza]])</f>
        <v>2182.3155484416002</v>
      </c>
      <c r="E582">
        <v>0</v>
      </c>
      <c r="F582">
        <v>0.15</v>
      </c>
      <c r="G582">
        <v>0.05</v>
      </c>
      <c r="H582">
        <v>0.01</v>
      </c>
      <c r="I582">
        <v>0.01</v>
      </c>
      <c r="J582" s="8">
        <f>Table3[[#This Row],[PrimaTécnica]]*Table3[[#This Row],[Gastos Adm]]</f>
        <v>419.67606700800002</v>
      </c>
      <c r="K582" s="8">
        <f>Table3[[#This Row],[PrimaTécnica]]*Table3[[#This Row],[Utilidad]]</f>
        <v>139.89202233600003</v>
      </c>
      <c r="L582" s="8">
        <f>Table3[[#This Row],[PrimaTécnica]]*Table3[[#This Row],[Marketing]]</f>
        <v>27.978404467200004</v>
      </c>
      <c r="M582" s="8">
        <f>Table3[[#This Row],[PrimaTécnica]]*Table3[[#This Row],[Cobranza]]</f>
        <v>27.978404467200004</v>
      </c>
      <c r="N58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582">
        <v>21.84</v>
      </c>
      <c r="P582">
        <v>54.6</v>
      </c>
      <c r="Q582">
        <v>80.64</v>
      </c>
      <c r="R582">
        <v>44.377200000000002</v>
      </c>
      <c r="S582">
        <v>0.2</v>
      </c>
      <c r="T582">
        <v>0.02</v>
      </c>
      <c r="U582" s="8">
        <f>Table3[[#This Row],[PrimaNeta]]*Table3[[#This Row],[Comisión]]</f>
        <v>749.82441168000014</v>
      </c>
      <c r="V582" s="15">
        <f>Table3[[#This Row],[PrimaComercial Anual]]-Table3[[#This Row],[PrimaComercial Anual]]*SUM(Table3[[#This Row],[APS]:[IVA]])</f>
        <v>3749.1220584000002</v>
      </c>
      <c r="W582" s="2">
        <v>1.4800000000000001E-2</v>
      </c>
      <c r="X582" s="2">
        <v>8.4501000000000007E-2</v>
      </c>
      <c r="Y582">
        <v>0.03</v>
      </c>
      <c r="Z582">
        <v>0.13</v>
      </c>
      <c r="AA582" s="20">
        <f>Table3[[#This Row],[APS]]*Table3[[#This Row],[PrimaComercial Anual]]</f>
        <v>74.911680000000004</v>
      </c>
      <c r="AB582" s="8">
        <f>Table3[[#This Row],[PrimaComercial Anual]]*Table3[[#This Row],[Recargo adicional]]</f>
        <v>427.71026160000008</v>
      </c>
      <c r="AC582" s="8">
        <f>Table3[[#This Row],[PrimaComercial Anual]]*Table3[[#This Row],[IT]]</f>
        <v>151.84800000000001</v>
      </c>
      <c r="AD582" s="8">
        <f>Table3[[#This Row],[PrimaComercial Anual]]*Table3[[#This Row],[IVA]]</f>
        <v>658.00800000000004</v>
      </c>
      <c r="AE582" s="15">
        <f>Table3[[#This Row],[PrimaComercial Anual Asistencia]]</f>
        <v>5061.6000000000004</v>
      </c>
      <c r="AG582">
        <v>5061.6000000000004</v>
      </c>
    </row>
    <row r="583" spans="1:33" x14ac:dyDescent="0.25">
      <c r="A583" t="s">
        <v>18</v>
      </c>
      <c r="B583">
        <v>420000</v>
      </c>
      <c r="C583">
        <v>19</v>
      </c>
      <c r="D583" s="2">
        <f>Table3[[#This Row],[PrimaTécnica]]-Table3[[#This Row],[PrimaTécnica]]*SUM(Table3[[#This Row],[Gastos Adm]:[Cobranza]])</f>
        <v>2329.8485678207999</v>
      </c>
      <c r="E583">
        <v>0</v>
      </c>
      <c r="F583">
        <v>0.15</v>
      </c>
      <c r="G583">
        <v>0.05</v>
      </c>
      <c r="H583">
        <v>0.01</v>
      </c>
      <c r="I583">
        <v>0.01</v>
      </c>
      <c r="J583" s="8">
        <f>Table3[[#This Row],[PrimaTécnica]]*Table3[[#This Row],[Gastos Adm]]</f>
        <v>448.04780150400001</v>
      </c>
      <c r="K583" s="8">
        <f>Table3[[#This Row],[PrimaTécnica]]*Table3[[#This Row],[Utilidad]]</f>
        <v>149.34926716800001</v>
      </c>
      <c r="L583" s="8">
        <f>Table3[[#This Row],[PrimaTécnica]]*Table3[[#This Row],[Marketing]]</f>
        <v>29.869853433600003</v>
      </c>
      <c r="M583" s="8">
        <f>Table3[[#This Row],[PrimaTécnica]]*Table3[[#This Row],[Cobranza]]</f>
        <v>29.869853433600003</v>
      </c>
      <c r="N58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583">
        <v>21.84</v>
      </c>
      <c r="P583">
        <v>54.6</v>
      </c>
      <c r="Q583">
        <v>80.64</v>
      </c>
      <c r="R583">
        <v>44.377200000000002</v>
      </c>
      <c r="S583">
        <v>0.2</v>
      </c>
      <c r="T583">
        <v>0.02</v>
      </c>
      <c r="U583" s="8">
        <f>Table3[[#This Row],[PrimaNeta]]*Table3[[#This Row],[Comisión]]</f>
        <v>797.1106358400001</v>
      </c>
      <c r="V583" s="15">
        <f>Table3[[#This Row],[PrimaComercial Anual]]-Table3[[#This Row],[PrimaComercial Anual]]*SUM(Table3[[#This Row],[APS]:[IVA]])</f>
        <v>3985.5531792000002</v>
      </c>
      <c r="W583" s="2">
        <v>1.4800000000000001E-2</v>
      </c>
      <c r="X583" s="2">
        <v>8.4501000000000007E-2</v>
      </c>
      <c r="Y583">
        <v>0.03</v>
      </c>
      <c r="Z583">
        <v>0.13</v>
      </c>
      <c r="AA583" s="20">
        <f>Table3[[#This Row],[APS]]*Table3[[#This Row],[PrimaComercial Anual]]</f>
        <v>79.635840000000002</v>
      </c>
      <c r="AB583" s="8">
        <f>Table3[[#This Row],[PrimaComercial Anual]]*Table3[[#This Row],[Recargo adicional]]</f>
        <v>454.68298080000005</v>
      </c>
      <c r="AC583" s="8">
        <f>Table3[[#This Row],[PrimaComercial Anual]]*Table3[[#This Row],[IT]]</f>
        <v>161.42400000000001</v>
      </c>
      <c r="AD583" s="8">
        <f>Table3[[#This Row],[PrimaComercial Anual]]*Table3[[#This Row],[IVA]]</f>
        <v>699.50400000000002</v>
      </c>
      <c r="AE583" s="15">
        <f>Table3[[#This Row],[PrimaComercial Anual Asistencia]]</f>
        <v>5380.8</v>
      </c>
      <c r="AG583">
        <v>5380.8</v>
      </c>
    </row>
    <row r="584" spans="1:33" x14ac:dyDescent="0.25">
      <c r="A584" t="s">
        <v>18</v>
      </c>
      <c r="B584">
        <v>420000</v>
      </c>
      <c r="C584">
        <v>20</v>
      </c>
      <c r="D584" s="2">
        <f>Table3[[#This Row],[PrimaTécnica]]-Table3[[#This Row],[PrimaTécnica]]*SUM(Table3[[#This Row],[Gastos Adm]:[Cobranza]])</f>
        <v>2329.8485678207999</v>
      </c>
      <c r="E584">
        <v>0</v>
      </c>
      <c r="F584">
        <v>0.15</v>
      </c>
      <c r="G584">
        <v>0.05</v>
      </c>
      <c r="H584">
        <v>0.01</v>
      </c>
      <c r="I584">
        <v>0.01</v>
      </c>
      <c r="J584" s="8">
        <f>Table3[[#This Row],[PrimaTécnica]]*Table3[[#This Row],[Gastos Adm]]</f>
        <v>448.04780150400001</v>
      </c>
      <c r="K584" s="8">
        <f>Table3[[#This Row],[PrimaTécnica]]*Table3[[#This Row],[Utilidad]]</f>
        <v>149.34926716800001</v>
      </c>
      <c r="L584" s="8">
        <f>Table3[[#This Row],[PrimaTécnica]]*Table3[[#This Row],[Marketing]]</f>
        <v>29.869853433600003</v>
      </c>
      <c r="M584" s="8">
        <f>Table3[[#This Row],[PrimaTécnica]]*Table3[[#This Row],[Cobranza]]</f>
        <v>29.869853433600003</v>
      </c>
      <c r="N58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584">
        <v>21.84</v>
      </c>
      <c r="P584">
        <v>54.6</v>
      </c>
      <c r="Q584">
        <v>80.64</v>
      </c>
      <c r="R584">
        <v>44.377200000000002</v>
      </c>
      <c r="S584">
        <v>0.2</v>
      </c>
      <c r="T584">
        <v>0.02</v>
      </c>
      <c r="U584" s="8">
        <f>Table3[[#This Row],[PrimaNeta]]*Table3[[#This Row],[Comisión]]</f>
        <v>797.1106358400001</v>
      </c>
      <c r="V584" s="15">
        <f>Table3[[#This Row],[PrimaComercial Anual]]-Table3[[#This Row],[PrimaComercial Anual]]*SUM(Table3[[#This Row],[APS]:[IVA]])</f>
        <v>3985.5531792000002</v>
      </c>
      <c r="W584" s="2">
        <v>1.4800000000000001E-2</v>
      </c>
      <c r="X584" s="2">
        <v>8.4501000000000007E-2</v>
      </c>
      <c r="Y584">
        <v>0.03</v>
      </c>
      <c r="Z584">
        <v>0.13</v>
      </c>
      <c r="AA584" s="20">
        <f>Table3[[#This Row],[APS]]*Table3[[#This Row],[PrimaComercial Anual]]</f>
        <v>79.635840000000002</v>
      </c>
      <c r="AB584" s="8">
        <f>Table3[[#This Row],[PrimaComercial Anual]]*Table3[[#This Row],[Recargo adicional]]</f>
        <v>454.68298080000005</v>
      </c>
      <c r="AC584" s="8">
        <f>Table3[[#This Row],[PrimaComercial Anual]]*Table3[[#This Row],[IT]]</f>
        <v>161.42400000000001</v>
      </c>
      <c r="AD584" s="8">
        <f>Table3[[#This Row],[PrimaComercial Anual]]*Table3[[#This Row],[IVA]]</f>
        <v>699.50400000000002</v>
      </c>
      <c r="AE584" s="15">
        <f>Table3[[#This Row],[PrimaComercial Anual Asistencia]]</f>
        <v>5380.8</v>
      </c>
      <c r="AG584">
        <v>5380.8</v>
      </c>
    </row>
    <row r="585" spans="1:33" x14ac:dyDescent="0.25">
      <c r="A585" t="s">
        <v>18</v>
      </c>
      <c r="B585">
        <v>420000</v>
      </c>
      <c r="C585">
        <v>21</v>
      </c>
      <c r="D585" s="2">
        <f>Table3[[#This Row],[PrimaTécnica]]-Table3[[#This Row],[PrimaTécnica]]*SUM(Table3[[#This Row],[Gastos Adm]:[Cobranza]])</f>
        <v>2329.8485678207999</v>
      </c>
      <c r="E585">
        <v>0</v>
      </c>
      <c r="F585">
        <v>0.15</v>
      </c>
      <c r="G585">
        <v>0.05</v>
      </c>
      <c r="H585">
        <v>0.01</v>
      </c>
      <c r="I585">
        <v>0.01</v>
      </c>
      <c r="J585" s="8">
        <f>Table3[[#This Row],[PrimaTécnica]]*Table3[[#This Row],[Gastos Adm]]</f>
        <v>448.04780150400001</v>
      </c>
      <c r="K585" s="8">
        <f>Table3[[#This Row],[PrimaTécnica]]*Table3[[#This Row],[Utilidad]]</f>
        <v>149.34926716800001</v>
      </c>
      <c r="L585" s="8">
        <f>Table3[[#This Row],[PrimaTécnica]]*Table3[[#This Row],[Marketing]]</f>
        <v>29.869853433600003</v>
      </c>
      <c r="M585" s="8">
        <f>Table3[[#This Row],[PrimaTécnica]]*Table3[[#This Row],[Cobranza]]</f>
        <v>29.869853433600003</v>
      </c>
      <c r="N58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585">
        <v>21.84</v>
      </c>
      <c r="P585">
        <v>54.6</v>
      </c>
      <c r="Q585">
        <v>80.64</v>
      </c>
      <c r="R585">
        <v>44.377200000000002</v>
      </c>
      <c r="S585">
        <v>0.2</v>
      </c>
      <c r="T585">
        <v>0.02</v>
      </c>
      <c r="U585" s="8">
        <f>Table3[[#This Row],[PrimaNeta]]*Table3[[#This Row],[Comisión]]</f>
        <v>797.1106358400001</v>
      </c>
      <c r="V585" s="15">
        <f>Table3[[#This Row],[PrimaComercial Anual]]-Table3[[#This Row],[PrimaComercial Anual]]*SUM(Table3[[#This Row],[APS]:[IVA]])</f>
        <v>3985.5531792000002</v>
      </c>
      <c r="W585" s="2">
        <v>1.4800000000000001E-2</v>
      </c>
      <c r="X585" s="2">
        <v>8.4501000000000007E-2</v>
      </c>
      <c r="Y585">
        <v>0.03</v>
      </c>
      <c r="Z585">
        <v>0.13</v>
      </c>
      <c r="AA585" s="20">
        <f>Table3[[#This Row],[APS]]*Table3[[#This Row],[PrimaComercial Anual]]</f>
        <v>79.635840000000002</v>
      </c>
      <c r="AB585" s="8">
        <f>Table3[[#This Row],[PrimaComercial Anual]]*Table3[[#This Row],[Recargo adicional]]</f>
        <v>454.68298080000005</v>
      </c>
      <c r="AC585" s="8">
        <f>Table3[[#This Row],[PrimaComercial Anual]]*Table3[[#This Row],[IT]]</f>
        <v>161.42400000000001</v>
      </c>
      <c r="AD585" s="8">
        <f>Table3[[#This Row],[PrimaComercial Anual]]*Table3[[#This Row],[IVA]]</f>
        <v>699.50400000000002</v>
      </c>
      <c r="AE585" s="15">
        <f>Table3[[#This Row],[PrimaComercial Anual Asistencia]]</f>
        <v>5380.8</v>
      </c>
      <c r="AG585">
        <v>5380.8</v>
      </c>
    </row>
    <row r="586" spans="1:33" x14ac:dyDescent="0.25">
      <c r="A586" t="s">
        <v>18</v>
      </c>
      <c r="B586">
        <v>420000</v>
      </c>
      <c r="C586">
        <v>22</v>
      </c>
      <c r="D586" s="2">
        <f>Table3[[#This Row],[PrimaTécnica]]-Table3[[#This Row],[PrimaTécnica]]*SUM(Table3[[#This Row],[Gastos Adm]:[Cobranza]])</f>
        <v>2329.8485678207999</v>
      </c>
      <c r="E586">
        <v>0</v>
      </c>
      <c r="F586">
        <v>0.15</v>
      </c>
      <c r="G586">
        <v>0.05</v>
      </c>
      <c r="H586">
        <v>0.01</v>
      </c>
      <c r="I586">
        <v>0.01</v>
      </c>
      <c r="J586" s="8">
        <f>Table3[[#This Row],[PrimaTécnica]]*Table3[[#This Row],[Gastos Adm]]</f>
        <v>448.04780150400001</v>
      </c>
      <c r="K586" s="8">
        <f>Table3[[#This Row],[PrimaTécnica]]*Table3[[#This Row],[Utilidad]]</f>
        <v>149.34926716800001</v>
      </c>
      <c r="L586" s="8">
        <f>Table3[[#This Row],[PrimaTécnica]]*Table3[[#This Row],[Marketing]]</f>
        <v>29.869853433600003</v>
      </c>
      <c r="M586" s="8">
        <f>Table3[[#This Row],[PrimaTécnica]]*Table3[[#This Row],[Cobranza]]</f>
        <v>29.869853433600003</v>
      </c>
      <c r="N58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586">
        <v>21.84</v>
      </c>
      <c r="P586">
        <v>54.6</v>
      </c>
      <c r="Q586">
        <v>80.64</v>
      </c>
      <c r="R586">
        <v>44.377200000000002</v>
      </c>
      <c r="S586">
        <v>0.2</v>
      </c>
      <c r="T586">
        <v>0.02</v>
      </c>
      <c r="U586" s="8">
        <f>Table3[[#This Row],[PrimaNeta]]*Table3[[#This Row],[Comisión]]</f>
        <v>797.1106358400001</v>
      </c>
      <c r="V586" s="15">
        <f>Table3[[#This Row],[PrimaComercial Anual]]-Table3[[#This Row],[PrimaComercial Anual]]*SUM(Table3[[#This Row],[APS]:[IVA]])</f>
        <v>3985.5531792000002</v>
      </c>
      <c r="W586" s="2">
        <v>1.4800000000000001E-2</v>
      </c>
      <c r="X586" s="2">
        <v>8.4501000000000007E-2</v>
      </c>
      <c r="Y586">
        <v>0.03</v>
      </c>
      <c r="Z586">
        <v>0.13</v>
      </c>
      <c r="AA586" s="20">
        <f>Table3[[#This Row],[APS]]*Table3[[#This Row],[PrimaComercial Anual]]</f>
        <v>79.635840000000002</v>
      </c>
      <c r="AB586" s="8">
        <f>Table3[[#This Row],[PrimaComercial Anual]]*Table3[[#This Row],[Recargo adicional]]</f>
        <v>454.68298080000005</v>
      </c>
      <c r="AC586" s="8">
        <f>Table3[[#This Row],[PrimaComercial Anual]]*Table3[[#This Row],[IT]]</f>
        <v>161.42400000000001</v>
      </c>
      <c r="AD586" s="8">
        <f>Table3[[#This Row],[PrimaComercial Anual]]*Table3[[#This Row],[IVA]]</f>
        <v>699.50400000000002</v>
      </c>
      <c r="AE586" s="15">
        <f>Table3[[#This Row],[PrimaComercial Anual Asistencia]]</f>
        <v>5380.8</v>
      </c>
      <c r="AG586">
        <v>5380.8</v>
      </c>
    </row>
    <row r="587" spans="1:33" x14ac:dyDescent="0.25">
      <c r="A587" t="s">
        <v>18</v>
      </c>
      <c r="B587">
        <v>420000</v>
      </c>
      <c r="C587">
        <v>23</v>
      </c>
      <c r="D587" s="2">
        <f>Table3[[#This Row],[PrimaTécnica]]-Table3[[#This Row],[PrimaTécnica]]*SUM(Table3[[#This Row],[Gastos Adm]:[Cobranza]])</f>
        <v>2329.8485678207999</v>
      </c>
      <c r="E587">
        <v>0</v>
      </c>
      <c r="F587">
        <v>0.15</v>
      </c>
      <c r="G587">
        <v>0.05</v>
      </c>
      <c r="H587">
        <v>0.01</v>
      </c>
      <c r="I587">
        <v>0.01</v>
      </c>
      <c r="J587" s="8">
        <f>Table3[[#This Row],[PrimaTécnica]]*Table3[[#This Row],[Gastos Adm]]</f>
        <v>448.04780150400001</v>
      </c>
      <c r="K587" s="8">
        <f>Table3[[#This Row],[PrimaTécnica]]*Table3[[#This Row],[Utilidad]]</f>
        <v>149.34926716800001</v>
      </c>
      <c r="L587" s="8">
        <f>Table3[[#This Row],[PrimaTécnica]]*Table3[[#This Row],[Marketing]]</f>
        <v>29.869853433600003</v>
      </c>
      <c r="M587" s="8">
        <f>Table3[[#This Row],[PrimaTécnica]]*Table3[[#This Row],[Cobranza]]</f>
        <v>29.869853433600003</v>
      </c>
      <c r="N58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587">
        <v>21.84</v>
      </c>
      <c r="P587">
        <v>54.6</v>
      </c>
      <c r="Q587">
        <v>80.64</v>
      </c>
      <c r="R587">
        <v>44.377200000000002</v>
      </c>
      <c r="S587">
        <v>0.2</v>
      </c>
      <c r="T587">
        <v>0.02</v>
      </c>
      <c r="U587" s="8">
        <f>Table3[[#This Row],[PrimaNeta]]*Table3[[#This Row],[Comisión]]</f>
        <v>797.1106358400001</v>
      </c>
      <c r="V587" s="15">
        <f>Table3[[#This Row],[PrimaComercial Anual]]-Table3[[#This Row],[PrimaComercial Anual]]*SUM(Table3[[#This Row],[APS]:[IVA]])</f>
        <v>3985.5531792000002</v>
      </c>
      <c r="W587" s="2">
        <v>1.4800000000000001E-2</v>
      </c>
      <c r="X587" s="2">
        <v>8.4501000000000007E-2</v>
      </c>
      <c r="Y587">
        <v>0.03</v>
      </c>
      <c r="Z587">
        <v>0.13</v>
      </c>
      <c r="AA587" s="20">
        <f>Table3[[#This Row],[APS]]*Table3[[#This Row],[PrimaComercial Anual]]</f>
        <v>79.635840000000002</v>
      </c>
      <c r="AB587" s="8">
        <f>Table3[[#This Row],[PrimaComercial Anual]]*Table3[[#This Row],[Recargo adicional]]</f>
        <v>454.68298080000005</v>
      </c>
      <c r="AC587" s="8">
        <f>Table3[[#This Row],[PrimaComercial Anual]]*Table3[[#This Row],[IT]]</f>
        <v>161.42400000000001</v>
      </c>
      <c r="AD587" s="8">
        <f>Table3[[#This Row],[PrimaComercial Anual]]*Table3[[#This Row],[IVA]]</f>
        <v>699.50400000000002</v>
      </c>
      <c r="AE587" s="15">
        <f>Table3[[#This Row],[PrimaComercial Anual Asistencia]]</f>
        <v>5380.8</v>
      </c>
      <c r="AG587">
        <v>5380.8</v>
      </c>
    </row>
    <row r="588" spans="1:33" x14ac:dyDescent="0.25">
      <c r="A588" t="s">
        <v>18</v>
      </c>
      <c r="B588">
        <v>420000</v>
      </c>
      <c r="C588">
        <v>24</v>
      </c>
      <c r="D588" s="2">
        <f>Table3[[#This Row],[PrimaTécnica]]-Table3[[#This Row],[PrimaTécnica]]*SUM(Table3[[#This Row],[Gastos Adm]:[Cobranza]])</f>
        <v>2329.8485678207999</v>
      </c>
      <c r="E588">
        <v>0</v>
      </c>
      <c r="F588">
        <v>0.15</v>
      </c>
      <c r="G588">
        <v>0.05</v>
      </c>
      <c r="H588">
        <v>0.01</v>
      </c>
      <c r="I588">
        <v>0.01</v>
      </c>
      <c r="J588" s="8">
        <f>Table3[[#This Row],[PrimaTécnica]]*Table3[[#This Row],[Gastos Adm]]</f>
        <v>448.04780150400001</v>
      </c>
      <c r="K588" s="8">
        <f>Table3[[#This Row],[PrimaTécnica]]*Table3[[#This Row],[Utilidad]]</f>
        <v>149.34926716800001</v>
      </c>
      <c r="L588" s="8">
        <f>Table3[[#This Row],[PrimaTécnica]]*Table3[[#This Row],[Marketing]]</f>
        <v>29.869853433600003</v>
      </c>
      <c r="M588" s="8">
        <f>Table3[[#This Row],[PrimaTécnica]]*Table3[[#This Row],[Cobranza]]</f>
        <v>29.869853433600003</v>
      </c>
      <c r="N58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588">
        <v>21.84</v>
      </c>
      <c r="P588">
        <v>54.6</v>
      </c>
      <c r="Q588">
        <v>80.64</v>
      </c>
      <c r="R588">
        <v>44.377200000000002</v>
      </c>
      <c r="S588">
        <v>0.2</v>
      </c>
      <c r="T588">
        <v>0.02</v>
      </c>
      <c r="U588" s="8">
        <f>Table3[[#This Row],[PrimaNeta]]*Table3[[#This Row],[Comisión]]</f>
        <v>797.1106358400001</v>
      </c>
      <c r="V588" s="15">
        <f>Table3[[#This Row],[PrimaComercial Anual]]-Table3[[#This Row],[PrimaComercial Anual]]*SUM(Table3[[#This Row],[APS]:[IVA]])</f>
        <v>3985.5531792000002</v>
      </c>
      <c r="W588" s="2">
        <v>1.4800000000000001E-2</v>
      </c>
      <c r="X588" s="2">
        <v>8.4501000000000007E-2</v>
      </c>
      <c r="Y588">
        <v>0.03</v>
      </c>
      <c r="Z588">
        <v>0.13</v>
      </c>
      <c r="AA588" s="20">
        <f>Table3[[#This Row],[APS]]*Table3[[#This Row],[PrimaComercial Anual]]</f>
        <v>79.635840000000002</v>
      </c>
      <c r="AB588" s="8">
        <f>Table3[[#This Row],[PrimaComercial Anual]]*Table3[[#This Row],[Recargo adicional]]</f>
        <v>454.68298080000005</v>
      </c>
      <c r="AC588" s="8">
        <f>Table3[[#This Row],[PrimaComercial Anual]]*Table3[[#This Row],[IT]]</f>
        <v>161.42400000000001</v>
      </c>
      <c r="AD588" s="8">
        <f>Table3[[#This Row],[PrimaComercial Anual]]*Table3[[#This Row],[IVA]]</f>
        <v>699.50400000000002</v>
      </c>
      <c r="AE588" s="15">
        <f>Table3[[#This Row],[PrimaComercial Anual Asistencia]]</f>
        <v>5380.8</v>
      </c>
      <c r="AG588">
        <v>5380.8</v>
      </c>
    </row>
    <row r="589" spans="1:33" x14ac:dyDescent="0.25">
      <c r="A589" t="s">
        <v>18</v>
      </c>
      <c r="B589">
        <v>420000</v>
      </c>
      <c r="C589">
        <v>25</v>
      </c>
      <c r="D589" s="2">
        <f>Table3[[#This Row],[PrimaTécnica]]-Table3[[#This Row],[PrimaTécnica]]*SUM(Table3[[#This Row],[Gastos Adm]:[Cobranza]])</f>
        <v>2329.8485678207999</v>
      </c>
      <c r="E589">
        <v>0</v>
      </c>
      <c r="F589">
        <v>0.15</v>
      </c>
      <c r="G589">
        <v>0.05</v>
      </c>
      <c r="H589">
        <v>0.01</v>
      </c>
      <c r="I589">
        <v>0.01</v>
      </c>
      <c r="J589" s="8">
        <f>Table3[[#This Row],[PrimaTécnica]]*Table3[[#This Row],[Gastos Adm]]</f>
        <v>448.04780150400001</v>
      </c>
      <c r="K589" s="8">
        <f>Table3[[#This Row],[PrimaTécnica]]*Table3[[#This Row],[Utilidad]]</f>
        <v>149.34926716800001</v>
      </c>
      <c r="L589" s="8">
        <f>Table3[[#This Row],[PrimaTécnica]]*Table3[[#This Row],[Marketing]]</f>
        <v>29.869853433600003</v>
      </c>
      <c r="M589" s="8">
        <f>Table3[[#This Row],[PrimaTécnica]]*Table3[[#This Row],[Cobranza]]</f>
        <v>29.869853433600003</v>
      </c>
      <c r="N58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589">
        <v>21.84</v>
      </c>
      <c r="P589">
        <v>54.6</v>
      </c>
      <c r="Q589">
        <v>80.64</v>
      </c>
      <c r="R589">
        <v>44.377200000000002</v>
      </c>
      <c r="S589">
        <v>0.2</v>
      </c>
      <c r="T589">
        <v>0.02</v>
      </c>
      <c r="U589" s="8">
        <f>Table3[[#This Row],[PrimaNeta]]*Table3[[#This Row],[Comisión]]</f>
        <v>797.1106358400001</v>
      </c>
      <c r="V589" s="15">
        <f>Table3[[#This Row],[PrimaComercial Anual]]-Table3[[#This Row],[PrimaComercial Anual]]*SUM(Table3[[#This Row],[APS]:[IVA]])</f>
        <v>3985.5531792000002</v>
      </c>
      <c r="W589" s="2">
        <v>1.4800000000000001E-2</v>
      </c>
      <c r="X589" s="2">
        <v>8.4501000000000007E-2</v>
      </c>
      <c r="Y589">
        <v>0.03</v>
      </c>
      <c r="Z589">
        <v>0.13</v>
      </c>
      <c r="AA589" s="20">
        <f>Table3[[#This Row],[APS]]*Table3[[#This Row],[PrimaComercial Anual]]</f>
        <v>79.635840000000002</v>
      </c>
      <c r="AB589" s="8">
        <f>Table3[[#This Row],[PrimaComercial Anual]]*Table3[[#This Row],[Recargo adicional]]</f>
        <v>454.68298080000005</v>
      </c>
      <c r="AC589" s="8">
        <f>Table3[[#This Row],[PrimaComercial Anual]]*Table3[[#This Row],[IT]]</f>
        <v>161.42400000000001</v>
      </c>
      <c r="AD589" s="8">
        <f>Table3[[#This Row],[PrimaComercial Anual]]*Table3[[#This Row],[IVA]]</f>
        <v>699.50400000000002</v>
      </c>
      <c r="AE589" s="15">
        <f>Table3[[#This Row],[PrimaComercial Anual Asistencia]]</f>
        <v>5380.8</v>
      </c>
      <c r="AG589">
        <v>5380.8</v>
      </c>
    </row>
    <row r="590" spans="1:33" x14ac:dyDescent="0.25">
      <c r="A590" t="s">
        <v>18</v>
      </c>
      <c r="B590">
        <v>420000</v>
      </c>
      <c r="C590">
        <v>26</v>
      </c>
      <c r="D590" s="2">
        <f>Table3[[#This Row],[PrimaTécnica]]-Table3[[#This Row],[PrimaTécnica]]*SUM(Table3[[#This Row],[Gastos Adm]:[Cobranza]])</f>
        <v>2329.8485678207999</v>
      </c>
      <c r="E590">
        <v>0</v>
      </c>
      <c r="F590">
        <v>0.15</v>
      </c>
      <c r="G590">
        <v>0.05</v>
      </c>
      <c r="H590">
        <v>0.01</v>
      </c>
      <c r="I590">
        <v>0.01</v>
      </c>
      <c r="J590" s="8">
        <f>Table3[[#This Row],[PrimaTécnica]]*Table3[[#This Row],[Gastos Adm]]</f>
        <v>448.04780150400001</v>
      </c>
      <c r="K590" s="8">
        <f>Table3[[#This Row],[PrimaTécnica]]*Table3[[#This Row],[Utilidad]]</f>
        <v>149.34926716800001</v>
      </c>
      <c r="L590" s="8">
        <f>Table3[[#This Row],[PrimaTécnica]]*Table3[[#This Row],[Marketing]]</f>
        <v>29.869853433600003</v>
      </c>
      <c r="M590" s="8">
        <f>Table3[[#This Row],[PrimaTécnica]]*Table3[[#This Row],[Cobranza]]</f>
        <v>29.869853433600003</v>
      </c>
      <c r="N59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590">
        <v>21.84</v>
      </c>
      <c r="P590">
        <v>54.6</v>
      </c>
      <c r="Q590">
        <v>80.64</v>
      </c>
      <c r="R590">
        <v>44.377200000000002</v>
      </c>
      <c r="S590">
        <v>0.2</v>
      </c>
      <c r="T590">
        <v>0.02</v>
      </c>
      <c r="U590" s="8">
        <f>Table3[[#This Row],[PrimaNeta]]*Table3[[#This Row],[Comisión]]</f>
        <v>797.1106358400001</v>
      </c>
      <c r="V590" s="15">
        <f>Table3[[#This Row],[PrimaComercial Anual]]-Table3[[#This Row],[PrimaComercial Anual]]*SUM(Table3[[#This Row],[APS]:[IVA]])</f>
        <v>3985.5531792000002</v>
      </c>
      <c r="W590" s="2">
        <v>1.4800000000000001E-2</v>
      </c>
      <c r="X590" s="2">
        <v>8.4501000000000007E-2</v>
      </c>
      <c r="Y590">
        <v>0.03</v>
      </c>
      <c r="Z590">
        <v>0.13</v>
      </c>
      <c r="AA590" s="20">
        <f>Table3[[#This Row],[APS]]*Table3[[#This Row],[PrimaComercial Anual]]</f>
        <v>79.635840000000002</v>
      </c>
      <c r="AB590" s="8">
        <f>Table3[[#This Row],[PrimaComercial Anual]]*Table3[[#This Row],[Recargo adicional]]</f>
        <v>454.68298080000005</v>
      </c>
      <c r="AC590" s="8">
        <f>Table3[[#This Row],[PrimaComercial Anual]]*Table3[[#This Row],[IT]]</f>
        <v>161.42400000000001</v>
      </c>
      <c r="AD590" s="8">
        <f>Table3[[#This Row],[PrimaComercial Anual]]*Table3[[#This Row],[IVA]]</f>
        <v>699.50400000000002</v>
      </c>
      <c r="AE590" s="15">
        <f>Table3[[#This Row],[PrimaComercial Anual Asistencia]]</f>
        <v>5380.8</v>
      </c>
      <c r="AG590">
        <v>5380.8</v>
      </c>
    </row>
    <row r="591" spans="1:33" x14ac:dyDescent="0.25">
      <c r="A591" t="s">
        <v>18</v>
      </c>
      <c r="B591">
        <v>420000</v>
      </c>
      <c r="C591">
        <v>27</v>
      </c>
      <c r="D591" s="2">
        <f>Table3[[#This Row],[PrimaTécnica]]-Table3[[#This Row],[PrimaTécnica]]*SUM(Table3[[#This Row],[Gastos Adm]:[Cobranza]])</f>
        <v>2329.8485678207999</v>
      </c>
      <c r="E591">
        <v>0</v>
      </c>
      <c r="F591">
        <v>0.15</v>
      </c>
      <c r="G591">
        <v>0.05</v>
      </c>
      <c r="H591">
        <v>0.01</v>
      </c>
      <c r="I591">
        <v>0.01</v>
      </c>
      <c r="J591" s="8">
        <f>Table3[[#This Row],[PrimaTécnica]]*Table3[[#This Row],[Gastos Adm]]</f>
        <v>448.04780150400001</v>
      </c>
      <c r="K591" s="8">
        <f>Table3[[#This Row],[PrimaTécnica]]*Table3[[#This Row],[Utilidad]]</f>
        <v>149.34926716800001</v>
      </c>
      <c r="L591" s="8">
        <f>Table3[[#This Row],[PrimaTécnica]]*Table3[[#This Row],[Marketing]]</f>
        <v>29.869853433600003</v>
      </c>
      <c r="M591" s="8">
        <f>Table3[[#This Row],[PrimaTécnica]]*Table3[[#This Row],[Cobranza]]</f>
        <v>29.869853433600003</v>
      </c>
      <c r="N59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591">
        <v>21.84</v>
      </c>
      <c r="P591">
        <v>54.6</v>
      </c>
      <c r="Q591">
        <v>80.64</v>
      </c>
      <c r="R591">
        <v>44.377200000000002</v>
      </c>
      <c r="S591">
        <v>0.2</v>
      </c>
      <c r="T591">
        <v>0.02</v>
      </c>
      <c r="U591" s="8">
        <f>Table3[[#This Row],[PrimaNeta]]*Table3[[#This Row],[Comisión]]</f>
        <v>797.1106358400001</v>
      </c>
      <c r="V591" s="15">
        <f>Table3[[#This Row],[PrimaComercial Anual]]-Table3[[#This Row],[PrimaComercial Anual]]*SUM(Table3[[#This Row],[APS]:[IVA]])</f>
        <v>3985.5531792000002</v>
      </c>
      <c r="W591" s="2">
        <v>1.4800000000000001E-2</v>
      </c>
      <c r="X591" s="2">
        <v>8.4501000000000007E-2</v>
      </c>
      <c r="Y591">
        <v>0.03</v>
      </c>
      <c r="Z591">
        <v>0.13</v>
      </c>
      <c r="AA591" s="20">
        <f>Table3[[#This Row],[APS]]*Table3[[#This Row],[PrimaComercial Anual]]</f>
        <v>79.635840000000002</v>
      </c>
      <c r="AB591" s="8">
        <f>Table3[[#This Row],[PrimaComercial Anual]]*Table3[[#This Row],[Recargo adicional]]</f>
        <v>454.68298080000005</v>
      </c>
      <c r="AC591" s="8">
        <f>Table3[[#This Row],[PrimaComercial Anual]]*Table3[[#This Row],[IT]]</f>
        <v>161.42400000000001</v>
      </c>
      <c r="AD591" s="8">
        <f>Table3[[#This Row],[PrimaComercial Anual]]*Table3[[#This Row],[IVA]]</f>
        <v>699.50400000000002</v>
      </c>
      <c r="AE591" s="15">
        <f>Table3[[#This Row],[PrimaComercial Anual Asistencia]]</f>
        <v>5380.8</v>
      </c>
      <c r="AG591">
        <v>5380.8</v>
      </c>
    </row>
    <row r="592" spans="1:33" x14ac:dyDescent="0.25">
      <c r="A592" t="s">
        <v>18</v>
      </c>
      <c r="B592">
        <v>420000</v>
      </c>
      <c r="C592">
        <v>28</v>
      </c>
      <c r="D592" s="2">
        <f>Table3[[#This Row],[PrimaTécnica]]-Table3[[#This Row],[PrimaTécnica]]*SUM(Table3[[#This Row],[Gastos Adm]:[Cobranza]])</f>
        <v>2329.8485678207999</v>
      </c>
      <c r="E592">
        <v>0</v>
      </c>
      <c r="F592">
        <v>0.15</v>
      </c>
      <c r="G592">
        <v>0.05</v>
      </c>
      <c r="H592">
        <v>0.01</v>
      </c>
      <c r="I592">
        <v>0.01</v>
      </c>
      <c r="J592" s="8">
        <f>Table3[[#This Row],[PrimaTécnica]]*Table3[[#This Row],[Gastos Adm]]</f>
        <v>448.04780150400001</v>
      </c>
      <c r="K592" s="8">
        <f>Table3[[#This Row],[PrimaTécnica]]*Table3[[#This Row],[Utilidad]]</f>
        <v>149.34926716800001</v>
      </c>
      <c r="L592" s="8">
        <f>Table3[[#This Row],[PrimaTécnica]]*Table3[[#This Row],[Marketing]]</f>
        <v>29.869853433600003</v>
      </c>
      <c r="M592" s="8">
        <f>Table3[[#This Row],[PrimaTécnica]]*Table3[[#This Row],[Cobranza]]</f>
        <v>29.869853433600003</v>
      </c>
      <c r="N59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592">
        <v>21.84</v>
      </c>
      <c r="P592">
        <v>54.6</v>
      </c>
      <c r="Q592">
        <v>80.64</v>
      </c>
      <c r="R592">
        <v>44.377200000000002</v>
      </c>
      <c r="S592">
        <v>0.2</v>
      </c>
      <c r="T592">
        <v>0.02</v>
      </c>
      <c r="U592" s="8">
        <f>Table3[[#This Row],[PrimaNeta]]*Table3[[#This Row],[Comisión]]</f>
        <v>797.1106358400001</v>
      </c>
      <c r="V592" s="15">
        <f>Table3[[#This Row],[PrimaComercial Anual]]-Table3[[#This Row],[PrimaComercial Anual]]*SUM(Table3[[#This Row],[APS]:[IVA]])</f>
        <v>3985.5531792000002</v>
      </c>
      <c r="W592" s="2">
        <v>1.4800000000000001E-2</v>
      </c>
      <c r="X592" s="2">
        <v>8.4501000000000007E-2</v>
      </c>
      <c r="Y592">
        <v>0.03</v>
      </c>
      <c r="Z592">
        <v>0.13</v>
      </c>
      <c r="AA592" s="20">
        <f>Table3[[#This Row],[APS]]*Table3[[#This Row],[PrimaComercial Anual]]</f>
        <v>79.635840000000002</v>
      </c>
      <c r="AB592" s="8">
        <f>Table3[[#This Row],[PrimaComercial Anual]]*Table3[[#This Row],[Recargo adicional]]</f>
        <v>454.68298080000005</v>
      </c>
      <c r="AC592" s="8">
        <f>Table3[[#This Row],[PrimaComercial Anual]]*Table3[[#This Row],[IT]]</f>
        <v>161.42400000000001</v>
      </c>
      <c r="AD592" s="8">
        <f>Table3[[#This Row],[PrimaComercial Anual]]*Table3[[#This Row],[IVA]]</f>
        <v>699.50400000000002</v>
      </c>
      <c r="AE592" s="15">
        <f>Table3[[#This Row],[PrimaComercial Anual Asistencia]]</f>
        <v>5380.8</v>
      </c>
      <c r="AG592">
        <v>5380.8</v>
      </c>
    </row>
    <row r="593" spans="1:33" x14ac:dyDescent="0.25">
      <c r="A593" t="s">
        <v>18</v>
      </c>
      <c r="B593">
        <v>420000</v>
      </c>
      <c r="C593">
        <v>29</v>
      </c>
      <c r="D593" s="2">
        <f>Table3[[#This Row],[PrimaTécnica]]-Table3[[#This Row],[PrimaTécnica]]*SUM(Table3[[#This Row],[Gastos Adm]:[Cobranza]])</f>
        <v>2329.8485678207999</v>
      </c>
      <c r="E593">
        <v>0</v>
      </c>
      <c r="F593">
        <v>0.15</v>
      </c>
      <c r="G593">
        <v>0.05</v>
      </c>
      <c r="H593">
        <v>0.01</v>
      </c>
      <c r="I593">
        <v>0.01</v>
      </c>
      <c r="J593" s="8">
        <f>Table3[[#This Row],[PrimaTécnica]]*Table3[[#This Row],[Gastos Adm]]</f>
        <v>448.04780150400001</v>
      </c>
      <c r="K593" s="8">
        <f>Table3[[#This Row],[PrimaTécnica]]*Table3[[#This Row],[Utilidad]]</f>
        <v>149.34926716800001</v>
      </c>
      <c r="L593" s="8">
        <f>Table3[[#This Row],[PrimaTécnica]]*Table3[[#This Row],[Marketing]]</f>
        <v>29.869853433600003</v>
      </c>
      <c r="M593" s="8">
        <f>Table3[[#This Row],[PrimaTécnica]]*Table3[[#This Row],[Cobranza]]</f>
        <v>29.869853433600003</v>
      </c>
      <c r="N59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593">
        <v>21.84</v>
      </c>
      <c r="P593">
        <v>54.6</v>
      </c>
      <c r="Q593">
        <v>80.64</v>
      </c>
      <c r="R593">
        <v>44.377200000000002</v>
      </c>
      <c r="S593">
        <v>0.2</v>
      </c>
      <c r="T593">
        <v>0.02</v>
      </c>
      <c r="U593" s="8">
        <f>Table3[[#This Row],[PrimaNeta]]*Table3[[#This Row],[Comisión]]</f>
        <v>797.1106358400001</v>
      </c>
      <c r="V593" s="15">
        <f>Table3[[#This Row],[PrimaComercial Anual]]-Table3[[#This Row],[PrimaComercial Anual]]*SUM(Table3[[#This Row],[APS]:[IVA]])</f>
        <v>3985.5531792000002</v>
      </c>
      <c r="W593" s="2">
        <v>1.4800000000000001E-2</v>
      </c>
      <c r="X593" s="2">
        <v>8.4501000000000007E-2</v>
      </c>
      <c r="Y593">
        <v>0.03</v>
      </c>
      <c r="Z593">
        <v>0.13</v>
      </c>
      <c r="AA593" s="20">
        <f>Table3[[#This Row],[APS]]*Table3[[#This Row],[PrimaComercial Anual]]</f>
        <v>79.635840000000002</v>
      </c>
      <c r="AB593" s="8">
        <f>Table3[[#This Row],[PrimaComercial Anual]]*Table3[[#This Row],[Recargo adicional]]</f>
        <v>454.68298080000005</v>
      </c>
      <c r="AC593" s="8">
        <f>Table3[[#This Row],[PrimaComercial Anual]]*Table3[[#This Row],[IT]]</f>
        <v>161.42400000000001</v>
      </c>
      <c r="AD593" s="8">
        <f>Table3[[#This Row],[PrimaComercial Anual]]*Table3[[#This Row],[IVA]]</f>
        <v>699.50400000000002</v>
      </c>
      <c r="AE593" s="15">
        <f>Table3[[#This Row],[PrimaComercial Anual Asistencia]]</f>
        <v>5380.8</v>
      </c>
      <c r="AG593">
        <v>5380.8</v>
      </c>
    </row>
    <row r="594" spans="1:33" x14ac:dyDescent="0.25">
      <c r="A594" t="s">
        <v>18</v>
      </c>
      <c r="B594">
        <v>420000</v>
      </c>
      <c r="C594">
        <v>30</v>
      </c>
      <c r="D594" s="2">
        <f>Table3[[#This Row],[PrimaTécnica]]-Table3[[#This Row],[PrimaTécnica]]*SUM(Table3[[#This Row],[Gastos Adm]:[Cobranza]])</f>
        <v>2403.6150775104002</v>
      </c>
      <c r="E594">
        <v>0</v>
      </c>
      <c r="F594">
        <v>0.15</v>
      </c>
      <c r="G594">
        <v>0.05</v>
      </c>
      <c r="H594">
        <v>0.01</v>
      </c>
      <c r="I594">
        <v>0.01</v>
      </c>
      <c r="J594" s="8">
        <f>Table3[[#This Row],[PrimaTécnica]]*Table3[[#This Row],[Gastos Adm]]</f>
        <v>462.23366875200003</v>
      </c>
      <c r="K594" s="8">
        <f>Table3[[#This Row],[PrimaTécnica]]*Table3[[#This Row],[Utilidad]]</f>
        <v>154.07788958400002</v>
      </c>
      <c r="L594" s="8">
        <f>Table3[[#This Row],[PrimaTécnica]]*Table3[[#This Row],[Marketing]]</f>
        <v>30.815577916800002</v>
      </c>
      <c r="M594" s="8">
        <f>Table3[[#This Row],[PrimaTécnica]]*Table3[[#This Row],[Cobranza]]</f>
        <v>30.815577916800002</v>
      </c>
      <c r="N59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594">
        <v>21.84</v>
      </c>
      <c r="P594">
        <v>54.6</v>
      </c>
      <c r="Q594">
        <v>80.64</v>
      </c>
      <c r="R594">
        <v>44.377200000000002</v>
      </c>
      <c r="S594">
        <v>0.2</v>
      </c>
      <c r="T594">
        <v>0.02</v>
      </c>
      <c r="U594" s="8">
        <f>Table3[[#This Row],[PrimaNeta]]*Table3[[#This Row],[Comisión]]</f>
        <v>820.75374792000002</v>
      </c>
      <c r="V594" s="15">
        <f>Table3[[#This Row],[PrimaComercial Anual]]-Table3[[#This Row],[PrimaComercial Anual]]*SUM(Table3[[#This Row],[APS]:[IVA]])</f>
        <v>4103.7687396000001</v>
      </c>
      <c r="W594" s="2">
        <v>1.4800000000000001E-2</v>
      </c>
      <c r="X594" s="2">
        <v>8.4501000000000007E-2</v>
      </c>
      <c r="Y594">
        <v>0.03</v>
      </c>
      <c r="Z594">
        <v>0.13</v>
      </c>
      <c r="AA594" s="20">
        <f>Table3[[#This Row],[APS]]*Table3[[#This Row],[PrimaComercial Anual]]</f>
        <v>81.997919999999993</v>
      </c>
      <c r="AB594" s="8">
        <f>Table3[[#This Row],[PrimaComercial Anual]]*Table3[[#This Row],[Recargo adicional]]</f>
        <v>468.16934040000001</v>
      </c>
      <c r="AC594" s="8">
        <f>Table3[[#This Row],[PrimaComercial Anual]]*Table3[[#This Row],[IT]]</f>
        <v>166.21199999999999</v>
      </c>
      <c r="AD594" s="8">
        <f>Table3[[#This Row],[PrimaComercial Anual]]*Table3[[#This Row],[IVA]]</f>
        <v>720.25199999999995</v>
      </c>
      <c r="AE594" s="15">
        <f>Table3[[#This Row],[PrimaComercial Anual Asistencia]]</f>
        <v>5540.4</v>
      </c>
      <c r="AG594">
        <v>5540.4</v>
      </c>
    </row>
    <row r="595" spans="1:33" x14ac:dyDescent="0.25">
      <c r="A595" t="s">
        <v>18</v>
      </c>
      <c r="B595">
        <v>420000</v>
      </c>
      <c r="C595">
        <v>31</v>
      </c>
      <c r="D595" s="2">
        <f>Table3[[#This Row],[PrimaTécnica]]-Table3[[#This Row],[PrimaTécnica]]*SUM(Table3[[#This Row],[Gastos Adm]:[Cobranza]])</f>
        <v>2403.6150775104002</v>
      </c>
      <c r="E595">
        <v>0</v>
      </c>
      <c r="F595">
        <v>0.15</v>
      </c>
      <c r="G595">
        <v>0.05</v>
      </c>
      <c r="H595">
        <v>0.01</v>
      </c>
      <c r="I595">
        <v>0.01</v>
      </c>
      <c r="J595" s="8">
        <f>Table3[[#This Row],[PrimaTécnica]]*Table3[[#This Row],[Gastos Adm]]</f>
        <v>462.23366875200003</v>
      </c>
      <c r="K595" s="8">
        <f>Table3[[#This Row],[PrimaTécnica]]*Table3[[#This Row],[Utilidad]]</f>
        <v>154.07788958400002</v>
      </c>
      <c r="L595" s="8">
        <f>Table3[[#This Row],[PrimaTécnica]]*Table3[[#This Row],[Marketing]]</f>
        <v>30.815577916800002</v>
      </c>
      <c r="M595" s="8">
        <f>Table3[[#This Row],[PrimaTécnica]]*Table3[[#This Row],[Cobranza]]</f>
        <v>30.815577916800002</v>
      </c>
      <c r="N59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595">
        <v>21.84</v>
      </c>
      <c r="P595">
        <v>54.6</v>
      </c>
      <c r="Q595">
        <v>80.64</v>
      </c>
      <c r="R595">
        <v>44.377200000000002</v>
      </c>
      <c r="S595">
        <v>0.2</v>
      </c>
      <c r="T595">
        <v>0.02</v>
      </c>
      <c r="U595" s="8">
        <f>Table3[[#This Row],[PrimaNeta]]*Table3[[#This Row],[Comisión]]</f>
        <v>820.75374792000002</v>
      </c>
      <c r="V595" s="15">
        <f>Table3[[#This Row],[PrimaComercial Anual]]-Table3[[#This Row],[PrimaComercial Anual]]*SUM(Table3[[#This Row],[APS]:[IVA]])</f>
        <v>4103.7687396000001</v>
      </c>
      <c r="W595" s="2">
        <v>1.4800000000000001E-2</v>
      </c>
      <c r="X595" s="2">
        <v>8.4501000000000007E-2</v>
      </c>
      <c r="Y595">
        <v>0.03</v>
      </c>
      <c r="Z595">
        <v>0.13</v>
      </c>
      <c r="AA595" s="20">
        <f>Table3[[#This Row],[APS]]*Table3[[#This Row],[PrimaComercial Anual]]</f>
        <v>81.997919999999993</v>
      </c>
      <c r="AB595" s="8">
        <f>Table3[[#This Row],[PrimaComercial Anual]]*Table3[[#This Row],[Recargo adicional]]</f>
        <v>468.16934040000001</v>
      </c>
      <c r="AC595" s="8">
        <f>Table3[[#This Row],[PrimaComercial Anual]]*Table3[[#This Row],[IT]]</f>
        <v>166.21199999999999</v>
      </c>
      <c r="AD595" s="8">
        <f>Table3[[#This Row],[PrimaComercial Anual]]*Table3[[#This Row],[IVA]]</f>
        <v>720.25199999999995</v>
      </c>
      <c r="AE595" s="15">
        <f>Table3[[#This Row],[PrimaComercial Anual Asistencia]]</f>
        <v>5540.4</v>
      </c>
      <c r="AG595">
        <v>5540.4</v>
      </c>
    </row>
    <row r="596" spans="1:33" x14ac:dyDescent="0.25">
      <c r="A596" t="s">
        <v>18</v>
      </c>
      <c r="B596">
        <v>420000</v>
      </c>
      <c r="C596">
        <v>32</v>
      </c>
      <c r="D596" s="2">
        <f>Table3[[#This Row],[PrimaTécnica]]-Table3[[#This Row],[PrimaTécnica]]*SUM(Table3[[#This Row],[Gastos Adm]:[Cobranza]])</f>
        <v>2403.6150775104002</v>
      </c>
      <c r="E596">
        <v>0</v>
      </c>
      <c r="F596">
        <v>0.15</v>
      </c>
      <c r="G596">
        <v>0.05</v>
      </c>
      <c r="H596">
        <v>0.01</v>
      </c>
      <c r="I596">
        <v>0.01</v>
      </c>
      <c r="J596" s="8">
        <f>Table3[[#This Row],[PrimaTécnica]]*Table3[[#This Row],[Gastos Adm]]</f>
        <v>462.23366875200003</v>
      </c>
      <c r="K596" s="8">
        <f>Table3[[#This Row],[PrimaTécnica]]*Table3[[#This Row],[Utilidad]]</f>
        <v>154.07788958400002</v>
      </c>
      <c r="L596" s="8">
        <f>Table3[[#This Row],[PrimaTécnica]]*Table3[[#This Row],[Marketing]]</f>
        <v>30.815577916800002</v>
      </c>
      <c r="M596" s="8">
        <f>Table3[[#This Row],[PrimaTécnica]]*Table3[[#This Row],[Cobranza]]</f>
        <v>30.815577916800002</v>
      </c>
      <c r="N59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596">
        <v>21.84</v>
      </c>
      <c r="P596">
        <v>54.6</v>
      </c>
      <c r="Q596">
        <v>80.64</v>
      </c>
      <c r="R596">
        <v>44.377200000000002</v>
      </c>
      <c r="S596">
        <v>0.2</v>
      </c>
      <c r="T596">
        <v>0.02</v>
      </c>
      <c r="U596" s="8">
        <f>Table3[[#This Row],[PrimaNeta]]*Table3[[#This Row],[Comisión]]</f>
        <v>820.75374792000002</v>
      </c>
      <c r="V596" s="15">
        <f>Table3[[#This Row],[PrimaComercial Anual]]-Table3[[#This Row],[PrimaComercial Anual]]*SUM(Table3[[#This Row],[APS]:[IVA]])</f>
        <v>4103.7687396000001</v>
      </c>
      <c r="W596" s="2">
        <v>1.4800000000000001E-2</v>
      </c>
      <c r="X596" s="2">
        <v>8.4501000000000007E-2</v>
      </c>
      <c r="Y596">
        <v>0.03</v>
      </c>
      <c r="Z596">
        <v>0.13</v>
      </c>
      <c r="AA596" s="20">
        <f>Table3[[#This Row],[APS]]*Table3[[#This Row],[PrimaComercial Anual]]</f>
        <v>81.997919999999993</v>
      </c>
      <c r="AB596" s="8">
        <f>Table3[[#This Row],[PrimaComercial Anual]]*Table3[[#This Row],[Recargo adicional]]</f>
        <v>468.16934040000001</v>
      </c>
      <c r="AC596" s="8">
        <f>Table3[[#This Row],[PrimaComercial Anual]]*Table3[[#This Row],[IT]]</f>
        <v>166.21199999999999</v>
      </c>
      <c r="AD596" s="8">
        <f>Table3[[#This Row],[PrimaComercial Anual]]*Table3[[#This Row],[IVA]]</f>
        <v>720.25199999999995</v>
      </c>
      <c r="AE596" s="15">
        <f>Table3[[#This Row],[PrimaComercial Anual Asistencia]]</f>
        <v>5540.4</v>
      </c>
      <c r="AG596">
        <v>5540.4</v>
      </c>
    </row>
    <row r="597" spans="1:33" x14ac:dyDescent="0.25">
      <c r="A597" t="s">
        <v>18</v>
      </c>
      <c r="B597">
        <v>420000</v>
      </c>
      <c r="C597">
        <v>33</v>
      </c>
      <c r="D597" s="2">
        <f>Table3[[#This Row],[PrimaTécnica]]-Table3[[#This Row],[PrimaTécnica]]*SUM(Table3[[#This Row],[Gastos Adm]:[Cobranza]])</f>
        <v>2403.6150775104002</v>
      </c>
      <c r="E597">
        <v>0</v>
      </c>
      <c r="F597">
        <v>0.15</v>
      </c>
      <c r="G597">
        <v>0.05</v>
      </c>
      <c r="H597">
        <v>0.01</v>
      </c>
      <c r="I597">
        <v>0.01</v>
      </c>
      <c r="J597" s="8">
        <f>Table3[[#This Row],[PrimaTécnica]]*Table3[[#This Row],[Gastos Adm]]</f>
        <v>462.23366875200003</v>
      </c>
      <c r="K597" s="8">
        <f>Table3[[#This Row],[PrimaTécnica]]*Table3[[#This Row],[Utilidad]]</f>
        <v>154.07788958400002</v>
      </c>
      <c r="L597" s="8">
        <f>Table3[[#This Row],[PrimaTécnica]]*Table3[[#This Row],[Marketing]]</f>
        <v>30.815577916800002</v>
      </c>
      <c r="M597" s="8">
        <f>Table3[[#This Row],[PrimaTécnica]]*Table3[[#This Row],[Cobranza]]</f>
        <v>30.815577916800002</v>
      </c>
      <c r="N59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597">
        <v>21.84</v>
      </c>
      <c r="P597">
        <v>54.6</v>
      </c>
      <c r="Q597">
        <v>80.64</v>
      </c>
      <c r="R597">
        <v>44.377200000000002</v>
      </c>
      <c r="S597">
        <v>0.2</v>
      </c>
      <c r="T597">
        <v>0.02</v>
      </c>
      <c r="U597" s="8">
        <f>Table3[[#This Row],[PrimaNeta]]*Table3[[#This Row],[Comisión]]</f>
        <v>820.75374792000002</v>
      </c>
      <c r="V597" s="15">
        <f>Table3[[#This Row],[PrimaComercial Anual]]-Table3[[#This Row],[PrimaComercial Anual]]*SUM(Table3[[#This Row],[APS]:[IVA]])</f>
        <v>4103.7687396000001</v>
      </c>
      <c r="W597" s="2">
        <v>1.4800000000000001E-2</v>
      </c>
      <c r="X597" s="2">
        <v>8.4501000000000007E-2</v>
      </c>
      <c r="Y597">
        <v>0.03</v>
      </c>
      <c r="Z597">
        <v>0.13</v>
      </c>
      <c r="AA597" s="20">
        <f>Table3[[#This Row],[APS]]*Table3[[#This Row],[PrimaComercial Anual]]</f>
        <v>81.997919999999993</v>
      </c>
      <c r="AB597" s="8">
        <f>Table3[[#This Row],[PrimaComercial Anual]]*Table3[[#This Row],[Recargo adicional]]</f>
        <v>468.16934040000001</v>
      </c>
      <c r="AC597" s="8">
        <f>Table3[[#This Row],[PrimaComercial Anual]]*Table3[[#This Row],[IT]]</f>
        <v>166.21199999999999</v>
      </c>
      <c r="AD597" s="8">
        <f>Table3[[#This Row],[PrimaComercial Anual]]*Table3[[#This Row],[IVA]]</f>
        <v>720.25199999999995</v>
      </c>
      <c r="AE597" s="15">
        <f>Table3[[#This Row],[PrimaComercial Anual Asistencia]]</f>
        <v>5540.4</v>
      </c>
      <c r="AG597">
        <v>5540.4</v>
      </c>
    </row>
    <row r="598" spans="1:33" x14ac:dyDescent="0.25">
      <c r="A598" t="s">
        <v>18</v>
      </c>
      <c r="B598">
        <v>420000</v>
      </c>
      <c r="C598">
        <v>34</v>
      </c>
      <c r="D598" s="2">
        <f>Table3[[#This Row],[PrimaTécnica]]-Table3[[#This Row],[PrimaTécnica]]*SUM(Table3[[#This Row],[Gastos Adm]:[Cobranza]])</f>
        <v>2403.6150775104002</v>
      </c>
      <c r="E598">
        <v>0</v>
      </c>
      <c r="F598">
        <v>0.15</v>
      </c>
      <c r="G598">
        <v>0.05</v>
      </c>
      <c r="H598">
        <v>0.01</v>
      </c>
      <c r="I598">
        <v>0.01</v>
      </c>
      <c r="J598" s="8">
        <f>Table3[[#This Row],[PrimaTécnica]]*Table3[[#This Row],[Gastos Adm]]</f>
        <v>462.23366875200003</v>
      </c>
      <c r="K598" s="8">
        <f>Table3[[#This Row],[PrimaTécnica]]*Table3[[#This Row],[Utilidad]]</f>
        <v>154.07788958400002</v>
      </c>
      <c r="L598" s="8">
        <f>Table3[[#This Row],[PrimaTécnica]]*Table3[[#This Row],[Marketing]]</f>
        <v>30.815577916800002</v>
      </c>
      <c r="M598" s="8">
        <f>Table3[[#This Row],[PrimaTécnica]]*Table3[[#This Row],[Cobranza]]</f>
        <v>30.815577916800002</v>
      </c>
      <c r="N59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598">
        <v>21.84</v>
      </c>
      <c r="P598">
        <v>54.6</v>
      </c>
      <c r="Q598">
        <v>80.64</v>
      </c>
      <c r="R598">
        <v>44.377200000000002</v>
      </c>
      <c r="S598">
        <v>0.2</v>
      </c>
      <c r="T598">
        <v>0.02</v>
      </c>
      <c r="U598" s="8">
        <f>Table3[[#This Row],[PrimaNeta]]*Table3[[#This Row],[Comisión]]</f>
        <v>820.75374792000002</v>
      </c>
      <c r="V598" s="15">
        <f>Table3[[#This Row],[PrimaComercial Anual]]-Table3[[#This Row],[PrimaComercial Anual]]*SUM(Table3[[#This Row],[APS]:[IVA]])</f>
        <v>4103.7687396000001</v>
      </c>
      <c r="W598" s="2">
        <v>1.4800000000000001E-2</v>
      </c>
      <c r="X598" s="2">
        <v>8.4501000000000007E-2</v>
      </c>
      <c r="Y598">
        <v>0.03</v>
      </c>
      <c r="Z598">
        <v>0.13</v>
      </c>
      <c r="AA598" s="20">
        <f>Table3[[#This Row],[APS]]*Table3[[#This Row],[PrimaComercial Anual]]</f>
        <v>81.997919999999993</v>
      </c>
      <c r="AB598" s="8">
        <f>Table3[[#This Row],[PrimaComercial Anual]]*Table3[[#This Row],[Recargo adicional]]</f>
        <v>468.16934040000001</v>
      </c>
      <c r="AC598" s="8">
        <f>Table3[[#This Row],[PrimaComercial Anual]]*Table3[[#This Row],[IT]]</f>
        <v>166.21199999999999</v>
      </c>
      <c r="AD598" s="8">
        <f>Table3[[#This Row],[PrimaComercial Anual]]*Table3[[#This Row],[IVA]]</f>
        <v>720.25199999999995</v>
      </c>
      <c r="AE598" s="15">
        <f>Table3[[#This Row],[PrimaComercial Anual Asistencia]]</f>
        <v>5540.4</v>
      </c>
      <c r="AG598">
        <v>5540.4</v>
      </c>
    </row>
    <row r="599" spans="1:33" x14ac:dyDescent="0.25">
      <c r="A599" t="s">
        <v>18</v>
      </c>
      <c r="B599">
        <v>420000</v>
      </c>
      <c r="C599">
        <v>35</v>
      </c>
      <c r="D599" s="2">
        <f>Table3[[#This Row],[PrimaTécnica]]-Table3[[#This Row],[PrimaTécnica]]*SUM(Table3[[#This Row],[Gastos Adm]:[Cobranza]])</f>
        <v>2403.6150775104002</v>
      </c>
      <c r="E599">
        <v>0</v>
      </c>
      <c r="F599">
        <v>0.15</v>
      </c>
      <c r="G599">
        <v>0.05</v>
      </c>
      <c r="H599">
        <v>0.01</v>
      </c>
      <c r="I599">
        <v>0.01</v>
      </c>
      <c r="J599" s="8">
        <f>Table3[[#This Row],[PrimaTécnica]]*Table3[[#This Row],[Gastos Adm]]</f>
        <v>462.23366875200003</v>
      </c>
      <c r="K599" s="8">
        <f>Table3[[#This Row],[PrimaTécnica]]*Table3[[#This Row],[Utilidad]]</f>
        <v>154.07788958400002</v>
      </c>
      <c r="L599" s="8">
        <f>Table3[[#This Row],[PrimaTécnica]]*Table3[[#This Row],[Marketing]]</f>
        <v>30.815577916800002</v>
      </c>
      <c r="M599" s="8">
        <f>Table3[[#This Row],[PrimaTécnica]]*Table3[[#This Row],[Cobranza]]</f>
        <v>30.815577916800002</v>
      </c>
      <c r="N59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599">
        <v>21.84</v>
      </c>
      <c r="P599">
        <v>54.6</v>
      </c>
      <c r="Q599">
        <v>80.64</v>
      </c>
      <c r="R599">
        <v>44.377200000000002</v>
      </c>
      <c r="S599">
        <v>0.2</v>
      </c>
      <c r="T599">
        <v>0.02</v>
      </c>
      <c r="U599" s="8">
        <f>Table3[[#This Row],[PrimaNeta]]*Table3[[#This Row],[Comisión]]</f>
        <v>820.75374792000002</v>
      </c>
      <c r="V599" s="15">
        <f>Table3[[#This Row],[PrimaComercial Anual]]-Table3[[#This Row],[PrimaComercial Anual]]*SUM(Table3[[#This Row],[APS]:[IVA]])</f>
        <v>4103.7687396000001</v>
      </c>
      <c r="W599" s="2">
        <v>1.4800000000000001E-2</v>
      </c>
      <c r="X599" s="2">
        <v>8.4501000000000007E-2</v>
      </c>
      <c r="Y599">
        <v>0.03</v>
      </c>
      <c r="Z599">
        <v>0.13</v>
      </c>
      <c r="AA599" s="20">
        <f>Table3[[#This Row],[APS]]*Table3[[#This Row],[PrimaComercial Anual]]</f>
        <v>81.997919999999993</v>
      </c>
      <c r="AB599" s="8">
        <f>Table3[[#This Row],[PrimaComercial Anual]]*Table3[[#This Row],[Recargo adicional]]</f>
        <v>468.16934040000001</v>
      </c>
      <c r="AC599" s="8">
        <f>Table3[[#This Row],[PrimaComercial Anual]]*Table3[[#This Row],[IT]]</f>
        <v>166.21199999999999</v>
      </c>
      <c r="AD599" s="8">
        <f>Table3[[#This Row],[PrimaComercial Anual]]*Table3[[#This Row],[IVA]]</f>
        <v>720.25199999999995</v>
      </c>
      <c r="AE599" s="15">
        <f>Table3[[#This Row],[PrimaComercial Anual Asistencia]]</f>
        <v>5540.4</v>
      </c>
      <c r="AG599">
        <v>5540.4</v>
      </c>
    </row>
    <row r="600" spans="1:33" x14ac:dyDescent="0.25">
      <c r="A600" t="s">
        <v>18</v>
      </c>
      <c r="B600">
        <v>420000</v>
      </c>
      <c r="C600">
        <v>36</v>
      </c>
      <c r="D600" s="2">
        <f>Table3[[#This Row],[PrimaTécnica]]-Table3[[#This Row],[PrimaTécnica]]*SUM(Table3[[#This Row],[Gastos Adm]:[Cobranza]])</f>
        <v>2403.6150775104002</v>
      </c>
      <c r="E600">
        <v>0</v>
      </c>
      <c r="F600">
        <v>0.15</v>
      </c>
      <c r="G600">
        <v>0.05</v>
      </c>
      <c r="H600">
        <v>0.01</v>
      </c>
      <c r="I600">
        <v>0.01</v>
      </c>
      <c r="J600" s="8">
        <f>Table3[[#This Row],[PrimaTécnica]]*Table3[[#This Row],[Gastos Adm]]</f>
        <v>462.23366875200003</v>
      </c>
      <c r="K600" s="8">
        <f>Table3[[#This Row],[PrimaTécnica]]*Table3[[#This Row],[Utilidad]]</f>
        <v>154.07788958400002</v>
      </c>
      <c r="L600" s="8">
        <f>Table3[[#This Row],[PrimaTécnica]]*Table3[[#This Row],[Marketing]]</f>
        <v>30.815577916800002</v>
      </c>
      <c r="M600" s="8">
        <f>Table3[[#This Row],[PrimaTécnica]]*Table3[[#This Row],[Cobranza]]</f>
        <v>30.815577916800002</v>
      </c>
      <c r="N60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600">
        <v>21.84</v>
      </c>
      <c r="P600">
        <v>54.6</v>
      </c>
      <c r="Q600">
        <v>80.64</v>
      </c>
      <c r="R600">
        <v>44.377200000000002</v>
      </c>
      <c r="S600">
        <v>0.2</v>
      </c>
      <c r="T600">
        <v>0.02</v>
      </c>
      <c r="U600" s="8">
        <f>Table3[[#This Row],[PrimaNeta]]*Table3[[#This Row],[Comisión]]</f>
        <v>820.75374792000002</v>
      </c>
      <c r="V600" s="15">
        <f>Table3[[#This Row],[PrimaComercial Anual]]-Table3[[#This Row],[PrimaComercial Anual]]*SUM(Table3[[#This Row],[APS]:[IVA]])</f>
        <v>4103.7687396000001</v>
      </c>
      <c r="W600" s="2">
        <v>1.4800000000000001E-2</v>
      </c>
      <c r="X600" s="2">
        <v>8.4501000000000007E-2</v>
      </c>
      <c r="Y600">
        <v>0.03</v>
      </c>
      <c r="Z600">
        <v>0.13</v>
      </c>
      <c r="AA600" s="20">
        <f>Table3[[#This Row],[APS]]*Table3[[#This Row],[PrimaComercial Anual]]</f>
        <v>81.997919999999993</v>
      </c>
      <c r="AB600" s="8">
        <f>Table3[[#This Row],[PrimaComercial Anual]]*Table3[[#This Row],[Recargo adicional]]</f>
        <v>468.16934040000001</v>
      </c>
      <c r="AC600" s="8">
        <f>Table3[[#This Row],[PrimaComercial Anual]]*Table3[[#This Row],[IT]]</f>
        <v>166.21199999999999</v>
      </c>
      <c r="AD600" s="8">
        <f>Table3[[#This Row],[PrimaComercial Anual]]*Table3[[#This Row],[IVA]]</f>
        <v>720.25199999999995</v>
      </c>
      <c r="AE600" s="15">
        <f>Table3[[#This Row],[PrimaComercial Anual Asistencia]]</f>
        <v>5540.4</v>
      </c>
      <c r="AG600">
        <v>5540.4</v>
      </c>
    </row>
    <row r="601" spans="1:33" x14ac:dyDescent="0.25">
      <c r="A601" t="s">
        <v>18</v>
      </c>
      <c r="B601">
        <v>420000</v>
      </c>
      <c r="C601">
        <v>37</v>
      </c>
      <c r="D601" s="2">
        <f>Table3[[#This Row],[PrimaTécnica]]-Table3[[#This Row],[PrimaTécnica]]*SUM(Table3[[#This Row],[Gastos Adm]:[Cobranza]])</f>
        <v>2403.6150775104002</v>
      </c>
      <c r="E601">
        <v>0</v>
      </c>
      <c r="F601">
        <v>0.15</v>
      </c>
      <c r="G601">
        <v>0.05</v>
      </c>
      <c r="H601">
        <v>0.01</v>
      </c>
      <c r="I601">
        <v>0.01</v>
      </c>
      <c r="J601" s="8">
        <f>Table3[[#This Row],[PrimaTécnica]]*Table3[[#This Row],[Gastos Adm]]</f>
        <v>462.23366875200003</v>
      </c>
      <c r="K601" s="8">
        <f>Table3[[#This Row],[PrimaTécnica]]*Table3[[#This Row],[Utilidad]]</f>
        <v>154.07788958400002</v>
      </c>
      <c r="L601" s="8">
        <f>Table3[[#This Row],[PrimaTécnica]]*Table3[[#This Row],[Marketing]]</f>
        <v>30.815577916800002</v>
      </c>
      <c r="M601" s="8">
        <f>Table3[[#This Row],[PrimaTécnica]]*Table3[[#This Row],[Cobranza]]</f>
        <v>30.815577916800002</v>
      </c>
      <c r="N60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601">
        <v>21.84</v>
      </c>
      <c r="P601">
        <v>54.6</v>
      </c>
      <c r="Q601">
        <v>80.64</v>
      </c>
      <c r="R601">
        <v>44.377200000000002</v>
      </c>
      <c r="S601">
        <v>0.2</v>
      </c>
      <c r="T601">
        <v>0.02</v>
      </c>
      <c r="U601" s="8">
        <f>Table3[[#This Row],[PrimaNeta]]*Table3[[#This Row],[Comisión]]</f>
        <v>820.75374792000002</v>
      </c>
      <c r="V601" s="15">
        <f>Table3[[#This Row],[PrimaComercial Anual]]-Table3[[#This Row],[PrimaComercial Anual]]*SUM(Table3[[#This Row],[APS]:[IVA]])</f>
        <v>4103.7687396000001</v>
      </c>
      <c r="W601" s="2">
        <v>1.4800000000000001E-2</v>
      </c>
      <c r="X601" s="2">
        <v>8.4501000000000007E-2</v>
      </c>
      <c r="Y601">
        <v>0.03</v>
      </c>
      <c r="Z601">
        <v>0.13</v>
      </c>
      <c r="AA601" s="20">
        <f>Table3[[#This Row],[APS]]*Table3[[#This Row],[PrimaComercial Anual]]</f>
        <v>81.997919999999993</v>
      </c>
      <c r="AB601" s="8">
        <f>Table3[[#This Row],[PrimaComercial Anual]]*Table3[[#This Row],[Recargo adicional]]</f>
        <v>468.16934040000001</v>
      </c>
      <c r="AC601" s="8">
        <f>Table3[[#This Row],[PrimaComercial Anual]]*Table3[[#This Row],[IT]]</f>
        <v>166.21199999999999</v>
      </c>
      <c r="AD601" s="8">
        <f>Table3[[#This Row],[PrimaComercial Anual]]*Table3[[#This Row],[IVA]]</f>
        <v>720.25199999999995</v>
      </c>
      <c r="AE601" s="15">
        <f>Table3[[#This Row],[PrimaComercial Anual Asistencia]]</f>
        <v>5540.4</v>
      </c>
      <c r="AG601">
        <v>5540.4</v>
      </c>
    </row>
    <row r="602" spans="1:33" x14ac:dyDescent="0.25">
      <c r="A602" t="s">
        <v>18</v>
      </c>
      <c r="B602">
        <v>420000</v>
      </c>
      <c r="C602">
        <v>38</v>
      </c>
      <c r="D602" s="2">
        <f>Table3[[#This Row],[PrimaTécnica]]-Table3[[#This Row],[PrimaTécnica]]*SUM(Table3[[#This Row],[Gastos Adm]:[Cobranza]])</f>
        <v>2403.6150775104002</v>
      </c>
      <c r="E602">
        <v>0</v>
      </c>
      <c r="F602">
        <v>0.15</v>
      </c>
      <c r="G602">
        <v>0.05</v>
      </c>
      <c r="H602">
        <v>0.01</v>
      </c>
      <c r="I602">
        <v>0.01</v>
      </c>
      <c r="J602" s="8">
        <f>Table3[[#This Row],[PrimaTécnica]]*Table3[[#This Row],[Gastos Adm]]</f>
        <v>462.23366875200003</v>
      </c>
      <c r="K602" s="8">
        <f>Table3[[#This Row],[PrimaTécnica]]*Table3[[#This Row],[Utilidad]]</f>
        <v>154.07788958400002</v>
      </c>
      <c r="L602" s="8">
        <f>Table3[[#This Row],[PrimaTécnica]]*Table3[[#This Row],[Marketing]]</f>
        <v>30.815577916800002</v>
      </c>
      <c r="M602" s="8">
        <f>Table3[[#This Row],[PrimaTécnica]]*Table3[[#This Row],[Cobranza]]</f>
        <v>30.815577916800002</v>
      </c>
      <c r="N60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602">
        <v>21.84</v>
      </c>
      <c r="P602">
        <v>54.6</v>
      </c>
      <c r="Q602">
        <v>80.64</v>
      </c>
      <c r="R602">
        <v>44.377200000000002</v>
      </c>
      <c r="S602">
        <v>0.2</v>
      </c>
      <c r="T602">
        <v>0.02</v>
      </c>
      <c r="U602" s="8">
        <f>Table3[[#This Row],[PrimaNeta]]*Table3[[#This Row],[Comisión]]</f>
        <v>820.75374792000002</v>
      </c>
      <c r="V602" s="15">
        <f>Table3[[#This Row],[PrimaComercial Anual]]-Table3[[#This Row],[PrimaComercial Anual]]*SUM(Table3[[#This Row],[APS]:[IVA]])</f>
        <v>4103.7687396000001</v>
      </c>
      <c r="W602" s="2">
        <v>1.4800000000000001E-2</v>
      </c>
      <c r="X602" s="2">
        <v>8.4501000000000007E-2</v>
      </c>
      <c r="Y602">
        <v>0.03</v>
      </c>
      <c r="Z602">
        <v>0.13</v>
      </c>
      <c r="AA602" s="20">
        <f>Table3[[#This Row],[APS]]*Table3[[#This Row],[PrimaComercial Anual]]</f>
        <v>81.997919999999993</v>
      </c>
      <c r="AB602" s="8">
        <f>Table3[[#This Row],[PrimaComercial Anual]]*Table3[[#This Row],[Recargo adicional]]</f>
        <v>468.16934040000001</v>
      </c>
      <c r="AC602" s="8">
        <f>Table3[[#This Row],[PrimaComercial Anual]]*Table3[[#This Row],[IT]]</f>
        <v>166.21199999999999</v>
      </c>
      <c r="AD602" s="8">
        <f>Table3[[#This Row],[PrimaComercial Anual]]*Table3[[#This Row],[IVA]]</f>
        <v>720.25199999999995</v>
      </c>
      <c r="AE602" s="15">
        <f>Table3[[#This Row],[PrimaComercial Anual Asistencia]]</f>
        <v>5540.4</v>
      </c>
      <c r="AG602">
        <v>5540.4</v>
      </c>
    </row>
    <row r="603" spans="1:33" x14ac:dyDescent="0.25">
      <c r="A603" t="s">
        <v>18</v>
      </c>
      <c r="B603">
        <v>420000</v>
      </c>
      <c r="C603">
        <v>39</v>
      </c>
      <c r="D603" s="2">
        <f>Table3[[#This Row],[PrimaTécnica]]-Table3[[#This Row],[PrimaTécnica]]*SUM(Table3[[#This Row],[Gastos Adm]:[Cobranza]])</f>
        <v>2403.6150775104002</v>
      </c>
      <c r="E603">
        <v>0</v>
      </c>
      <c r="F603">
        <v>0.15</v>
      </c>
      <c r="G603">
        <v>0.05</v>
      </c>
      <c r="H603">
        <v>0.01</v>
      </c>
      <c r="I603">
        <v>0.01</v>
      </c>
      <c r="J603" s="8">
        <f>Table3[[#This Row],[PrimaTécnica]]*Table3[[#This Row],[Gastos Adm]]</f>
        <v>462.23366875200003</v>
      </c>
      <c r="K603" s="8">
        <f>Table3[[#This Row],[PrimaTécnica]]*Table3[[#This Row],[Utilidad]]</f>
        <v>154.07788958400002</v>
      </c>
      <c r="L603" s="8">
        <f>Table3[[#This Row],[PrimaTécnica]]*Table3[[#This Row],[Marketing]]</f>
        <v>30.815577916800002</v>
      </c>
      <c r="M603" s="8">
        <f>Table3[[#This Row],[PrimaTécnica]]*Table3[[#This Row],[Cobranza]]</f>
        <v>30.815577916800002</v>
      </c>
      <c r="N60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603">
        <v>21.84</v>
      </c>
      <c r="P603">
        <v>54.6</v>
      </c>
      <c r="Q603">
        <v>80.64</v>
      </c>
      <c r="R603">
        <v>44.377200000000002</v>
      </c>
      <c r="S603">
        <v>0.2</v>
      </c>
      <c r="T603">
        <v>0.02</v>
      </c>
      <c r="U603" s="8">
        <f>Table3[[#This Row],[PrimaNeta]]*Table3[[#This Row],[Comisión]]</f>
        <v>820.75374792000002</v>
      </c>
      <c r="V603" s="15">
        <f>Table3[[#This Row],[PrimaComercial Anual]]-Table3[[#This Row],[PrimaComercial Anual]]*SUM(Table3[[#This Row],[APS]:[IVA]])</f>
        <v>4103.7687396000001</v>
      </c>
      <c r="W603" s="2">
        <v>1.4800000000000001E-2</v>
      </c>
      <c r="X603" s="2">
        <v>8.4501000000000007E-2</v>
      </c>
      <c r="Y603">
        <v>0.03</v>
      </c>
      <c r="Z603">
        <v>0.13</v>
      </c>
      <c r="AA603" s="20">
        <f>Table3[[#This Row],[APS]]*Table3[[#This Row],[PrimaComercial Anual]]</f>
        <v>81.997919999999993</v>
      </c>
      <c r="AB603" s="8">
        <f>Table3[[#This Row],[PrimaComercial Anual]]*Table3[[#This Row],[Recargo adicional]]</f>
        <v>468.16934040000001</v>
      </c>
      <c r="AC603" s="8">
        <f>Table3[[#This Row],[PrimaComercial Anual]]*Table3[[#This Row],[IT]]</f>
        <v>166.21199999999999</v>
      </c>
      <c r="AD603" s="8">
        <f>Table3[[#This Row],[PrimaComercial Anual]]*Table3[[#This Row],[IVA]]</f>
        <v>720.25199999999995</v>
      </c>
      <c r="AE603" s="15">
        <f>Table3[[#This Row],[PrimaComercial Anual Asistencia]]</f>
        <v>5540.4</v>
      </c>
      <c r="AG603">
        <v>5540.4</v>
      </c>
    </row>
    <row r="604" spans="1:33" x14ac:dyDescent="0.25">
      <c r="A604" t="s">
        <v>18</v>
      </c>
      <c r="B604">
        <v>420000</v>
      </c>
      <c r="C604">
        <v>40</v>
      </c>
      <c r="D604" s="2">
        <f>Table3[[#This Row],[PrimaTécnica]]-Table3[[#This Row],[PrimaTécnica]]*SUM(Table3[[#This Row],[Gastos Adm]:[Cobranza]])</f>
        <v>3436.3462131647993</v>
      </c>
      <c r="E604">
        <v>0</v>
      </c>
      <c r="F604">
        <v>0.15</v>
      </c>
      <c r="G604">
        <v>0.05</v>
      </c>
      <c r="H604">
        <v>0.01</v>
      </c>
      <c r="I604">
        <v>0.01</v>
      </c>
      <c r="J604" s="8">
        <f>Table3[[#This Row],[PrimaTécnica]]*Table3[[#This Row],[Gastos Adm]]</f>
        <v>660.83581022399994</v>
      </c>
      <c r="K604" s="8">
        <f>Table3[[#This Row],[PrimaTécnica]]*Table3[[#This Row],[Utilidad]]</f>
        <v>220.27860340799998</v>
      </c>
      <c r="L604" s="8">
        <f>Table3[[#This Row],[PrimaTécnica]]*Table3[[#This Row],[Marketing]]</f>
        <v>44.0557206816</v>
      </c>
      <c r="M604" s="8">
        <f>Table3[[#This Row],[PrimaTécnica]]*Table3[[#This Row],[Cobranza]]</f>
        <v>44.0557206816</v>
      </c>
      <c r="N60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604">
        <v>21.84</v>
      </c>
      <c r="P604">
        <v>54.6</v>
      </c>
      <c r="Q604">
        <v>80.64</v>
      </c>
      <c r="R604">
        <v>44.377200000000002</v>
      </c>
      <c r="S604">
        <v>0.2</v>
      </c>
      <c r="T604">
        <v>0.02</v>
      </c>
      <c r="U604" s="8">
        <f>Table3[[#This Row],[PrimaNeta]]*Table3[[#This Row],[Comisión]]</f>
        <v>1151.7573170400001</v>
      </c>
      <c r="V604" s="15">
        <f>Table3[[#This Row],[PrimaComercial Anual]]-Table3[[#This Row],[PrimaComercial Anual]]*SUM(Table3[[#This Row],[APS]:[IVA]])</f>
        <v>5758.7865852000004</v>
      </c>
      <c r="W604" s="2">
        <v>1.4800000000000001E-2</v>
      </c>
      <c r="X604" s="2">
        <v>8.4501000000000007E-2</v>
      </c>
      <c r="Y604">
        <v>0.03</v>
      </c>
      <c r="Z604">
        <v>0.13</v>
      </c>
      <c r="AA604" s="20">
        <f>Table3[[#This Row],[APS]]*Table3[[#This Row],[PrimaComercial Anual]]</f>
        <v>115.06704000000001</v>
      </c>
      <c r="AB604" s="8">
        <f>Table3[[#This Row],[PrimaComercial Anual]]*Table3[[#This Row],[Recargo adicional]]</f>
        <v>656.9783748000001</v>
      </c>
      <c r="AC604" s="8">
        <f>Table3[[#This Row],[PrimaComercial Anual]]*Table3[[#This Row],[IT]]</f>
        <v>233.244</v>
      </c>
      <c r="AD604" s="8">
        <f>Table3[[#This Row],[PrimaComercial Anual]]*Table3[[#This Row],[IVA]]</f>
        <v>1010.724</v>
      </c>
      <c r="AE604" s="15">
        <f>Table3[[#This Row],[PrimaComercial Anual Asistencia]]</f>
        <v>7774.8</v>
      </c>
      <c r="AG604">
        <v>7774.8</v>
      </c>
    </row>
    <row r="605" spans="1:33" x14ac:dyDescent="0.25">
      <c r="A605" t="s">
        <v>18</v>
      </c>
      <c r="B605">
        <v>420000</v>
      </c>
      <c r="C605">
        <v>41</v>
      </c>
      <c r="D605" s="2">
        <f>Table3[[#This Row],[PrimaTécnica]]-Table3[[#This Row],[PrimaTécnica]]*SUM(Table3[[#This Row],[Gastos Adm]:[Cobranza]])</f>
        <v>3436.3462131647993</v>
      </c>
      <c r="E605">
        <v>0</v>
      </c>
      <c r="F605">
        <v>0.15</v>
      </c>
      <c r="G605">
        <v>0.05</v>
      </c>
      <c r="H605">
        <v>0.01</v>
      </c>
      <c r="I605">
        <v>0.01</v>
      </c>
      <c r="J605" s="8">
        <f>Table3[[#This Row],[PrimaTécnica]]*Table3[[#This Row],[Gastos Adm]]</f>
        <v>660.83581022399994</v>
      </c>
      <c r="K605" s="8">
        <f>Table3[[#This Row],[PrimaTécnica]]*Table3[[#This Row],[Utilidad]]</f>
        <v>220.27860340799998</v>
      </c>
      <c r="L605" s="8">
        <f>Table3[[#This Row],[PrimaTécnica]]*Table3[[#This Row],[Marketing]]</f>
        <v>44.0557206816</v>
      </c>
      <c r="M605" s="8">
        <f>Table3[[#This Row],[PrimaTécnica]]*Table3[[#This Row],[Cobranza]]</f>
        <v>44.0557206816</v>
      </c>
      <c r="N60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605">
        <v>21.84</v>
      </c>
      <c r="P605">
        <v>54.6</v>
      </c>
      <c r="Q605">
        <v>80.64</v>
      </c>
      <c r="R605">
        <v>44.377200000000002</v>
      </c>
      <c r="S605">
        <v>0.2</v>
      </c>
      <c r="T605">
        <v>0.02</v>
      </c>
      <c r="U605" s="8">
        <f>Table3[[#This Row],[PrimaNeta]]*Table3[[#This Row],[Comisión]]</f>
        <v>1151.7573170400001</v>
      </c>
      <c r="V605" s="15">
        <f>Table3[[#This Row],[PrimaComercial Anual]]-Table3[[#This Row],[PrimaComercial Anual]]*SUM(Table3[[#This Row],[APS]:[IVA]])</f>
        <v>5758.7865852000004</v>
      </c>
      <c r="W605" s="2">
        <v>1.4800000000000001E-2</v>
      </c>
      <c r="X605" s="2">
        <v>8.4501000000000007E-2</v>
      </c>
      <c r="Y605">
        <v>0.03</v>
      </c>
      <c r="Z605">
        <v>0.13</v>
      </c>
      <c r="AA605" s="20">
        <f>Table3[[#This Row],[APS]]*Table3[[#This Row],[PrimaComercial Anual]]</f>
        <v>115.06704000000001</v>
      </c>
      <c r="AB605" s="8">
        <f>Table3[[#This Row],[PrimaComercial Anual]]*Table3[[#This Row],[Recargo adicional]]</f>
        <v>656.9783748000001</v>
      </c>
      <c r="AC605" s="8">
        <f>Table3[[#This Row],[PrimaComercial Anual]]*Table3[[#This Row],[IT]]</f>
        <v>233.244</v>
      </c>
      <c r="AD605" s="8">
        <f>Table3[[#This Row],[PrimaComercial Anual]]*Table3[[#This Row],[IVA]]</f>
        <v>1010.724</v>
      </c>
      <c r="AE605" s="15">
        <f>Table3[[#This Row],[PrimaComercial Anual Asistencia]]</f>
        <v>7774.8</v>
      </c>
      <c r="AG605">
        <v>7774.8</v>
      </c>
    </row>
    <row r="606" spans="1:33" x14ac:dyDescent="0.25">
      <c r="A606" t="s">
        <v>18</v>
      </c>
      <c r="B606">
        <v>420000</v>
      </c>
      <c r="C606">
        <v>42</v>
      </c>
      <c r="D606" s="2">
        <f>Table3[[#This Row],[PrimaTécnica]]-Table3[[#This Row],[PrimaTécnica]]*SUM(Table3[[#This Row],[Gastos Adm]:[Cobranza]])</f>
        <v>3436.3462131647993</v>
      </c>
      <c r="E606">
        <v>0</v>
      </c>
      <c r="F606">
        <v>0.15</v>
      </c>
      <c r="G606">
        <v>0.05</v>
      </c>
      <c r="H606">
        <v>0.01</v>
      </c>
      <c r="I606">
        <v>0.01</v>
      </c>
      <c r="J606" s="8">
        <f>Table3[[#This Row],[PrimaTécnica]]*Table3[[#This Row],[Gastos Adm]]</f>
        <v>660.83581022399994</v>
      </c>
      <c r="K606" s="8">
        <f>Table3[[#This Row],[PrimaTécnica]]*Table3[[#This Row],[Utilidad]]</f>
        <v>220.27860340799998</v>
      </c>
      <c r="L606" s="8">
        <f>Table3[[#This Row],[PrimaTécnica]]*Table3[[#This Row],[Marketing]]</f>
        <v>44.0557206816</v>
      </c>
      <c r="M606" s="8">
        <f>Table3[[#This Row],[PrimaTécnica]]*Table3[[#This Row],[Cobranza]]</f>
        <v>44.0557206816</v>
      </c>
      <c r="N60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606">
        <v>21.84</v>
      </c>
      <c r="P606">
        <v>54.6</v>
      </c>
      <c r="Q606">
        <v>80.64</v>
      </c>
      <c r="R606">
        <v>44.377200000000002</v>
      </c>
      <c r="S606">
        <v>0.2</v>
      </c>
      <c r="T606">
        <v>0.02</v>
      </c>
      <c r="U606" s="8">
        <f>Table3[[#This Row],[PrimaNeta]]*Table3[[#This Row],[Comisión]]</f>
        <v>1151.7573170400001</v>
      </c>
      <c r="V606" s="15">
        <f>Table3[[#This Row],[PrimaComercial Anual]]-Table3[[#This Row],[PrimaComercial Anual]]*SUM(Table3[[#This Row],[APS]:[IVA]])</f>
        <v>5758.7865852000004</v>
      </c>
      <c r="W606" s="2">
        <v>1.4800000000000001E-2</v>
      </c>
      <c r="X606" s="2">
        <v>8.4501000000000007E-2</v>
      </c>
      <c r="Y606">
        <v>0.03</v>
      </c>
      <c r="Z606">
        <v>0.13</v>
      </c>
      <c r="AA606" s="20">
        <f>Table3[[#This Row],[APS]]*Table3[[#This Row],[PrimaComercial Anual]]</f>
        <v>115.06704000000001</v>
      </c>
      <c r="AB606" s="8">
        <f>Table3[[#This Row],[PrimaComercial Anual]]*Table3[[#This Row],[Recargo adicional]]</f>
        <v>656.9783748000001</v>
      </c>
      <c r="AC606" s="8">
        <f>Table3[[#This Row],[PrimaComercial Anual]]*Table3[[#This Row],[IT]]</f>
        <v>233.244</v>
      </c>
      <c r="AD606" s="8">
        <f>Table3[[#This Row],[PrimaComercial Anual]]*Table3[[#This Row],[IVA]]</f>
        <v>1010.724</v>
      </c>
      <c r="AE606" s="15">
        <f>Table3[[#This Row],[PrimaComercial Anual Asistencia]]</f>
        <v>7774.8</v>
      </c>
      <c r="AG606">
        <v>7774.8</v>
      </c>
    </row>
    <row r="607" spans="1:33" x14ac:dyDescent="0.25">
      <c r="A607" t="s">
        <v>18</v>
      </c>
      <c r="B607">
        <v>420000</v>
      </c>
      <c r="C607">
        <v>43</v>
      </c>
      <c r="D607" s="2">
        <f>Table3[[#This Row],[PrimaTécnica]]-Table3[[#This Row],[PrimaTécnica]]*SUM(Table3[[#This Row],[Gastos Adm]:[Cobranza]])</f>
        <v>3436.3462131647993</v>
      </c>
      <c r="E607">
        <v>0</v>
      </c>
      <c r="F607">
        <v>0.15</v>
      </c>
      <c r="G607">
        <v>0.05</v>
      </c>
      <c r="H607">
        <v>0.01</v>
      </c>
      <c r="I607">
        <v>0.01</v>
      </c>
      <c r="J607" s="8">
        <f>Table3[[#This Row],[PrimaTécnica]]*Table3[[#This Row],[Gastos Adm]]</f>
        <v>660.83581022399994</v>
      </c>
      <c r="K607" s="8">
        <f>Table3[[#This Row],[PrimaTécnica]]*Table3[[#This Row],[Utilidad]]</f>
        <v>220.27860340799998</v>
      </c>
      <c r="L607" s="8">
        <f>Table3[[#This Row],[PrimaTécnica]]*Table3[[#This Row],[Marketing]]</f>
        <v>44.0557206816</v>
      </c>
      <c r="M607" s="8">
        <f>Table3[[#This Row],[PrimaTécnica]]*Table3[[#This Row],[Cobranza]]</f>
        <v>44.0557206816</v>
      </c>
      <c r="N60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607">
        <v>21.84</v>
      </c>
      <c r="P607">
        <v>54.6</v>
      </c>
      <c r="Q607">
        <v>80.64</v>
      </c>
      <c r="R607">
        <v>44.377200000000002</v>
      </c>
      <c r="S607">
        <v>0.2</v>
      </c>
      <c r="T607">
        <v>0.02</v>
      </c>
      <c r="U607" s="8">
        <f>Table3[[#This Row],[PrimaNeta]]*Table3[[#This Row],[Comisión]]</f>
        <v>1151.7573170400001</v>
      </c>
      <c r="V607" s="15">
        <f>Table3[[#This Row],[PrimaComercial Anual]]-Table3[[#This Row],[PrimaComercial Anual]]*SUM(Table3[[#This Row],[APS]:[IVA]])</f>
        <v>5758.7865852000004</v>
      </c>
      <c r="W607" s="2">
        <v>1.4800000000000001E-2</v>
      </c>
      <c r="X607" s="2">
        <v>8.4501000000000007E-2</v>
      </c>
      <c r="Y607">
        <v>0.03</v>
      </c>
      <c r="Z607">
        <v>0.13</v>
      </c>
      <c r="AA607" s="20">
        <f>Table3[[#This Row],[APS]]*Table3[[#This Row],[PrimaComercial Anual]]</f>
        <v>115.06704000000001</v>
      </c>
      <c r="AB607" s="8">
        <f>Table3[[#This Row],[PrimaComercial Anual]]*Table3[[#This Row],[Recargo adicional]]</f>
        <v>656.9783748000001</v>
      </c>
      <c r="AC607" s="8">
        <f>Table3[[#This Row],[PrimaComercial Anual]]*Table3[[#This Row],[IT]]</f>
        <v>233.244</v>
      </c>
      <c r="AD607" s="8">
        <f>Table3[[#This Row],[PrimaComercial Anual]]*Table3[[#This Row],[IVA]]</f>
        <v>1010.724</v>
      </c>
      <c r="AE607" s="15">
        <f>Table3[[#This Row],[PrimaComercial Anual Asistencia]]</f>
        <v>7774.8</v>
      </c>
      <c r="AG607">
        <v>7774.8</v>
      </c>
    </row>
    <row r="608" spans="1:33" x14ac:dyDescent="0.25">
      <c r="A608" t="s">
        <v>18</v>
      </c>
      <c r="B608">
        <v>420000</v>
      </c>
      <c r="C608">
        <v>44</v>
      </c>
      <c r="D608" s="2">
        <f>Table3[[#This Row],[PrimaTécnica]]-Table3[[#This Row],[PrimaTécnica]]*SUM(Table3[[#This Row],[Gastos Adm]:[Cobranza]])</f>
        <v>3436.3462131647993</v>
      </c>
      <c r="E608">
        <v>0</v>
      </c>
      <c r="F608">
        <v>0.15</v>
      </c>
      <c r="G608">
        <v>0.05</v>
      </c>
      <c r="H608">
        <v>0.01</v>
      </c>
      <c r="I608">
        <v>0.01</v>
      </c>
      <c r="J608" s="8">
        <f>Table3[[#This Row],[PrimaTécnica]]*Table3[[#This Row],[Gastos Adm]]</f>
        <v>660.83581022399994</v>
      </c>
      <c r="K608" s="8">
        <f>Table3[[#This Row],[PrimaTécnica]]*Table3[[#This Row],[Utilidad]]</f>
        <v>220.27860340799998</v>
      </c>
      <c r="L608" s="8">
        <f>Table3[[#This Row],[PrimaTécnica]]*Table3[[#This Row],[Marketing]]</f>
        <v>44.0557206816</v>
      </c>
      <c r="M608" s="8">
        <f>Table3[[#This Row],[PrimaTécnica]]*Table3[[#This Row],[Cobranza]]</f>
        <v>44.0557206816</v>
      </c>
      <c r="N60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608">
        <v>21.84</v>
      </c>
      <c r="P608">
        <v>54.6</v>
      </c>
      <c r="Q608">
        <v>80.64</v>
      </c>
      <c r="R608">
        <v>44.377200000000002</v>
      </c>
      <c r="S608">
        <v>0.2</v>
      </c>
      <c r="T608">
        <v>0.02</v>
      </c>
      <c r="U608" s="8">
        <f>Table3[[#This Row],[PrimaNeta]]*Table3[[#This Row],[Comisión]]</f>
        <v>1151.7573170400001</v>
      </c>
      <c r="V608" s="15">
        <f>Table3[[#This Row],[PrimaComercial Anual]]-Table3[[#This Row],[PrimaComercial Anual]]*SUM(Table3[[#This Row],[APS]:[IVA]])</f>
        <v>5758.7865852000004</v>
      </c>
      <c r="W608" s="2">
        <v>1.4800000000000001E-2</v>
      </c>
      <c r="X608" s="2">
        <v>8.4501000000000007E-2</v>
      </c>
      <c r="Y608">
        <v>0.03</v>
      </c>
      <c r="Z608">
        <v>0.13</v>
      </c>
      <c r="AA608" s="20">
        <f>Table3[[#This Row],[APS]]*Table3[[#This Row],[PrimaComercial Anual]]</f>
        <v>115.06704000000001</v>
      </c>
      <c r="AB608" s="8">
        <f>Table3[[#This Row],[PrimaComercial Anual]]*Table3[[#This Row],[Recargo adicional]]</f>
        <v>656.9783748000001</v>
      </c>
      <c r="AC608" s="8">
        <f>Table3[[#This Row],[PrimaComercial Anual]]*Table3[[#This Row],[IT]]</f>
        <v>233.244</v>
      </c>
      <c r="AD608" s="8">
        <f>Table3[[#This Row],[PrimaComercial Anual]]*Table3[[#This Row],[IVA]]</f>
        <v>1010.724</v>
      </c>
      <c r="AE608" s="15">
        <f>Table3[[#This Row],[PrimaComercial Anual Asistencia]]</f>
        <v>7774.8</v>
      </c>
      <c r="AG608">
        <v>7774.8</v>
      </c>
    </row>
    <row r="609" spans="1:33" x14ac:dyDescent="0.25">
      <c r="A609" t="s">
        <v>18</v>
      </c>
      <c r="B609">
        <v>420000</v>
      </c>
      <c r="C609">
        <v>45</v>
      </c>
      <c r="D609" s="2">
        <f>Table3[[#This Row],[PrimaTécnica]]-Table3[[#This Row],[PrimaTécnica]]*SUM(Table3[[#This Row],[Gastos Adm]:[Cobranza]])</f>
        <v>3436.3462131647993</v>
      </c>
      <c r="E609">
        <v>0</v>
      </c>
      <c r="F609">
        <v>0.15</v>
      </c>
      <c r="G609">
        <v>0.05</v>
      </c>
      <c r="H609">
        <v>0.01</v>
      </c>
      <c r="I609">
        <v>0.01</v>
      </c>
      <c r="J609" s="8">
        <f>Table3[[#This Row],[PrimaTécnica]]*Table3[[#This Row],[Gastos Adm]]</f>
        <v>660.83581022399994</v>
      </c>
      <c r="K609" s="8">
        <f>Table3[[#This Row],[PrimaTécnica]]*Table3[[#This Row],[Utilidad]]</f>
        <v>220.27860340799998</v>
      </c>
      <c r="L609" s="8">
        <f>Table3[[#This Row],[PrimaTécnica]]*Table3[[#This Row],[Marketing]]</f>
        <v>44.0557206816</v>
      </c>
      <c r="M609" s="8">
        <f>Table3[[#This Row],[PrimaTécnica]]*Table3[[#This Row],[Cobranza]]</f>
        <v>44.0557206816</v>
      </c>
      <c r="N60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609">
        <v>21.84</v>
      </c>
      <c r="P609">
        <v>54.6</v>
      </c>
      <c r="Q609">
        <v>80.64</v>
      </c>
      <c r="R609">
        <v>44.377200000000002</v>
      </c>
      <c r="S609">
        <v>0.2</v>
      </c>
      <c r="T609">
        <v>0.02</v>
      </c>
      <c r="U609" s="8">
        <f>Table3[[#This Row],[PrimaNeta]]*Table3[[#This Row],[Comisión]]</f>
        <v>1151.7573170400001</v>
      </c>
      <c r="V609" s="15">
        <f>Table3[[#This Row],[PrimaComercial Anual]]-Table3[[#This Row],[PrimaComercial Anual]]*SUM(Table3[[#This Row],[APS]:[IVA]])</f>
        <v>5758.7865852000004</v>
      </c>
      <c r="W609" s="2">
        <v>1.4800000000000001E-2</v>
      </c>
      <c r="X609" s="2">
        <v>8.4501000000000007E-2</v>
      </c>
      <c r="Y609">
        <v>0.03</v>
      </c>
      <c r="Z609">
        <v>0.13</v>
      </c>
      <c r="AA609" s="20">
        <f>Table3[[#This Row],[APS]]*Table3[[#This Row],[PrimaComercial Anual]]</f>
        <v>115.06704000000001</v>
      </c>
      <c r="AB609" s="8">
        <f>Table3[[#This Row],[PrimaComercial Anual]]*Table3[[#This Row],[Recargo adicional]]</f>
        <v>656.9783748000001</v>
      </c>
      <c r="AC609" s="8">
        <f>Table3[[#This Row],[PrimaComercial Anual]]*Table3[[#This Row],[IT]]</f>
        <v>233.244</v>
      </c>
      <c r="AD609" s="8">
        <f>Table3[[#This Row],[PrimaComercial Anual]]*Table3[[#This Row],[IVA]]</f>
        <v>1010.724</v>
      </c>
      <c r="AE609" s="15">
        <f>Table3[[#This Row],[PrimaComercial Anual Asistencia]]</f>
        <v>7774.8</v>
      </c>
      <c r="AG609">
        <v>7774.8</v>
      </c>
    </row>
    <row r="610" spans="1:33" x14ac:dyDescent="0.25">
      <c r="A610" t="s">
        <v>18</v>
      </c>
      <c r="B610">
        <v>420000</v>
      </c>
      <c r="C610">
        <v>46</v>
      </c>
      <c r="D610" s="2">
        <f>Table3[[#This Row],[PrimaTécnica]]-Table3[[#This Row],[PrimaTécnica]]*SUM(Table3[[#This Row],[Gastos Adm]:[Cobranza]])</f>
        <v>3436.3462131647993</v>
      </c>
      <c r="E610">
        <v>0</v>
      </c>
      <c r="F610">
        <v>0.15</v>
      </c>
      <c r="G610">
        <v>0.05</v>
      </c>
      <c r="H610">
        <v>0.01</v>
      </c>
      <c r="I610">
        <v>0.01</v>
      </c>
      <c r="J610" s="8">
        <f>Table3[[#This Row],[PrimaTécnica]]*Table3[[#This Row],[Gastos Adm]]</f>
        <v>660.83581022399994</v>
      </c>
      <c r="K610" s="8">
        <f>Table3[[#This Row],[PrimaTécnica]]*Table3[[#This Row],[Utilidad]]</f>
        <v>220.27860340799998</v>
      </c>
      <c r="L610" s="8">
        <f>Table3[[#This Row],[PrimaTécnica]]*Table3[[#This Row],[Marketing]]</f>
        <v>44.0557206816</v>
      </c>
      <c r="M610" s="8">
        <f>Table3[[#This Row],[PrimaTécnica]]*Table3[[#This Row],[Cobranza]]</f>
        <v>44.0557206816</v>
      </c>
      <c r="N61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610">
        <v>21.84</v>
      </c>
      <c r="P610">
        <v>54.6</v>
      </c>
      <c r="Q610">
        <v>80.64</v>
      </c>
      <c r="R610">
        <v>44.377200000000002</v>
      </c>
      <c r="S610">
        <v>0.2</v>
      </c>
      <c r="T610">
        <v>0.02</v>
      </c>
      <c r="U610" s="8">
        <f>Table3[[#This Row],[PrimaNeta]]*Table3[[#This Row],[Comisión]]</f>
        <v>1151.7573170400001</v>
      </c>
      <c r="V610" s="15">
        <f>Table3[[#This Row],[PrimaComercial Anual]]-Table3[[#This Row],[PrimaComercial Anual]]*SUM(Table3[[#This Row],[APS]:[IVA]])</f>
        <v>5758.7865852000004</v>
      </c>
      <c r="W610" s="2">
        <v>1.4800000000000001E-2</v>
      </c>
      <c r="X610" s="2">
        <v>8.4501000000000007E-2</v>
      </c>
      <c r="Y610">
        <v>0.03</v>
      </c>
      <c r="Z610">
        <v>0.13</v>
      </c>
      <c r="AA610" s="20">
        <f>Table3[[#This Row],[APS]]*Table3[[#This Row],[PrimaComercial Anual]]</f>
        <v>115.06704000000001</v>
      </c>
      <c r="AB610" s="8">
        <f>Table3[[#This Row],[PrimaComercial Anual]]*Table3[[#This Row],[Recargo adicional]]</f>
        <v>656.9783748000001</v>
      </c>
      <c r="AC610" s="8">
        <f>Table3[[#This Row],[PrimaComercial Anual]]*Table3[[#This Row],[IT]]</f>
        <v>233.244</v>
      </c>
      <c r="AD610" s="8">
        <f>Table3[[#This Row],[PrimaComercial Anual]]*Table3[[#This Row],[IVA]]</f>
        <v>1010.724</v>
      </c>
      <c r="AE610" s="15">
        <f>Table3[[#This Row],[PrimaComercial Anual Asistencia]]</f>
        <v>7774.8</v>
      </c>
      <c r="AG610">
        <v>7774.8</v>
      </c>
    </row>
    <row r="611" spans="1:33" x14ac:dyDescent="0.25">
      <c r="A611" t="s">
        <v>18</v>
      </c>
      <c r="B611">
        <v>420000</v>
      </c>
      <c r="C611">
        <v>47</v>
      </c>
      <c r="D611" s="2">
        <f>Table3[[#This Row],[PrimaTécnica]]-Table3[[#This Row],[PrimaTécnica]]*SUM(Table3[[#This Row],[Gastos Adm]:[Cobranza]])</f>
        <v>3436.3462131647993</v>
      </c>
      <c r="E611">
        <v>0</v>
      </c>
      <c r="F611">
        <v>0.15</v>
      </c>
      <c r="G611">
        <v>0.05</v>
      </c>
      <c r="H611">
        <v>0.01</v>
      </c>
      <c r="I611">
        <v>0.01</v>
      </c>
      <c r="J611" s="8">
        <f>Table3[[#This Row],[PrimaTécnica]]*Table3[[#This Row],[Gastos Adm]]</f>
        <v>660.83581022399994</v>
      </c>
      <c r="K611" s="8">
        <f>Table3[[#This Row],[PrimaTécnica]]*Table3[[#This Row],[Utilidad]]</f>
        <v>220.27860340799998</v>
      </c>
      <c r="L611" s="8">
        <f>Table3[[#This Row],[PrimaTécnica]]*Table3[[#This Row],[Marketing]]</f>
        <v>44.0557206816</v>
      </c>
      <c r="M611" s="8">
        <f>Table3[[#This Row],[PrimaTécnica]]*Table3[[#This Row],[Cobranza]]</f>
        <v>44.0557206816</v>
      </c>
      <c r="N61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611">
        <v>21.84</v>
      </c>
      <c r="P611">
        <v>54.6</v>
      </c>
      <c r="Q611">
        <v>80.64</v>
      </c>
      <c r="R611">
        <v>44.377200000000002</v>
      </c>
      <c r="S611">
        <v>0.2</v>
      </c>
      <c r="T611">
        <v>0.02</v>
      </c>
      <c r="U611" s="8">
        <f>Table3[[#This Row],[PrimaNeta]]*Table3[[#This Row],[Comisión]]</f>
        <v>1151.7573170400001</v>
      </c>
      <c r="V611" s="15">
        <f>Table3[[#This Row],[PrimaComercial Anual]]-Table3[[#This Row],[PrimaComercial Anual]]*SUM(Table3[[#This Row],[APS]:[IVA]])</f>
        <v>5758.7865852000004</v>
      </c>
      <c r="W611" s="2">
        <v>1.4800000000000001E-2</v>
      </c>
      <c r="X611" s="2">
        <v>8.4501000000000007E-2</v>
      </c>
      <c r="Y611">
        <v>0.03</v>
      </c>
      <c r="Z611">
        <v>0.13</v>
      </c>
      <c r="AA611" s="20">
        <f>Table3[[#This Row],[APS]]*Table3[[#This Row],[PrimaComercial Anual]]</f>
        <v>115.06704000000001</v>
      </c>
      <c r="AB611" s="8">
        <f>Table3[[#This Row],[PrimaComercial Anual]]*Table3[[#This Row],[Recargo adicional]]</f>
        <v>656.9783748000001</v>
      </c>
      <c r="AC611" s="8">
        <f>Table3[[#This Row],[PrimaComercial Anual]]*Table3[[#This Row],[IT]]</f>
        <v>233.244</v>
      </c>
      <c r="AD611" s="8">
        <f>Table3[[#This Row],[PrimaComercial Anual]]*Table3[[#This Row],[IVA]]</f>
        <v>1010.724</v>
      </c>
      <c r="AE611" s="15">
        <f>Table3[[#This Row],[PrimaComercial Anual Asistencia]]</f>
        <v>7774.8</v>
      </c>
      <c r="AG611">
        <v>7774.8</v>
      </c>
    </row>
    <row r="612" spans="1:33" x14ac:dyDescent="0.25">
      <c r="A612" t="s">
        <v>18</v>
      </c>
      <c r="B612">
        <v>420000</v>
      </c>
      <c r="C612">
        <v>48</v>
      </c>
      <c r="D612" s="2">
        <f>Table3[[#This Row],[PrimaTécnica]]-Table3[[#This Row],[PrimaTécnica]]*SUM(Table3[[#This Row],[Gastos Adm]:[Cobranza]])</f>
        <v>3436.3462131647993</v>
      </c>
      <c r="E612">
        <v>0</v>
      </c>
      <c r="F612">
        <v>0.15</v>
      </c>
      <c r="G612">
        <v>0.05</v>
      </c>
      <c r="H612">
        <v>0.01</v>
      </c>
      <c r="I612">
        <v>0.01</v>
      </c>
      <c r="J612" s="8">
        <f>Table3[[#This Row],[PrimaTécnica]]*Table3[[#This Row],[Gastos Adm]]</f>
        <v>660.83581022399994</v>
      </c>
      <c r="K612" s="8">
        <f>Table3[[#This Row],[PrimaTécnica]]*Table3[[#This Row],[Utilidad]]</f>
        <v>220.27860340799998</v>
      </c>
      <c r="L612" s="8">
        <f>Table3[[#This Row],[PrimaTécnica]]*Table3[[#This Row],[Marketing]]</f>
        <v>44.0557206816</v>
      </c>
      <c r="M612" s="8">
        <f>Table3[[#This Row],[PrimaTécnica]]*Table3[[#This Row],[Cobranza]]</f>
        <v>44.0557206816</v>
      </c>
      <c r="N61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612">
        <v>21.84</v>
      </c>
      <c r="P612">
        <v>54.6</v>
      </c>
      <c r="Q612">
        <v>80.64</v>
      </c>
      <c r="R612">
        <v>44.377200000000002</v>
      </c>
      <c r="S612">
        <v>0.2</v>
      </c>
      <c r="T612">
        <v>0.02</v>
      </c>
      <c r="U612" s="8">
        <f>Table3[[#This Row],[PrimaNeta]]*Table3[[#This Row],[Comisión]]</f>
        <v>1151.7573170400001</v>
      </c>
      <c r="V612" s="15">
        <f>Table3[[#This Row],[PrimaComercial Anual]]-Table3[[#This Row],[PrimaComercial Anual]]*SUM(Table3[[#This Row],[APS]:[IVA]])</f>
        <v>5758.7865852000004</v>
      </c>
      <c r="W612" s="2">
        <v>1.4800000000000001E-2</v>
      </c>
      <c r="X612" s="2">
        <v>8.4501000000000007E-2</v>
      </c>
      <c r="Y612">
        <v>0.03</v>
      </c>
      <c r="Z612">
        <v>0.13</v>
      </c>
      <c r="AA612" s="20">
        <f>Table3[[#This Row],[APS]]*Table3[[#This Row],[PrimaComercial Anual]]</f>
        <v>115.06704000000001</v>
      </c>
      <c r="AB612" s="8">
        <f>Table3[[#This Row],[PrimaComercial Anual]]*Table3[[#This Row],[Recargo adicional]]</f>
        <v>656.9783748000001</v>
      </c>
      <c r="AC612" s="8">
        <f>Table3[[#This Row],[PrimaComercial Anual]]*Table3[[#This Row],[IT]]</f>
        <v>233.244</v>
      </c>
      <c r="AD612" s="8">
        <f>Table3[[#This Row],[PrimaComercial Anual]]*Table3[[#This Row],[IVA]]</f>
        <v>1010.724</v>
      </c>
      <c r="AE612" s="15">
        <f>Table3[[#This Row],[PrimaComercial Anual Asistencia]]</f>
        <v>7774.8</v>
      </c>
      <c r="AG612">
        <v>7774.8</v>
      </c>
    </row>
    <row r="613" spans="1:33" x14ac:dyDescent="0.25">
      <c r="A613" t="s">
        <v>18</v>
      </c>
      <c r="B613">
        <v>420000</v>
      </c>
      <c r="C613">
        <v>49</v>
      </c>
      <c r="D613" s="2">
        <f>Table3[[#This Row],[PrimaTécnica]]-Table3[[#This Row],[PrimaTécnica]]*SUM(Table3[[#This Row],[Gastos Adm]:[Cobranza]])</f>
        <v>3436.3462131647993</v>
      </c>
      <c r="E613">
        <v>0</v>
      </c>
      <c r="F613">
        <v>0.15</v>
      </c>
      <c r="G613">
        <v>0.05</v>
      </c>
      <c r="H613">
        <v>0.01</v>
      </c>
      <c r="I613">
        <v>0.01</v>
      </c>
      <c r="J613" s="8">
        <f>Table3[[#This Row],[PrimaTécnica]]*Table3[[#This Row],[Gastos Adm]]</f>
        <v>660.83581022399994</v>
      </c>
      <c r="K613" s="8">
        <f>Table3[[#This Row],[PrimaTécnica]]*Table3[[#This Row],[Utilidad]]</f>
        <v>220.27860340799998</v>
      </c>
      <c r="L613" s="8">
        <f>Table3[[#This Row],[PrimaTécnica]]*Table3[[#This Row],[Marketing]]</f>
        <v>44.0557206816</v>
      </c>
      <c r="M613" s="8">
        <f>Table3[[#This Row],[PrimaTécnica]]*Table3[[#This Row],[Cobranza]]</f>
        <v>44.0557206816</v>
      </c>
      <c r="N61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613">
        <v>21.84</v>
      </c>
      <c r="P613">
        <v>54.6</v>
      </c>
      <c r="Q613">
        <v>80.64</v>
      </c>
      <c r="R613">
        <v>44.377200000000002</v>
      </c>
      <c r="S613">
        <v>0.2</v>
      </c>
      <c r="T613">
        <v>0.02</v>
      </c>
      <c r="U613" s="8">
        <f>Table3[[#This Row],[PrimaNeta]]*Table3[[#This Row],[Comisión]]</f>
        <v>1151.7573170400001</v>
      </c>
      <c r="V613" s="15">
        <f>Table3[[#This Row],[PrimaComercial Anual]]-Table3[[#This Row],[PrimaComercial Anual]]*SUM(Table3[[#This Row],[APS]:[IVA]])</f>
        <v>5758.7865852000004</v>
      </c>
      <c r="W613" s="2">
        <v>1.4800000000000001E-2</v>
      </c>
      <c r="X613" s="2">
        <v>8.4501000000000007E-2</v>
      </c>
      <c r="Y613">
        <v>0.03</v>
      </c>
      <c r="Z613">
        <v>0.13</v>
      </c>
      <c r="AA613" s="20">
        <f>Table3[[#This Row],[APS]]*Table3[[#This Row],[PrimaComercial Anual]]</f>
        <v>115.06704000000001</v>
      </c>
      <c r="AB613" s="8">
        <f>Table3[[#This Row],[PrimaComercial Anual]]*Table3[[#This Row],[Recargo adicional]]</f>
        <v>656.9783748000001</v>
      </c>
      <c r="AC613" s="8">
        <f>Table3[[#This Row],[PrimaComercial Anual]]*Table3[[#This Row],[IT]]</f>
        <v>233.244</v>
      </c>
      <c r="AD613" s="8">
        <f>Table3[[#This Row],[PrimaComercial Anual]]*Table3[[#This Row],[IVA]]</f>
        <v>1010.724</v>
      </c>
      <c r="AE613" s="15">
        <f>Table3[[#This Row],[PrimaComercial Anual Asistencia]]</f>
        <v>7774.8</v>
      </c>
      <c r="AG613">
        <v>7774.8</v>
      </c>
    </row>
    <row r="614" spans="1:33" x14ac:dyDescent="0.25">
      <c r="A614" t="s">
        <v>18</v>
      </c>
      <c r="B614">
        <v>420000</v>
      </c>
      <c r="C614">
        <v>50</v>
      </c>
      <c r="D614" s="2">
        <f>Table3[[#This Row],[PrimaTécnica]]-Table3[[#This Row],[PrimaTécnica]]*SUM(Table3[[#This Row],[Gastos Adm]:[Cobranza]])</f>
        <v>3731.4122519232001</v>
      </c>
      <c r="E614">
        <v>0</v>
      </c>
      <c r="F614">
        <v>0.15</v>
      </c>
      <c r="G614">
        <v>0.05</v>
      </c>
      <c r="H614">
        <v>0.01</v>
      </c>
      <c r="I614">
        <v>0.01</v>
      </c>
      <c r="J614" s="8">
        <f>Table3[[#This Row],[PrimaTécnica]]*Table3[[#This Row],[Gastos Adm]]</f>
        <v>717.57927921600003</v>
      </c>
      <c r="K614" s="8">
        <f>Table3[[#This Row],[PrimaTécnica]]*Table3[[#This Row],[Utilidad]]</f>
        <v>239.19309307200001</v>
      </c>
      <c r="L614" s="8">
        <f>Table3[[#This Row],[PrimaTécnica]]*Table3[[#This Row],[Marketing]]</f>
        <v>47.838618614400005</v>
      </c>
      <c r="M614" s="8">
        <f>Table3[[#This Row],[PrimaTécnica]]*Table3[[#This Row],[Cobranza]]</f>
        <v>47.838618614400005</v>
      </c>
      <c r="N61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4783.8618614400002</v>
      </c>
      <c r="O614">
        <v>21.84</v>
      </c>
      <c r="P614">
        <v>54.6</v>
      </c>
      <c r="Q614">
        <v>80.64</v>
      </c>
      <c r="R614">
        <v>44.377200000000002</v>
      </c>
      <c r="S614">
        <v>0.2</v>
      </c>
      <c r="T614">
        <v>0.02</v>
      </c>
      <c r="U614" s="8">
        <f>Table3[[#This Row],[PrimaNeta]]*Table3[[#This Row],[Comisión]]</f>
        <v>1246.3297653600002</v>
      </c>
      <c r="V614" s="15">
        <f>Table3[[#This Row],[PrimaComercial Anual]]-Table3[[#This Row],[PrimaComercial Anual]]*SUM(Table3[[#This Row],[APS]:[IVA]])</f>
        <v>6231.6488268000012</v>
      </c>
      <c r="W614" s="2">
        <v>1.4800000000000001E-2</v>
      </c>
      <c r="X614" s="2">
        <v>8.4501000000000007E-2</v>
      </c>
      <c r="Y614">
        <v>0.03</v>
      </c>
      <c r="Z614">
        <v>0.13</v>
      </c>
      <c r="AA614" s="20">
        <f>Table3[[#This Row],[APS]]*Table3[[#This Row],[PrimaComercial Anual]]</f>
        <v>124.51536000000002</v>
      </c>
      <c r="AB614" s="8">
        <f>Table3[[#This Row],[PrimaComercial Anual]]*Table3[[#This Row],[Recargo adicional]]</f>
        <v>710.92381320000015</v>
      </c>
      <c r="AC614" s="8">
        <f>Table3[[#This Row],[PrimaComercial Anual]]*Table3[[#This Row],[IT]]</f>
        <v>252.39600000000002</v>
      </c>
      <c r="AD614" s="8">
        <f>Table3[[#This Row],[PrimaComercial Anual]]*Table3[[#This Row],[IVA]]</f>
        <v>1093.7160000000001</v>
      </c>
      <c r="AE614" s="15">
        <f>Table3[[#This Row],[PrimaComercial Anual Asistencia]]</f>
        <v>8413.2000000000007</v>
      </c>
      <c r="AG614">
        <v>8413.2000000000007</v>
      </c>
    </row>
    <row r="615" spans="1:33" x14ac:dyDescent="0.25">
      <c r="A615" t="s">
        <v>18</v>
      </c>
      <c r="B615">
        <v>420000</v>
      </c>
      <c r="C615">
        <v>51</v>
      </c>
      <c r="D615" s="2">
        <f>Table3[[#This Row],[PrimaTécnica]]-Table3[[#This Row],[PrimaTécnica]]*SUM(Table3[[#This Row],[Gastos Adm]:[Cobranza]])</f>
        <v>3731.4122519232001</v>
      </c>
      <c r="E615">
        <v>0</v>
      </c>
      <c r="F615">
        <v>0.15</v>
      </c>
      <c r="G615">
        <v>0.05</v>
      </c>
      <c r="H615">
        <v>0.01</v>
      </c>
      <c r="I615">
        <v>0.01</v>
      </c>
      <c r="J615" s="8">
        <f>Table3[[#This Row],[PrimaTécnica]]*Table3[[#This Row],[Gastos Adm]]</f>
        <v>717.57927921600003</v>
      </c>
      <c r="K615" s="8">
        <f>Table3[[#This Row],[PrimaTécnica]]*Table3[[#This Row],[Utilidad]]</f>
        <v>239.19309307200001</v>
      </c>
      <c r="L615" s="8">
        <f>Table3[[#This Row],[PrimaTécnica]]*Table3[[#This Row],[Marketing]]</f>
        <v>47.838618614400005</v>
      </c>
      <c r="M615" s="8">
        <f>Table3[[#This Row],[PrimaTécnica]]*Table3[[#This Row],[Cobranza]]</f>
        <v>47.838618614400005</v>
      </c>
      <c r="N61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4783.8618614400002</v>
      </c>
      <c r="O615">
        <v>21.84</v>
      </c>
      <c r="P615">
        <v>54.6</v>
      </c>
      <c r="Q615">
        <v>80.64</v>
      </c>
      <c r="R615">
        <v>44.377200000000002</v>
      </c>
      <c r="S615">
        <v>0.2</v>
      </c>
      <c r="T615">
        <v>0.02</v>
      </c>
      <c r="U615" s="8">
        <f>Table3[[#This Row],[PrimaNeta]]*Table3[[#This Row],[Comisión]]</f>
        <v>1246.3297653600002</v>
      </c>
      <c r="V615" s="15">
        <f>Table3[[#This Row],[PrimaComercial Anual]]-Table3[[#This Row],[PrimaComercial Anual]]*SUM(Table3[[#This Row],[APS]:[IVA]])</f>
        <v>6231.6488268000012</v>
      </c>
      <c r="W615" s="2">
        <v>1.4800000000000001E-2</v>
      </c>
      <c r="X615" s="2">
        <v>8.4501000000000007E-2</v>
      </c>
      <c r="Y615">
        <v>0.03</v>
      </c>
      <c r="Z615">
        <v>0.13</v>
      </c>
      <c r="AA615" s="20">
        <f>Table3[[#This Row],[APS]]*Table3[[#This Row],[PrimaComercial Anual]]</f>
        <v>124.51536000000002</v>
      </c>
      <c r="AB615" s="8">
        <f>Table3[[#This Row],[PrimaComercial Anual]]*Table3[[#This Row],[Recargo adicional]]</f>
        <v>710.92381320000015</v>
      </c>
      <c r="AC615" s="8">
        <f>Table3[[#This Row],[PrimaComercial Anual]]*Table3[[#This Row],[IT]]</f>
        <v>252.39600000000002</v>
      </c>
      <c r="AD615" s="8">
        <f>Table3[[#This Row],[PrimaComercial Anual]]*Table3[[#This Row],[IVA]]</f>
        <v>1093.7160000000001</v>
      </c>
      <c r="AE615" s="15">
        <f>Table3[[#This Row],[PrimaComercial Anual Asistencia]]</f>
        <v>8413.2000000000007</v>
      </c>
      <c r="AG615">
        <v>8413.2000000000007</v>
      </c>
    </row>
    <row r="616" spans="1:33" x14ac:dyDescent="0.25">
      <c r="A616" t="s">
        <v>18</v>
      </c>
      <c r="B616">
        <v>420000</v>
      </c>
      <c r="C616">
        <v>52</v>
      </c>
      <c r="D616" s="2">
        <f>Table3[[#This Row],[PrimaTécnica]]-Table3[[#This Row],[PrimaTécnica]]*SUM(Table3[[#This Row],[Gastos Adm]:[Cobranza]])</f>
        <v>3731.4122519232001</v>
      </c>
      <c r="E616">
        <v>0</v>
      </c>
      <c r="F616">
        <v>0.15</v>
      </c>
      <c r="G616">
        <v>0.05</v>
      </c>
      <c r="H616">
        <v>0.01</v>
      </c>
      <c r="I616">
        <v>0.01</v>
      </c>
      <c r="J616" s="8">
        <f>Table3[[#This Row],[PrimaTécnica]]*Table3[[#This Row],[Gastos Adm]]</f>
        <v>717.57927921600003</v>
      </c>
      <c r="K616" s="8">
        <f>Table3[[#This Row],[PrimaTécnica]]*Table3[[#This Row],[Utilidad]]</f>
        <v>239.19309307200001</v>
      </c>
      <c r="L616" s="8">
        <f>Table3[[#This Row],[PrimaTécnica]]*Table3[[#This Row],[Marketing]]</f>
        <v>47.838618614400005</v>
      </c>
      <c r="M616" s="8">
        <f>Table3[[#This Row],[PrimaTécnica]]*Table3[[#This Row],[Cobranza]]</f>
        <v>47.838618614400005</v>
      </c>
      <c r="N61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4783.8618614400002</v>
      </c>
      <c r="O616">
        <v>21.84</v>
      </c>
      <c r="P616">
        <v>54.6</v>
      </c>
      <c r="Q616">
        <v>80.64</v>
      </c>
      <c r="R616">
        <v>44.377200000000002</v>
      </c>
      <c r="S616">
        <v>0.2</v>
      </c>
      <c r="T616">
        <v>0.02</v>
      </c>
      <c r="U616" s="8">
        <f>Table3[[#This Row],[PrimaNeta]]*Table3[[#This Row],[Comisión]]</f>
        <v>1246.3297653600002</v>
      </c>
      <c r="V616" s="15">
        <f>Table3[[#This Row],[PrimaComercial Anual]]-Table3[[#This Row],[PrimaComercial Anual]]*SUM(Table3[[#This Row],[APS]:[IVA]])</f>
        <v>6231.6488268000012</v>
      </c>
      <c r="W616" s="2">
        <v>1.4800000000000001E-2</v>
      </c>
      <c r="X616" s="2">
        <v>8.4501000000000007E-2</v>
      </c>
      <c r="Y616">
        <v>0.03</v>
      </c>
      <c r="Z616">
        <v>0.13</v>
      </c>
      <c r="AA616" s="20">
        <f>Table3[[#This Row],[APS]]*Table3[[#This Row],[PrimaComercial Anual]]</f>
        <v>124.51536000000002</v>
      </c>
      <c r="AB616" s="8">
        <f>Table3[[#This Row],[PrimaComercial Anual]]*Table3[[#This Row],[Recargo adicional]]</f>
        <v>710.92381320000015</v>
      </c>
      <c r="AC616" s="8">
        <f>Table3[[#This Row],[PrimaComercial Anual]]*Table3[[#This Row],[IT]]</f>
        <v>252.39600000000002</v>
      </c>
      <c r="AD616" s="8">
        <f>Table3[[#This Row],[PrimaComercial Anual]]*Table3[[#This Row],[IVA]]</f>
        <v>1093.7160000000001</v>
      </c>
      <c r="AE616" s="15">
        <f>Table3[[#This Row],[PrimaComercial Anual Asistencia]]</f>
        <v>8413.2000000000007</v>
      </c>
      <c r="AG616">
        <v>8413.2000000000007</v>
      </c>
    </row>
    <row r="617" spans="1:33" x14ac:dyDescent="0.25">
      <c r="A617" t="s">
        <v>18</v>
      </c>
      <c r="B617">
        <v>420000</v>
      </c>
      <c r="C617">
        <v>53</v>
      </c>
      <c r="D617" s="2">
        <f>Table3[[#This Row],[PrimaTécnica]]-Table3[[#This Row],[PrimaTécnica]]*SUM(Table3[[#This Row],[Gastos Adm]:[Cobranza]])</f>
        <v>3731.4122519232001</v>
      </c>
      <c r="E617">
        <v>0</v>
      </c>
      <c r="F617">
        <v>0.15</v>
      </c>
      <c r="G617">
        <v>0.05</v>
      </c>
      <c r="H617">
        <v>0.01</v>
      </c>
      <c r="I617">
        <v>0.01</v>
      </c>
      <c r="J617" s="8">
        <f>Table3[[#This Row],[PrimaTécnica]]*Table3[[#This Row],[Gastos Adm]]</f>
        <v>717.57927921600003</v>
      </c>
      <c r="K617" s="8">
        <f>Table3[[#This Row],[PrimaTécnica]]*Table3[[#This Row],[Utilidad]]</f>
        <v>239.19309307200001</v>
      </c>
      <c r="L617" s="8">
        <f>Table3[[#This Row],[PrimaTécnica]]*Table3[[#This Row],[Marketing]]</f>
        <v>47.838618614400005</v>
      </c>
      <c r="M617" s="8">
        <f>Table3[[#This Row],[PrimaTécnica]]*Table3[[#This Row],[Cobranza]]</f>
        <v>47.838618614400005</v>
      </c>
      <c r="N61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4783.8618614400002</v>
      </c>
      <c r="O617">
        <v>21.84</v>
      </c>
      <c r="P617">
        <v>54.6</v>
      </c>
      <c r="Q617">
        <v>80.64</v>
      </c>
      <c r="R617">
        <v>44.377200000000002</v>
      </c>
      <c r="S617">
        <v>0.2</v>
      </c>
      <c r="T617">
        <v>0.02</v>
      </c>
      <c r="U617" s="8">
        <f>Table3[[#This Row],[PrimaNeta]]*Table3[[#This Row],[Comisión]]</f>
        <v>1246.3297653600002</v>
      </c>
      <c r="V617" s="15">
        <f>Table3[[#This Row],[PrimaComercial Anual]]-Table3[[#This Row],[PrimaComercial Anual]]*SUM(Table3[[#This Row],[APS]:[IVA]])</f>
        <v>6231.6488268000012</v>
      </c>
      <c r="W617" s="2">
        <v>1.4800000000000001E-2</v>
      </c>
      <c r="X617" s="2">
        <v>8.4501000000000007E-2</v>
      </c>
      <c r="Y617">
        <v>0.03</v>
      </c>
      <c r="Z617">
        <v>0.13</v>
      </c>
      <c r="AA617" s="20">
        <f>Table3[[#This Row],[APS]]*Table3[[#This Row],[PrimaComercial Anual]]</f>
        <v>124.51536000000002</v>
      </c>
      <c r="AB617" s="8">
        <f>Table3[[#This Row],[PrimaComercial Anual]]*Table3[[#This Row],[Recargo adicional]]</f>
        <v>710.92381320000015</v>
      </c>
      <c r="AC617" s="8">
        <f>Table3[[#This Row],[PrimaComercial Anual]]*Table3[[#This Row],[IT]]</f>
        <v>252.39600000000002</v>
      </c>
      <c r="AD617" s="8">
        <f>Table3[[#This Row],[PrimaComercial Anual]]*Table3[[#This Row],[IVA]]</f>
        <v>1093.7160000000001</v>
      </c>
      <c r="AE617" s="15">
        <f>Table3[[#This Row],[PrimaComercial Anual Asistencia]]</f>
        <v>8413.2000000000007</v>
      </c>
      <c r="AG617">
        <v>8413.2000000000007</v>
      </c>
    </row>
    <row r="618" spans="1:33" x14ac:dyDescent="0.25">
      <c r="A618" t="s">
        <v>18</v>
      </c>
      <c r="B618">
        <v>420000</v>
      </c>
      <c r="C618">
        <v>54</v>
      </c>
      <c r="D618" s="2">
        <f>Table3[[#This Row],[PrimaTécnica]]-Table3[[#This Row],[PrimaTécnica]]*SUM(Table3[[#This Row],[Gastos Adm]:[Cobranza]])</f>
        <v>3731.4122519232001</v>
      </c>
      <c r="E618">
        <v>0</v>
      </c>
      <c r="F618">
        <v>0.15</v>
      </c>
      <c r="G618">
        <v>0.05</v>
      </c>
      <c r="H618">
        <v>0.01</v>
      </c>
      <c r="I618">
        <v>0.01</v>
      </c>
      <c r="J618" s="8">
        <f>Table3[[#This Row],[PrimaTécnica]]*Table3[[#This Row],[Gastos Adm]]</f>
        <v>717.57927921600003</v>
      </c>
      <c r="K618" s="8">
        <f>Table3[[#This Row],[PrimaTécnica]]*Table3[[#This Row],[Utilidad]]</f>
        <v>239.19309307200001</v>
      </c>
      <c r="L618" s="8">
        <f>Table3[[#This Row],[PrimaTécnica]]*Table3[[#This Row],[Marketing]]</f>
        <v>47.838618614400005</v>
      </c>
      <c r="M618" s="8">
        <f>Table3[[#This Row],[PrimaTécnica]]*Table3[[#This Row],[Cobranza]]</f>
        <v>47.838618614400005</v>
      </c>
      <c r="N61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4783.8618614400002</v>
      </c>
      <c r="O618">
        <v>21.84</v>
      </c>
      <c r="P618">
        <v>54.6</v>
      </c>
      <c r="Q618">
        <v>80.64</v>
      </c>
      <c r="R618">
        <v>44.377200000000002</v>
      </c>
      <c r="S618">
        <v>0.2</v>
      </c>
      <c r="T618">
        <v>0.02</v>
      </c>
      <c r="U618" s="8">
        <f>Table3[[#This Row],[PrimaNeta]]*Table3[[#This Row],[Comisión]]</f>
        <v>1246.3297653600002</v>
      </c>
      <c r="V618" s="15">
        <f>Table3[[#This Row],[PrimaComercial Anual]]-Table3[[#This Row],[PrimaComercial Anual]]*SUM(Table3[[#This Row],[APS]:[IVA]])</f>
        <v>6231.6488268000012</v>
      </c>
      <c r="W618" s="2">
        <v>1.4800000000000001E-2</v>
      </c>
      <c r="X618" s="2">
        <v>8.4501000000000007E-2</v>
      </c>
      <c r="Y618">
        <v>0.03</v>
      </c>
      <c r="Z618">
        <v>0.13</v>
      </c>
      <c r="AA618" s="20">
        <f>Table3[[#This Row],[APS]]*Table3[[#This Row],[PrimaComercial Anual]]</f>
        <v>124.51536000000002</v>
      </c>
      <c r="AB618" s="8">
        <f>Table3[[#This Row],[PrimaComercial Anual]]*Table3[[#This Row],[Recargo adicional]]</f>
        <v>710.92381320000015</v>
      </c>
      <c r="AC618" s="8">
        <f>Table3[[#This Row],[PrimaComercial Anual]]*Table3[[#This Row],[IT]]</f>
        <v>252.39600000000002</v>
      </c>
      <c r="AD618" s="8">
        <f>Table3[[#This Row],[PrimaComercial Anual]]*Table3[[#This Row],[IVA]]</f>
        <v>1093.7160000000001</v>
      </c>
      <c r="AE618" s="15">
        <f>Table3[[#This Row],[PrimaComercial Anual Asistencia]]</f>
        <v>8413.2000000000007</v>
      </c>
      <c r="AG618">
        <v>8413.2000000000007</v>
      </c>
    </row>
    <row r="619" spans="1:33" x14ac:dyDescent="0.25">
      <c r="A619" t="s">
        <v>18</v>
      </c>
      <c r="B619">
        <v>420000</v>
      </c>
      <c r="C619">
        <v>55</v>
      </c>
      <c r="D619" s="2">
        <f>Table3[[#This Row],[PrimaTécnica]]-Table3[[#This Row],[PrimaTécnica]]*SUM(Table3[[#This Row],[Gastos Adm]:[Cobranza]])</f>
        <v>3731.4122519232001</v>
      </c>
      <c r="E619">
        <v>0</v>
      </c>
      <c r="F619">
        <v>0.15</v>
      </c>
      <c r="G619">
        <v>0.05</v>
      </c>
      <c r="H619">
        <v>0.01</v>
      </c>
      <c r="I619">
        <v>0.01</v>
      </c>
      <c r="J619" s="8">
        <f>Table3[[#This Row],[PrimaTécnica]]*Table3[[#This Row],[Gastos Adm]]</f>
        <v>717.57927921600003</v>
      </c>
      <c r="K619" s="8">
        <f>Table3[[#This Row],[PrimaTécnica]]*Table3[[#This Row],[Utilidad]]</f>
        <v>239.19309307200001</v>
      </c>
      <c r="L619" s="8">
        <f>Table3[[#This Row],[PrimaTécnica]]*Table3[[#This Row],[Marketing]]</f>
        <v>47.838618614400005</v>
      </c>
      <c r="M619" s="8">
        <f>Table3[[#This Row],[PrimaTécnica]]*Table3[[#This Row],[Cobranza]]</f>
        <v>47.838618614400005</v>
      </c>
      <c r="N61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4783.8618614400002</v>
      </c>
      <c r="O619">
        <v>21.84</v>
      </c>
      <c r="P619">
        <v>54.6</v>
      </c>
      <c r="Q619">
        <v>80.64</v>
      </c>
      <c r="R619">
        <v>44.377200000000002</v>
      </c>
      <c r="S619">
        <v>0.2</v>
      </c>
      <c r="T619">
        <v>0.02</v>
      </c>
      <c r="U619" s="8">
        <f>Table3[[#This Row],[PrimaNeta]]*Table3[[#This Row],[Comisión]]</f>
        <v>1246.3297653600002</v>
      </c>
      <c r="V619" s="15">
        <f>Table3[[#This Row],[PrimaComercial Anual]]-Table3[[#This Row],[PrimaComercial Anual]]*SUM(Table3[[#This Row],[APS]:[IVA]])</f>
        <v>6231.6488268000012</v>
      </c>
      <c r="W619" s="2">
        <v>1.4800000000000001E-2</v>
      </c>
      <c r="X619" s="2">
        <v>8.4501000000000007E-2</v>
      </c>
      <c r="Y619">
        <v>0.03</v>
      </c>
      <c r="Z619">
        <v>0.13</v>
      </c>
      <c r="AA619" s="20">
        <f>Table3[[#This Row],[APS]]*Table3[[#This Row],[PrimaComercial Anual]]</f>
        <v>124.51536000000002</v>
      </c>
      <c r="AB619" s="8">
        <f>Table3[[#This Row],[PrimaComercial Anual]]*Table3[[#This Row],[Recargo adicional]]</f>
        <v>710.92381320000015</v>
      </c>
      <c r="AC619" s="8">
        <f>Table3[[#This Row],[PrimaComercial Anual]]*Table3[[#This Row],[IT]]</f>
        <v>252.39600000000002</v>
      </c>
      <c r="AD619" s="8">
        <f>Table3[[#This Row],[PrimaComercial Anual]]*Table3[[#This Row],[IVA]]</f>
        <v>1093.7160000000001</v>
      </c>
      <c r="AE619" s="15">
        <f>Table3[[#This Row],[PrimaComercial Anual Asistencia]]</f>
        <v>8413.2000000000007</v>
      </c>
      <c r="AG619">
        <v>8413.2000000000007</v>
      </c>
    </row>
    <row r="620" spans="1:33" x14ac:dyDescent="0.25">
      <c r="A620" t="s">
        <v>18</v>
      </c>
      <c r="B620">
        <v>420000</v>
      </c>
      <c r="C620">
        <v>56</v>
      </c>
      <c r="D620" s="2">
        <f>Table3[[#This Row],[PrimaTécnica]]-Table3[[#This Row],[PrimaTécnica]]*SUM(Table3[[#This Row],[Gastos Adm]:[Cobranza]])</f>
        <v>4247.7778197503985</v>
      </c>
      <c r="E620">
        <v>0</v>
      </c>
      <c r="F620">
        <v>0.15</v>
      </c>
      <c r="G620">
        <v>0.05</v>
      </c>
      <c r="H620">
        <v>0.01</v>
      </c>
      <c r="I620">
        <v>0.01</v>
      </c>
      <c r="J620" s="8">
        <f>Table3[[#This Row],[PrimaTécnica]]*Table3[[#This Row],[Gastos Adm]]</f>
        <v>816.88034995199973</v>
      </c>
      <c r="K620" s="8">
        <f>Table3[[#This Row],[PrimaTécnica]]*Table3[[#This Row],[Utilidad]]</f>
        <v>272.29344998399995</v>
      </c>
      <c r="L620" s="8">
        <f>Table3[[#This Row],[PrimaTécnica]]*Table3[[#This Row],[Marketing]]</f>
        <v>54.45868999679999</v>
      </c>
      <c r="M620" s="8">
        <f>Table3[[#This Row],[PrimaTécnica]]*Table3[[#This Row],[Cobranza]]</f>
        <v>54.45868999679999</v>
      </c>
      <c r="N62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5445.8689996799985</v>
      </c>
      <c r="O620">
        <v>21.84</v>
      </c>
      <c r="P620">
        <v>54.6</v>
      </c>
      <c r="Q620">
        <v>80.64</v>
      </c>
      <c r="R620">
        <v>44.377200000000002</v>
      </c>
      <c r="S620">
        <v>0.2</v>
      </c>
      <c r="T620">
        <v>0.02</v>
      </c>
      <c r="U620" s="8">
        <f>Table3[[#This Row],[PrimaNeta]]*Table3[[#This Row],[Comisión]]</f>
        <v>1411.8315499199998</v>
      </c>
      <c r="V620" s="15">
        <f>Table3[[#This Row],[PrimaComercial Anual]]-Table3[[#This Row],[PrimaComercial Anual]]*SUM(Table3[[#This Row],[APS]:[IVA]])</f>
        <v>7059.1577495999991</v>
      </c>
      <c r="W620" s="2">
        <v>1.4800000000000001E-2</v>
      </c>
      <c r="X620" s="2">
        <v>8.4501000000000007E-2</v>
      </c>
      <c r="Y620">
        <v>0.03</v>
      </c>
      <c r="Z620">
        <v>0.13</v>
      </c>
      <c r="AA620" s="20">
        <f>Table3[[#This Row],[APS]]*Table3[[#This Row],[PrimaComercial Anual]]</f>
        <v>141.04992000000001</v>
      </c>
      <c r="AB620" s="8">
        <f>Table3[[#This Row],[PrimaComercial Anual]]*Table3[[#This Row],[Recargo adicional]]</f>
        <v>805.32833040000003</v>
      </c>
      <c r="AC620" s="8">
        <f>Table3[[#This Row],[PrimaComercial Anual]]*Table3[[#This Row],[IT]]</f>
        <v>285.91199999999998</v>
      </c>
      <c r="AD620" s="8">
        <f>Table3[[#This Row],[PrimaComercial Anual]]*Table3[[#This Row],[IVA]]</f>
        <v>1238.952</v>
      </c>
      <c r="AE620" s="15">
        <f>Table3[[#This Row],[PrimaComercial Anual Asistencia]]</f>
        <v>9530.4</v>
      </c>
      <c r="AG620">
        <v>9530.4</v>
      </c>
    </row>
    <row r="621" spans="1:33" x14ac:dyDescent="0.25">
      <c r="A621" t="s">
        <v>18</v>
      </c>
      <c r="B621">
        <v>420000</v>
      </c>
      <c r="C621">
        <v>57</v>
      </c>
      <c r="D621" s="2">
        <f>Table3[[#This Row],[PrimaTécnica]]-Table3[[#This Row],[PrimaTécnica]]*SUM(Table3[[#This Row],[Gastos Adm]:[Cobranza]])</f>
        <v>4247.7778197503985</v>
      </c>
      <c r="E621">
        <v>0</v>
      </c>
      <c r="F621">
        <v>0.15</v>
      </c>
      <c r="G621">
        <v>0.05</v>
      </c>
      <c r="H621">
        <v>0.01</v>
      </c>
      <c r="I621">
        <v>0.01</v>
      </c>
      <c r="J621" s="8">
        <f>Table3[[#This Row],[PrimaTécnica]]*Table3[[#This Row],[Gastos Adm]]</f>
        <v>816.88034995199973</v>
      </c>
      <c r="K621" s="8">
        <f>Table3[[#This Row],[PrimaTécnica]]*Table3[[#This Row],[Utilidad]]</f>
        <v>272.29344998399995</v>
      </c>
      <c r="L621" s="8">
        <f>Table3[[#This Row],[PrimaTécnica]]*Table3[[#This Row],[Marketing]]</f>
        <v>54.45868999679999</v>
      </c>
      <c r="M621" s="8">
        <f>Table3[[#This Row],[PrimaTécnica]]*Table3[[#This Row],[Cobranza]]</f>
        <v>54.45868999679999</v>
      </c>
      <c r="N62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5445.8689996799985</v>
      </c>
      <c r="O621">
        <v>21.84</v>
      </c>
      <c r="P621">
        <v>54.6</v>
      </c>
      <c r="Q621">
        <v>80.64</v>
      </c>
      <c r="R621">
        <v>44.377200000000002</v>
      </c>
      <c r="S621">
        <v>0.2</v>
      </c>
      <c r="T621">
        <v>0.02</v>
      </c>
      <c r="U621" s="8">
        <f>Table3[[#This Row],[PrimaNeta]]*Table3[[#This Row],[Comisión]]</f>
        <v>1411.8315499199998</v>
      </c>
      <c r="V621" s="15">
        <f>Table3[[#This Row],[PrimaComercial Anual]]-Table3[[#This Row],[PrimaComercial Anual]]*SUM(Table3[[#This Row],[APS]:[IVA]])</f>
        <v>7059.1577495999991</v>
      </c>
      <c r="W621" s="2">
        <v>1.4800000000000001E-2</v>
      </c>
      <c r="X621" s="2">
        <v>8.4501000000000007E-2</v>
      </c>
      <c r="Y621">
        <v>0.03</v>
      </c>
      <c r="Z621">
        <v>0.13</v>
      </c>
      <c r="AA621" s="20">
        <f>Table3[[#This Row],[APS]]*Table3[[#This Row],[PrimaComercial Anual]]</f>
        <v>141.04992000000001</v>
      </c>
      <c r="AB621" s="8">
        <f>Table3[[#This Row],[PrimaComercial Anual]]*Table3[[#This Row],[Recargo adicional]]</f>
        <v>805.32833040000003</v>
      </c>
      <c r="AC621" s="8">
        <f>Table3[[#This Row],[PrimaComercial Anual]]*Table3[[#This Row],[IT]]</f>
        <v>285.91199999999998</v>
      </c>
      <c r="AD621" s="8">
        <f>Table3[[#This Row],[PrimaComercial Anual]]*Table3[[#This Row],[IVA]]</f>
        <v>1238.952</v>
      </c>
      <c r="AE621" s="15">
        <f>Table3[[#This Row],[PrimaComercial Anual Asistencia]]</f>
        <v>9530.4</v>
      </c>
      <c r="AG621">
        <v>9530.4</v>
      </c>
    </row>
    <row r="622" spans="1:33" x14ac:dyDescent="0.25">
      <c r="A622" t="s">
        <v>18</v>
      </c>
      <c r="B622">
        <v>420000</v>
      </c>
      <c r="C622">
        <v>58</v>
      </c>
      <c r="D622" s="2">
        <f>Table3[[#This Row],[PrimaTécnica]]-Table3[[#This Row],[PrimaTécnica]]*SUM(Table3[[#This Row],[Gastos Adm]:[Cobranza]])</f>
        <v>4247.7778197503985</v>
      </c>
      <c r="E622">
        <v>0</v>
      </c>
      <c r="F622">
        <v>0.15</v>
      </c>
      <c r="G622">
        <v>0.05</v>
      </c>
      <c r="H622">
        <v>0.01</v>
      </c>
      <c r="I622">
        <v>0.01</v>
      </c>
      <c r="J622" s="8">
        <f>Table3[[#This Row],[PrimaTécnica]]*Table3[[#This Row],[Gastos Adm]]</f>
        <v>816.88034995199973</v>
      </c>
      <c r="K622" s="8">
        <f>Table3[[#This Row],[PrimaTécnica]]*Table3[[#This Row],[Utilidad]]</f>
        <v>272.29344998399995</v>
      </c>
      <c r="L622" s="8">
        <f>Table3[[#This Row],[PrimaTécnica]]*Table3[[#This Row],[Marketing]]</f>
        <v>54.45868999679999</v>
      </c>
      <c r="M622" s="8">
        <f>Table3[[#This Row],[PrimaTécnica]]*Table3[[#This Row],[Cobranza]]</f>
        <v>54.45868999679999</v>
      </c>
      <c r="N62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5445.8689996799985</v>
      </c>
      <c r="O622">
        <v>21.84</v>
      </c>
      <c r="P622">
        <v>54.6</v>
      </c>
      <c r="Q622">
        <v>80.64</v>
      </c>
      <c r="R622">
        <v>44.377200000000002</v>
      </c>
      <c r="S622">
        <v>0.2</v>
      </c>
      <c r="T622">
        <v>0.02</v>
      </c>
      <c r="U622" s="8">
        <f>Table3[[#This Row],[PrimaNeta]]*Table3[[#This Row],[Comisión]]</f>
        <v>1411.8315499199998</v>
      </c>
      <c r="V622" s="15">
        <f>Table3[[#This Row],[PrimaComercial Anual]]-Table3[[#This Row],[PrimaComercial Anual]]*SUM(Table3[[#This Row],[APS]:[IVA]])</f>
        <v>7059.1577495999991</v>
      </c>
      <c r="W622" s="2">
        <v>1.4800000000000001E-2</v>
      </c>
      <c r="X622" s="2">
        <v>8.4501000000000007E-2</v>
      </c>
      <c r="Y622">
        <v>0.03</v>
      </c>
      <c r="Z622">
        <v>0.13</v>
      </c>
      <c r="AA622" s="20">
        <f>Table3[[#This Row],[APS]]*Table3[[#This Row],[PrimaComercial Anual]]</f>
        <v>141.04992000000001</v>
      </c>
      <c r="AB622" s="8">
        <f>Table3[[#This Row],[PrimaComercial Anual]]*Table3[[#This Row],[Recargo adicional]]</f>
        <v>805.32833040000003</v>
      </c>
      <c r="AC622" s="8">
        <f>Table3[[#This Row],[PrimaComercial Anual]]*Table3[[#This Row],[IT]]</f>
        <v>285.91199999999998</v>
      </c>
      <c r="AD622" s="8">
        <f>Table3[[#This Row],[PrimaComercial Anual]]*Table3[[#This Row],[IVA]]</f>
        <v>1238.952</v>
      </c>
      <c r="AE622" s="15">
        <f>Table3[[#This Row],[PrimaComercial Anual Asistencia]]</f>
        <v>9530.4</v>
      </c>
      <c r="AG622">
        <v>9530.4</v>
      </c>
    </row>
    <row r="623" spans="1:33" x14ac:dyDescent="0.25">
      <c r="A623" t="s">
        <v>18</v>
      </c>
      <c r="B623">
        <v>420000</v>
      </c>
      <c r="C623">
        <v>59</v>
      </c>
      <c r="D623" s="2">
        <f>Table3[[#This Row],[PrimaTécnica]]-Table3[[#This Row],[PrimaTécnica]]*SUM(Table3[[#This Row],[Gastos Adm]:[Cobranza]])</f>
        <v>4247.7778197503985</v>
      </c>
      <c r="E623">
        <v>0</v>
      </c>
      <c r="F623">
        <v>0.15</v>
      </c>
      <c r="G623">
        <v>0.05</v>
      </c>
      <c r="H623">
        <v>0.01</v>
      </c>
      <c r="I623">
        <v>0.01</v>
      </c>
      <c r="J623" s="8">
        <f>Table3[[#This Row],[PrimaTécnica]]*Table3[[#This Row],[Gastos Adm]]</f>
        <v>816.88034995199973</v>
      </c>
      <c r="K623" s="8">
        <f>Table3[[#This Row],[PrimaTécnica]]*Table3[[#This Row],[Utilidad]]</f>
        <v>272.29344998399995</v>
      </c>
      <c r="L623" s="8">
        <f>Table3[[#This Row],[PrimaTécnica]]*Table3[[#This Row],[Marketing]]</f>
        <v>54.45868999679999</v>
      </c>
      <c r="M623" s="8">
        <f>Table3[[#This Row],[PrimaTécnica]]*Table3[[#This Row],[Cobranza]]</f>
        <v>54.45868999679999</v>
      </c>
      <c r="N62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5445.8689996799985</v>
      </c>
      <c r="O623">
        <v>21.84</v>
      </c>
      <c r="P623">
        <v>54.6</v>
      </c>
      <c r="Q623">
        <v>80.64</v>
      </c>
      <c r="R623">
        <v>44.377200000000002</v>
      </c>
      <c r="S623">
        <v>0.2</v>
      </c>
      <c r="T623">
        <v>0.02</v>
      </c>
      <c r="U623" s="8">
        <f>Table3[[#This Row],[PrimaNeta]]*Table3[[#This Row],[Comisión]]</f>
        <v>1411.8315499199998</v>
      </c>
      <c r="V623" s="15">
        <f>Table3[[#This Row],[PrimaComercial Anual]]-Table3[[#This Row],[PrimaComercial Anual]]*SUM(Table3[[#This Row],[APS]:[IVA]])</f>
        <v>7059.1577495999991</v>
      </c>
      <c r="W623" s="2">
        <v>1.4800000000000001E-2</v>
      </c>
      <c r="X623" s="2">
        <v>8.4501000000000007E-2</v>
      </c>
      <c r="Y623">
        <v>0.03</v>
      </c>
      <c r="Z623">
        <v>0.13</v>
      </c>
      <c r="AA623" s="20">
        <f>Table3[[#This Row],[APS]]*Table3[[#This Row],[PrimaComercial Anual]]</f>
        <v>141.04992000000001</v>
      </c>
      <c r="AB623" s="8">
        <f>Table3[[#This Row],[PrimaComercial Anual]]*Table3[[#This Row],[Recargo adicional]]</f>
        <v>805.32833040000003</v>
      </c>
      <c r="AC623" s="8">
        <f>Table3[[#This Row],[PrimaComercial Anual]]*Table3[[#This Row],[IT]]</f>
        <v>285.91199999999998</v>
      </c>
      <c r="AD623" s="8">
        <f>Table3[[#This Row],[PrimaComercial Anual]]*Table3[[#This Row],[IVA]]</f>
        <v>1238.952</v>
      </c>
      <c r="AE623" s="15">
        <f>Table3[[#This Row],[PrimaComercial Anual Asistencia]]</f>
        <v>9530.4</v>
      </c>
      <c r="AG623">
        <v>9530.4</v>
      </c>
    </row>
    <row r="624" spans="1:33" x14ac:dyDescent="0.25">
      <c r="A624" t="s">
        <v>18</v>
      </c>
      <c r="B624">
        <v>420000</v>
      </c>
      <c r="C624">
        <v>60</v>
      </c>
      <c r="D624" s="2">
        <f>Table3[[#This Row],[PrimaTécnica]]-Table3[[#This Row],[PrimaTécnica]]*SUM(Table3[[#This Row],[Gastos Adm]:[Cobranza]])</f>
        <v>7161.5549524895996</v>
      </c>
      <c r="E624">
        <v>0</v>
      </c>
      <c r="F624">
        <v>0.15</v>
      </c>
      <c r="G624">
        <v>0.05</v>
      </c>
      <c r="H624">
        <v>0.01</v>
      </c>
      <c r="I624">
        <v>0.01</v>
      </c>
      <c r="J624" s="8">
        <f>Table3[[#This Row],[PrimaTécnica]]*Table3[[#This Row],[Gastos Adm]]</f>
        <v>1377.2221062479998</v>
      </c>
      <c r="K624" s="8">
        <f>Table3[[#This Row],[PrimaTécnica]]*Table3[[#This Row],[Utilidad]]</f>
        <v>459.07403541600002</v>
      </c>
      <c r="L624" s="8">
        <f>Table3[[#This Row],[PrimaTécnica]]*Table3[[#This Row],[Marketing]]</f>
        <v>91.814807083199995</v>
      </c>
      <c r="M624" s="8">
        <f>Table3[[#This Row],[PrimaTécnica]]*Table3[[#This Row],[Cobranza]]</f>
        <v>91.814807083199995</v>
      </c>
      <c r="N62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9181.4807083199994</v>
      </c>
      <c r="O624">
        <v>21.84</v>
      </c>
      <c r="P624">
        <v>54.6</v>
      </c>
      <c r="Q624">
        <v>80.64</v>
      </c>
      <c r="R624">
        <v>44.377200000000002</v>
      </c>
      <c r="S624">
        <v>0.2</v>
      </c>
      <c r="T624">
        <v>0.02</v>
      </c>
      <c r="U624" s="8">
        <f>Table3[[#This Row],[PrimaNeta]]*Table3[[#This Row],[Comisión]]</f>
        <v>2345.7344770800005</v>
      </c>
      <c r="V624" s="15">
        <f>Table3[[#This Row],[PrimaComercial Anual]]-Table3[[#This Row],[PrimaComercial Anual]]*SUM(Table3[[#This Row],[APS]:[IVA]])</f>
        <v>11728.672385400001</v>
      </c>
      <c r="W624" s="2">
        <v>1.4800000000000001E-2</v>
      </c>
      <c r="X624" s="2">
        <v>8.4501000000000007E-2</v>
      </c>
      <c r="Y624">
        <v>0.03</v>
      </c>
      <c r="Z624">
        <v>0.13</v>
      </c>
      <c r="AA624" s="20">
        <f>Table3[[#This Row],[APS]]*Table3[[#This Row],[PrimaComercial Anual]]</f>
        <v>234.35208000000003</v>
      </c>
      <c r="AB624" s="8">
        <f>Table3[[#This Row],[PrimaComercial Anual]]*Table3[[#This Row],[Recargo adicional]]</f>
        <v>1338.0395346</v>
      </c>
      <c r="AC624" s="8">
        <f>Table3[[#This Row],[PrimaComercial Anual]]*Table3[[#This Row],[IT]]</f>
        <v>475.03800000000001</v>
      </c>
      <c r="AD624" s="8">
        <f>Table3[[#This Row],[PrimaComercial Anual]]*Table3[[#This Row],[IVA]]</f>
        <v>2058.498</v>
      </c>
      <c r="AE624" s="15">
        <f>Table3[[#This Row],[PrimaComercial Anual Asistencia]]</f>
        <v>15834.6</v>
      </c>
      <c r="AG624">
        <v>15834.6</v>
      </c>
    </row>
    <row r="625" spans="1:33" x14ac:dyDescent="0.25">
      <c r="A625" t="s">
        <v>18</v>
      </c>
      <c r="B625">
        <v>420000</v>
      </c>
      <c r="C625">
        <v>61</v>
      </c>
      <c r="D625" s="2">
        <f>Table3[[#This Row],[PrimaTécnica]]-Table3[[#This Row],[PrimaTécnica]]*SUM(Table3[[#This Row],[Gastos Adm]:[Cobranza]])</f>
        <v>7161.5549524895996</v>
      </c>
      <c r="E625">
        <v>0</v>
      </c>
      <c r="F625">
        <v>0.15</v>
      </c>
      <c r="G625">
        <v>0.05</v>
      </c>
      <c r="H625">
        <v>0.01</v>
      </c>
      <c r="I625">
        <v>0.01</v>
      </c>
      <c r="J625" s="8">
        <f>Table3[[#This Row],[PrimaTécnica]]*Table3[[#This Row],[Gastos Adm]]</f>
        <v>1377.2221062479998</v>
      </c>
      <c r="K625" s="8">
        <f>Table3[[#This Row],[PrimaTécnica]]*Table3[[#This Row],[Utilidad]]</f>
        <v>459.07403541600002</v>
      </c>
      <c r="L625" s="8">
        <f>Table3[[#This Row],[PrimaTécnica]]*Table3[[#This Row],[Marketing]]</f>
        <v>91.814807083199995</v>
      </c>
      <c r="M625" s="8">
        <f>Table3[[#This Row],[PrimaTécnica]]*Table3[[#This Row],[Cobranza]]</f>
        <v>91.814807083199995</v>
      </c>
      <c r="N62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9181.4807083199994</v>
      </c>
      <c r="O625">
        <v>21.84</v>
      </c>
      <c r="P625">
        <v>54.6</v>
      </c>
      <c r="Q625">
        <v>80.64</v>
      </c>
      <c r="R625">
        <v>44.377200000000002</v>
      </c>
      <c r="S625">
        <v>0.2</v>
      </c>
      <c r="T625">
        <v>0.02</v>
      </c>
      <c r="U625" s="8">
        <f>Table3[[#This Row],[PrimaNeta]]*Table3[[#This Row],[Comisión]]</f>
        <v>2345.7344770800005</v>
      </c>
      <c r="V625" s="15">
        <f>Table3[[#This Row],[PrimaComercial Anual]]-Table3[[#This Row],[PrimaComercial Anual]]*SUM(Table3[[#This Row],[APS]:[IVA]])</f>
        <v>11728.672385400001</v>
      </c>
      <c r="W625" s="2">
        <v>1.4800000000000001E-2</v>
      </c>
      <c r="X625" s="2">
        <v>8.4501000000000007E-2</v>
      </c>
      <c r="Y625">
        <v>0.03</v>
      </c>
      <c r="Z625">
        <v>0.13</v>
      </c>
      <c r="AA625" s="20">
        <f>Table3[[#This Row],[APS]]*Table3[[#This Row],[PrimaComercial Anual]]</f>
        <v>234.35208000000003</v>
      </c>
      <c r="AB625" s="8">
        <f>Table3[[#This Row],[PrimaComercial Anual]]*Table3[[#This Row],[Recargo adicional]]</f>
        <v>1338.0395346</v>
      </c>
      <c r="AC625" s="8">
        <f>Table3[[#This Row],[PrimaComercial Anual]]*Table3[[#This Row],[IT]]</f>
        <v>475.03800000000001</v>
      </c>
      <c r="AD625" s="8">
        <f>Table3[[#This Row],[PrimaComercial Anual]]*Table3[[#This Row],[IVA]]</f>
        <v>2058.498</v>
      </c>
      <c r="AE625" s="15">
        <f>Table3[[#This Row],[PrimaComercial Anual Asistencia]]</f>
        <v>15834.6</v>
      </c>
      <c r="AG625">
        <v>15834.6</v>
      </c>
    </row>
    <row r="626" spans="1:33" x14ac:dyDescent="0.25">
      <c r="A626" t="s">
        <v>18</v>
      </c>
      <c r="B626">
        <v>420000</v>
      </c>
      <c r="C626">
        <v>62</v>
      </c>
      <c r="D626" s="2">
        <f>Table3[[#This Row],[PrimaTécnica]]-Table3[[#This Row],[PrimaTécnica]]*SUM(Table3[[#This Row],[Gastos Adm]:[Cobranza]])</f>
        <v>7161.5549524895996</v>
      </c>
      <c r="E626">
        <v>0</v>
      </c>
      <c r="F626">
        <v>0.15</v>
      </c>
      <c r="G626">
        <v>0.05</v>
      </c>
      <c r="H626">
        <v>0.01</v>
      </c>
      <c r="I626">
        <v>0.01</v>
      </c>
      <c r="J626" s="8">
        <f>Table3[[#This Row],[PrimaTécnica]]*Table3[[#This Row],[Gastos Adm]]</f>
        <v>1377.2221062479998</v>
      </c>
      <c r="K626" s="8">
        <f>Table3[[#This Row],[PrimaTécnica]]*Table3[[#This Row],[Utilidad]]</f>
        <v>459.07403541600002</v>
      </c>
      <c r="L626" s="8">
        <f>Table3[[#This Row],[PrimaTécnica]]*Table3[[#This Row],[Marketing]]</f>
        <v>91.814807083199995</v>
      </c>
      <c r="M626" s="8">
        <f>Table3[[#This Row],[PrimaTécnica]]*Table3[[#This Row],[Cobranza]]</f>
        <v>91.814807083199995</v>
      </c>
      <c r="N62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9181.4807083199994</v>
      </c>
      <c r="O626">
        <v>21.84</v>
      </c>
      <c r="P626">
        <v>54.6</v>
      </c>
      <c r="Q626">
        <v>80.64</v>
      </c>
      <c r="R626">
        <v>44.377200000000002</v>
      </c>
      <c r="S626">
        <v>0.2</v>
      </c>
      <c r="T626">
        <v>0.02</v>
      </c>
      <c r="U626" s="8">
        <f>Table3[[#This Row],[PrimaNeta]]*Table3[[#This Row],[Comisión]]</f>
        <v>2345.7344770800005</v>
      </c>
      <c r="V626" s="15">
        <f>Table3[[#This Row],[PrimaComercial Anual]]-Table3[[#This Row],[PrimaComercial Anual]]*SUM(Table3[[#This Row],[APS]:[IVA]])</f>
        <v>11728.672385400001</v>
      </c>
      <c r="W626" s="2">
        <v>1.4800000000000001E-2</v>
      </c>
      <c r="X626" s="2">
        <v>8.4501000000000007E-2</v>
      </c>
      <c r="Y626">
        <v>0.03</v>
      </c>
      <c r="Z626">
        <v>0.13</v>
      </c>
      <c r="AA626" s="20">
        <f>Table3[[#This Row],[APS]]*Table3[[#This Row],[PrimaComercial Anual]]</f>
        <v>234.35208000000003</v>
      </c>
      <c r="AB626" s="8">
        <f>Table3[[#This Row],[PrimaComercial Anual]]*Table3[[#This Row],[Recargo adicional]]</f>
        <v>1338.0395346</v>
      </c>
      <c r="AC626" s="8">
        <f>Table3[[#This Row],[PrimaComercial Anual]]*Table3[[#This Row],[IT]]</f>
        <v>475.03800000000001</v>
      </c>
      <c r="AD626" s="8">
        <f>Table3[[#This Row],[PrimaComercial Anual]]*Table3[[#This Row],[IVA]]</f>
        <v>2058.498</v>
      </c>
      <c r="AE626" s="15">
        <f>Table3[[#This Row],[PrimaComercial Anual Asistencia]]</f>
        <v>15834.6</v>
      </c>
      <c r="AG626">
        <v>15834.6</v>
      </c>
    </row>
    <row r="627" spans="1:33" x14ac:dyDescent="0.25">
      <c r="A627" t="s">
        <v>18</v>
      </c>
      <c r="B627">
        <v>420000</v>
      </c>
      <c r="C627">
        <v>63</v>
      </c>
      <c r="D627" s="2">
        <f>Table3[[#This Row],[PrimaTécnica]]-Table3[[#This Row],[PrimaTécnica]]*SUM(Table3[[#This Row],[Gastos Adm]:[Cobranza]])</f>
        <v>7161.5549524895996</v>
      </c>
      <c r="E627">
        <v>0</v>
      </c>
      <c r="F627">
        <v>0.15</v>
      </c>
      <c r="G627">
        <v>0.05</v>
      </c>
      <c r="H627">
        <v>0.01</v>
      </c>
      <c r="I627">
        <v>0.01</v>
      </c>
      <c r="J627" s="8">
        <f>Table3[[#This Row],[PrimaTécnica]]*Table3[[#This Row],[Gastos Adm]]</f>
        <v>1377.2221062479998</v>
      </c>
      <c r="K627" s="8">
        <f>Table3[[#This Row],[PrimaTécnica]]*Table3[[#This Row],[Utilidad]]</f>
        <v>459.07403541600002</v>
      </c>
      <c r="L627" s="8">
        <f>Table3[[#This Row],[PrimaTécnica]]*Table3[[#This Row],[Marketing]]</f>
        <v>91.814807083199995</v>
      </c>
      <c r="M627" s="8">
        <f>Table3[[#This Row],[PrimaTécnica]]*Table3[[#This Row],[Cobranza]]</f>
        <v>91.814807083199995</v>
      </c>
      <c r="N62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9181.4807083199994</v>
      </c>
      <c r="O627">
        <v>21.84</v>
      </c>
      <c r="P627">
        <v>54.6</v>
      </c>
      <c r="Q627">
        <v>80.64</v>
      </c>
      <c r="R627">
        <v>44.377200000000002</v>
      </c>
      <c r="S627">
        <v>0.2</v>
      </c>
      <c r="T627">
        <v>0.02</v>
      </c>
      <c r="U627" s="8">
        <f>Table3[[#This Row],[PrimaNeta]]*Table3[[#This Row],[Comisión]]</f>
        <v>2345.7344770800005</v>
      </c>
      <c r="V627" s="15">
        <f>Table3[[#This Row],[PrimaComercial Anual]]-Table3[[#This Row],[PrimaComercial Anual]]*SUM(Table3[[#This Row],[APS]:[IVA]])</f>
        <v>11728.672385400001</v>
      </c>
      <c r="W627" s="2">
        <v>1.4800000000000001E-2</v>
      </c>
      <c r="X627" s="2">
        <v>8.4501000000000007E-2</v>
      </c>
      <c r="Y627">
        <v>0.03</v>
      </c>
      <c r="Z627">
        <v>0.13</v>
      </c>
      <c r="AA627" s="20">
        <f>Table3[[#This Row],[APS]]*Table3[[#This Row],[PrimaComercial Anual]]</f>
        <v>234.35208000000003</v>
      </c>
      <c r="AB627" s="8">
        <f>Table3[[#This Row],[PrimaComercial Anual]]*Table3[[#This Row],[Recargo adicional]]</f>
        <v>1338.0395346</v>
      </c>
      <c r="AC627" s="8">
        <f>Table3[[#This Row],[PrimaComercial Anual]]*Table3[[#This Row],[IT]]</f>
        <v>475.03800000000001</v>
      </c>
      <c r="AD627" s="8">
        <f>Table3[[#This Row],[PrimaComercial Anual]]*Table3[[#This Row],[IVA]]</f>
        <v>2058.498</v>
      </c>
      <c r="AE627" s="15">
        <f>Table3[[#This Row],[PrimaComercial Anual Asistencia]]</f>
        <v>15834.6</v>
      </c>
      <c r="AG627">
        <v>15834.6</v>
      </c>
    </row>
    <row r="628" spans="1:33" x14ac:dyDescent="0.25">
      <c r="A628" t="s">
        <v>18</v>
      </c>
      <c r="B628">
        <v>420000</v>
      </c>
      <c r="C628">
        <v>64</v>
      </c>
      <c r="D628" s="2">
        <f>Table3[[#This Row],[PrimaTécnica]]-Table3[[#This Row],[PrimaTécnica]]*SUM(Table3[[#This Row],[Gastos Adm]:[Cobranza]])</f>
        <v>7161.5549524895996</v>
      </c>
      <c r="E628">
        <v>0</v>
      </c>
      <c r="F628">
        <v>0.15</v>
      </c>
      <c r="G628">
        <v>0.05</v>
      </c>
      <c r="H628">
        <v>0.01</v>
      </c>
      <c r="I628">
        <v>0.01</v>
      </c>
      <c r="J628" s="8">
        <f>Table3[[#This Row],[PrimaTécnica]]*Table3[[#This Row],[Gastos Adm]]</f>
        <v>1377.2221062479998</v>
      </c>
      <c r="K628" s="8">
        <f>Table3[[#This Row],[PrimaTécnica]]*Table3[[#This Row],[Utilidad]]</f>
        <v>459.07403541600002</v>
      </c>
      <c r="L628" s="8">
        <f>Table3[[#This Row],[PrimaTécnica]]*Table3[[#This Row],[Marketing]]</f>
        <v>91.814807083199995</v>
      </c>
      <c r="M628" s="8">
        <f>Table3[[#This Row],[PrimaTécnica]]*Table3[[#This Row],[Cobranza]]</f>
        <v>91.814807083199995</v>
      </c>
      <c r="N62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9181.4807083199994</v>
      </c>
      <c r="O628">
        <v>21.84</v>
      </c>
      <c r="P628">
        <v>54.6</v>
      </c>
      <c r="Q628">
        <v>80.64</v>
      </c>
      <c r="R628">
        <v>44.377200000000002</v>
      </c>
      <c r="S628">
        <v>0.2</v>
      </c>
      <c r="T628">
        <v>0.02</v>
      </c>
      <c r="U628" s="8">
        <f>Table3[[#This Row],[PrimaNeta]]*Table3[[#This Row],[Comisión]]</f>
        <v>2345.7344770800005</v>
      </c>
      <c r="V628" s="15">
        <f>Table3[[#This Row],[PrimaComercial Anual]]-Table3[[#This Row],[PrimaComercial Anual]]*SUM(Table3[[#This Row],[APS]:[IVA]])</f>
        <v>11728.672385400001</v>
      </c>
      <c r="W628" s="2">
        <v>1.4800000000000001E-2</v>
      </c>
      <c r="X628" s="2">
        <v>8.4501000000000007E-2</v>
      </c>
      <c r="Y628">
        <v>0.03</v>
      </c>
      <c r="Z628">
        <v>0.13</v>
      </c>
      <c r="AA628" s="20">
        <f>Table3[[#This Row],[APS]]*Table3[[#This Row],[PrimaComercial Anual]]</f>
        <v>234.35208000000003</v>
      </c>
      <c r="AB628" s="8">
        <f>Table3[[#This Row],[PrimaComercial Anual]]*Table3[[#This Row],[Recargo adicional]]</f>
        <v>1338.0395346</v>
      </c>
      <c r="AC628" s="8">
        <f>Table3[[#This Row],[PrimaComercial Anual]]*Table3[[#This Row],[IT]]</f>
        <v>475.03800000000001</v>
      </c>
      <c r="AD628" s="8">
        <f>Table3[[#This Row],[PrimaComercial Anual]]*Table3[[#This Row],[IVA]]</f>
        <v>2058.498</v>
      </c>
      <c r="AE628" s="15">
        <f>Table3[[#This Row],[PrimaComercial Anual Asistencia]]</f>
        <v>15834.6</v>
      </c>
      <c r="AG628">
        <v>15834.6</v>
      </c>
    </row>
    <row r="629" spans="1:33" x14ac:dyDescent="0.25">
      <c r="A629" t="s">
        <v>18</v>
      </c>
      <c r="B629">
        <v>420000</v>
      </c>
      <c r="C629">
        <v>65</v>
      </c>
      <c r="D629" s="2">
        <f>Table3[[#This Row],[PrimaTécnica]]-Table3[[#This Row],[PrimaTécnica]]*SUM(Table3[[#This Row],[Gastos Adm]:[Cobranza]])</f>
        <v>10185.981849763199</v>
      </c>
      <c r="E629">
        <v>0</v>
      </c>
      <c r="F629">
        <v>0.15</v>
      </c>
      <c r="G629">
        <v>0.05</v>
      </c>
      <c r="H629">
        <v>0.01</v>
      </c>
      <c r="I629">
        <v>0.01</v>
      </c>
      <c r="J629" s="8">
        <f>Table3[[#This Row],[PrimaTécnica]]*Table3[[#This Row],[Gastos Adm]]</f>
        <v>1958.8426634159998</v>
      </c>
      <c r="K629" s="8">
        <f>Table3[[#This Row],[PrimaTécnica]]*Table3[[#This Row],[Utilidad]]</f>
        <v>652.94755447199998</v>
      </c>
      <c r="L629" s="8">
        <f>Table3[[#This Row],[PrimaTécnica]]*Table3[[#This Row],[Marketing]]</f>
        <v>130.58951089440001</v>
      </c>
      <c r="M629" s="8">
        <f>Table3[[#This Row],[PrimaTécnica]]*Table3[[#This Row],[Cobranza]]</f>
        <v>130.58951089440001</v>
      </c>
      <c r="N62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13058.951089439999</v>
      </c>
      <c r="O629">
        <v>21.84</v>
      </c>
      <c r="P629">
        <v>54.6</v>
      </c>
      <c r="Q629">
        <v>80.64</v>
      </c>
      <c r="R629">
        <v>44.377200000000002</v>
      </c>
      <c r="S629">
        <v>0.2</v>
      </c>
      <c r="T629">
        <v>0.02</v>
      </c>
      <c r="U629" s="8">
        <f>Table3[[#This Row],[PrimaNeta]]*Table3[[#This Row],[Comisión]]</f>
        <v>3315.10207236</v>
      </c>
      <c r="V629" s="15">
        <f>Table3[[#This Row],[PrimaComercial Anual]]-Table3[[#This Row],[PrimaComercial Anual]]*SUM(Table3[[#This Row],[APS]:[IVA]])</f>
        <v>16575.510361799999</v>
      </c>
      <c r="W629" s="2">
        <v>1.4800000000000001E-2</v>
      </c>
      <c r="X629" s="2">
        <v>8.4501000000000007E-2</v>
      </c>
      <c r="Y629">
        <v>0.03</v>
      </c>
      <c r="Z629">
        <v>0.13</v>
      </c>
      <c r="AA629" s="20">
        <f>Table3[[#This Row],[APS]]*Table3[[#This Row],[PrimaComercial Anual]]</f>
        <v>331.19736</v>
      </c>
      <c r="AB629" s="8">
        <f>Table3[[#This Row],[PrimaComercial Anual]]*Table3[[#This Row],[Recargo adicional]]</f>
        <v>1890.9802782000002</v>
      </c>
      <c r="AC629" s="8">
        <f>Table3[[#This Row],[PrimaComercial Anual]]*Table3[[#This Row],[IT]]</f>
        <v>671.346</v>
      </c>
      <c r="AD629" s="8">
        <f>Table3[[#This Row],[PrimaComercial Anual]]*Table3[[#This Row],[IVA]]</f>
        <v>2909.1660000000002</v>
      </c>
      <c r="AE629" s="15">
        <f>Table3[[#This Row],[PrimaComercial Anual Asistencia]]</f>
        <v>22378.2</v>
      </c>
      <c r="AG629">
        <v>22378.2</v>
      </c>
    </row>
    <row r="630" spans="1:33" x14ac:dyDescent="0.25">
      <c r="A630" t="s">
        <v>18</v>
      </c>
      <c r="B630">
        <v>420000</v>
      </c>
      <c r="C630">
        <v>66</v>
      </c>
      <c r="D630" s="2">
        <f>Table3[[#This Row],[PrimaTécnica]]-Table3[[#This Row],[PrimaTécnica]]*SUM(Table3[[#This Row],[Gastos Adm]:[Cobranza]])</f>
        <v>10185.981849763199</v>
      </c>
      <c r="E630">
        <v>0</v>
      </c>
      <c r="F630">
        <v>0.15</v>
      </c>
      <c r="G630">
        <v>0.05</v>
      </c>
      <c r="H630">
        <v>0.01</v>
      </c>
      <c r="I630">
        <v>0.01</v>
      </c>
      <c r="J630" s="8">
        <f>Table3[[#This Row],[PrimaTécnica]]*Table3[[#This Row],[Gastos Adm]]</f>
        <v>1958.8426634159998</v>
      </c>
      <c r="K630" s="8">
        <f>Table3[[#This Row],[PrimaTécnica]]*Table3[[#This Row],[Utilidad]]</f>
        <v>652.94755447199998</v>
      </c>
      <c r="L630" s="8">
        <f>Table3[[#This Row],[PrimaTécnica]]*Table3[[#This Row],[Marketing]]</f>
        <v>130.58951089440001</v>
      </c>
      <c r="M630" s="8">
        <f>Table3[[#This Row],[PrimaTécnica]]*Table3[[#This Row],[Cobranza]]</f>
        <v>130.58951089440001</v>
      </c>
      <c r="N63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13058.951089439999</v>
      </c>
      <c r="O630">
        <v>21.84</v>
      </c>
      <c r="P630">
        <v>54.6</v>
      </c>
      <c r="Q630">
        <v>80.64</v>
      </c>
      <c r="R630">
        <v>44.377200000000002</v>
      </c>
      <c r="S630">
        <v>0.2</v>
      </c>
      <c r="T630">
        <v>0.02</v>
      </c>
      <c r="U630" s="8">
        <f>Table3[[#This Row],[PrimaNeta]]*Table3[[#This Row],[Comisión]]</f>
        <v>3315.10207236</v>
      </c>
      <c r="V630" s="15">
        <f>Table3[[#This Row],[PrimaComercial Anual]]-Table3[[#This Row],[PrimaComercial Anual]]*SUM(Table3[[#This Row],[APS]:[IVA]])</f>
        <v>16575.510361799999</v>
      </c>
      <c r="W630" s="2">
        <v>1.4800000000000001E-2</v>
      </c>
      <c r="X630" s="2">
        <v>8.4501000000000007E-2</v>
      </c>
      <c r="Y630">
        <v>0.03</v>
      </c>
      <c r="Z630">
        <v>0.13</v>
      </c>
      <c r="AA630" s="20">
        <f>Table3[[#This Row],[APS]]*Table3[[#This Row],[PrimaComercial Anual]]</f>
        <v>331.19736</v>
      </c>
      <c r="AB630" s="8">
        <f>Table3[[#This Row],[PrimaComercial Anual]]*Table3[[#This Row],[Recargo adicional]]</f>
        <v>1890.9802782000002</v>
      </c>
      <c r="AC630" s="8">
        <f>Table3[[#This Row],[PrimaComercial Anual]]*Table3[[#This Row],[IT]]</f>
        <v>671.346</v>
      </c>
      <c r="AD630" s="8">
        <f>Table3[[#This Row],[PrimaComercial Anual]]*Table3[[#This Row],[IVA]]</f>
        <v>2909.1660000000002</v>
      </c>
      <c r="AE630" s="15">
        <f>Table3[[#This Row],[PrimaComercial Anual Asistencia]]</f>
        <v>22378.2</v>
      </c>
      <c r="AG630">
        <v>22378.2</v>
      </c>
    </row>
    <row r="631" spans="1:33" x14ac:dyDescent="0.25">
      <c r="A631" t="s">
        <v>18</v>
      </c>
      <c r="B631">
        <v>420000</v>
      </c>
      <c r="C631">
        <v>67</v>
      </c>
      <c r="D631" s="2">
        <f>Table3[[#This Row],[PrimaTécnica]]-Table3[[#This Row],[PrimaTécnica]]*SUM(Table3[[#This Row],[Gastos Adm]:[Cobranza]])</f>
        <v>10185.981849763199</v>
      </c>
      <c r="E631">
        <v>0</v>
      </c>
      <c r="F631">
        <v>0.15</v>
      </c>
      <c r="G631">
        <v>0.05</v>
      </c>
      <c r="H631">
        <v>0.01</v>
      </c>
      <c r="I631">
        <v>0.01</v>
      </c>
      <c r="J631" s="8">
        <f>Table3[[#This Row],[PrimaTécnica]]*Table3[[#This Row],[Gastos Adm]]</f>
        <v>1958.8426634159998</v>
      </c>
      <c r="K631" s="8">
        <f>Table3[[#This Row],[PrimaTécnica]]*Table3[[#This Row],[Utilidad]]</f>
        <v>652.94755447199998</v>
      </c>
      <c r="L631" s="8">
        <f>Table3[[#This Row],[PrimaTécnica]]*Table3[[#This Row],[Marketing]]</f>
        <v>130.58951089440001</v>
      </c>
      <c r="M631" s="8">
        <f>Table3[[#This Row],[PrimaTécnica]]*Table3[[#This Row],[Cobranza]]</f>
        <v>130.58951089440001</v>
      </c>
      <c r="N63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13058.951089439999</v>
      </c>
      <c r="O631">
        <v>21.84</v>
      </c>
      <c r="P631">
        <v>54.6</v>
      </c>
      <c r="Q631">
        <v>80.64</v>
      </c>
      <c r="R631">
        <v>44.377200000000002</v>
      </c>
      <c r="S631">
        <v>0.2</v>
      </c>
      <c r="T631">
        <v>0.02</v>
      </c>
      <c r="U631" s="8">
        <f>Table3[[#This Row],[PrimaNeta]]*Table3[[#This Row],[Comisión]]</f>
        <v>3315.10207236</v>
      </c>
      <c r="V631" s="15">
        <f>Table3[[#This Row],[PrimaComercial Anual]]-Table3[[#This Row],[PrimaComercial Anual]]*SUM(Table3[[#This Row],[APS]:[IVA]])</f>
        <v>16575.510361799999</v>
      </c>
      <c r="W631" s="2">
        <v>1.4800000000000001E-2</v>
      </c>
      <c r="X631" s="2">
        <v>8.4501000000000007E-2</v>
      </c>
      <c r="Y631">
        <v>0.03</v>
      </c>
      <c r="Z631">
        <v>0.13</v>
      </c>
      <c r="AA631" s="20">
        <f>Table3[[#This Row],[APS]]*Table3[[#This Row],[PrimaComercial Anual]]</f>
        <v>331.19736</v>
      </c>
      <c r="AB631" s="8">
        <f>Table3[[#This Row],[PrimaComercial Anual]]*Table3[[#This Row],[Recargo adicional]]</f>
        <v>1890.9802782000002</v>
      </c>
      <c r="AC631" s="8">
        <f>Table3[[#This Row],[PrimaComercial Anual]]*Table3[[#This Row],[IT]]</f>
        <v>671.346</v>
      </c>
      <c r="AD631" s="8">
        <f>Table3[[#This Row],[PrimaComercial Anual]]*Table3[[#This Row],[IVA]]</f>
        <v>2909.1660000000002</v>
      </c>
      <c r="AE631" s="15">
        <f>Table3[[#This Row],[PrimaComercial Anual Asistencia]]</f>
        <v>22378.2</v>
      </c>
      <c r="AG631">
        <v>22378.2</v>
      </c>
    </row>
    <row r="632" spans="1:33" x14ac:dyDescent="0.25">
      <c r="A632" t="s">
        <v>18</v>
      </c>
      <c r="B632">
        <v>420000</v>
      </c>
      <c r="C632">
        <v>68</v>
      </c>
      <c r="D632" s="2">
        <f>Table3[[#This Row],[PrimaTécnica]]-Table3[[#This Row],[PrimaTécnica]]*SUM(Table3[[#This Row],[Gastos Adm]:[Cobranza]])</f>
        <v>10185.981849763199</v>
      </c>
      <c r="E632">
        <v>0</v>
      </c>
      <c r="F632">
        <v>0.15</v>
      </c>
      <c r="G632">
        <v>0.05</v>
      </c>
      <c r="H632">
        <v>0.01</v>
      </c>
      <c r="I632">
        <v>0.01</v>
      </c>
      <c r="J632" s="8">
        <f>Table3[[#This Row],[PrimaTécnica]]*Table3[[#This Row],[Gastos Adm]]</f>
        <v>1958.8426634159998</v>
      </c>
      <c r="K632" s="8">
        <f>Table3[[#This Row],[PrimaTécnica]]*Table3[[#This Row],[Utilidad]]</f>
        <v>652.94755447199998</v>
      </c>
      <c r="L632" s="8">
        <f>Table3[[#This Row],[PrimaTécnica]]*Table3[[#This Row],[Marketing]]</f>
        <v>130.58951089440001</v>
      </c>
      <c r="M632" s="8">
        <f>Table3[[#This Row],[PrimaTécnica]]*Table3[[#This Row],[Cobranza]]</f>
        <v>130.58951089440001</v>
      </c>
      <c r="N63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13058.951089439999</v>
      </c>
      <c r="O632">
        <v>21.84</v>
      </c>
      <c r="P632">
        <v>54.6</v>
      </c>
      <c r="Q632">
        <v>80.64</v>
      </c>
      <c r="R632">
        <v>44.377200000000002</v>
      </c>
      <c r="S632">
        <v>0.2</v>
      </c>
      <c r="T632">
        <v>0.02</v>
      </c>
      <c r="U632" s="8">
        <f>Table3[[#This Row],[PrimaNeta]]*Table3[[#This Row],[Comisión]]</f>
        <v>3315.10207236</v>
      </c>
      <c r="V632" s="15">
        <f>Table3[[#This Row],[PrimaComercial Anual]]-Table3[[#This Row],[PrimaComercial Anual]]*SUM(Table3[[#This Row],[APS]:[IVA]])</f>
        <v>16575.510361799999</v>
      </c>
      <c r="W632" s="2">
        <v>1.4800000000000001E-2</v>
      </c>
      <c r="X632" s="2">
        <v>8.4501000000000007E-2</v>
      </c>
      <c r="Y632">
        <v>0.03</v>
      </c>
      <c r="Z632">
        <v>0.13</v>
      </c>
      <c r="AA632" s="20">
        <f>Table3[[#This Row],[APS]]*Table3[[#This Row],[PrimaComercial Anual]]</f>
        <v>331.19736</v>
      </c>
      <c r="AB632" s="8">
        <f>Table3[[#This Row],[PrimaComercial Anual]]*Table3[[#This Row],[Recargo adicional]]</f>
        <v>1890.9802782000002</v>
      </c>
      <c r="AC632" s="8">
        <f>Table3[[#This Row],[PrimaComercial Anual]]*Table3[[#This Row],[IT]]</f>
        <v>671.346</v>
      </c>
      <c r="AD632" s="8">
        <f>Table3[[#This Row],[PrimaComercial Anual]]*Table3[[#This Row],[IVA]]</f>
        <v>2909.1660000000002</v>
      </c>
      <c r="AE632" s="15">
        <f>Table3[[#This Row],[PrimaComercial Anual Asistencia]]</f>
        <v>22378.2</v>
      </c>
      <c r="AG632">
        <v>22378.2</v>
      </c>
    </row>
    <row r="633" spans="1:33" x14ac:dyDescent="0.25">
      <c r="A633" t="s">
        <v>18</v>
      </c>
      <c r="B633">
        <v>420000</v>
      </c>
      <c r="C633">
        <v>69</v>
      </c>
      <c r="D633" s="2">
        <f>Table3[[#This Row],[PrimaTécnica]]-Table3[[#This Row],[PrimaTécnica]]*SUM(Table3[[#This Row],[Gastos Adm]:[Cobranza]])</f>
        <v>10185.981849763199</v>
      </c>
      <c r="E633">
        <v>0</v>
      </c>
      <c r="F633">
        <v>0.15</v>
      </c>
      <c r="G633">
        <v>0.05</v>
      </c>
      <c r="H633">
        <v>0.01</v>
      </c>
      <c r="I633">
        <v>0.01</v>
      </c>
      <c r="J633" s="8">
        <f>Table3[[#This Row],[PrimaTécnica]]*Table3[[#This Row],[Gastos Adm]]</f>
        <v>1958.8426634159998</v>
      </c>
      <c r="K633" s="8">
        <f>Table3[[#This Row],[PrimaTécnica]]*Table3[[#This Row],[Utilidad]]</f>
        <v>652.94755447199998</v>
      </c>
      <c r="L633" s="8">
        <f>Table3[[#This Row],[PrimaTécnica]]*Table3[[#This Row],[Marketing]]</f>
        <v>130.58951089440001</v>
      </c>
      <c r="M633" s="8">
        <f>Table3[[#This Row],[PrimaTécnica]]*Table3[[#This Row],[Cobranza]]</f>
        <v>130.58951089440001</v>
      </c>
      <c r="N63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13058.951089439999</v>
      </c>
      <c r="O633">
        <v>21.84</v>
      </c>
      <c r="P633">
        <v>54.6</v>
      </c>
      <c r="Q633">
        <v>80.64</v>
      </c>
      <c r="R633">
        <v>44.377200000000002</v>
      </c>
      <c r="S633">
        <v>0.2</v>
      </c>
      <c r="T633">
        <v>0.02</v>
      </c>
      <c r="U633" s="8">
        <f>Table3[[#This Row],[PrimaNeta]]*Table3[[#This Row],[Comisión]]</f>
        <v>3315.10207236</v>
      </c>
      <c r="V633" s="15">
        <f>Table3[[#This Row],[PrimaComercial Anual]]-Table3[[#This Row],[PrimaComercial Anual]]*SUM(Table3[[#This Row],[APS]:[IVA]])</f>
        <v>16575.510361799999</v>
      </c>
      <c r="W633" s="2">
        <v>1.4800000000000001E-2</v>
      </c>
      <c r="X633" s="2">
        <v>8.4501000000000007E-2</v>
      </c>
      <c r="Y633">
        <v>0.03</v>
      </c>
      <c r="Z633">
        <v>0.13</v>
      </c>
      <c r="AA633" s="20">
        <f>Table3[[#This Row],[APS]]*Table3[[#This Row],[PrimaComercial Anual]]</f>
        <v>331.19736</v>
      </c>
      <c r="AB633" s="8">
        <f>Table3[[#This Row],[PrimaComercial Anual]]*Table3[[#This Row],[Recargo adicional]]</f>
        <v>1890.9802782000002</v>
      </c>
      <c r="AC633" s="8">
        <f>Table3[[#This Row],[PrimaComercial Anual]]*Table3[[#This Row],[IT]]</f>
        <v>671.346</v>
      </c>
      <c r="AD633" s="8">
        <f>Table3[[#This Row],[PrimaComercial Anual]]*Table3[[#This Row],[IVA]]</f>
        <v>2909.1660000000002</v>
      </c>
      <c r="AE633" s="15">
        <f>Table3[[#This Row],[PrimaComercial Anual Asistencia]]</f>
        <v>22378.2</v>
      </c>
      <c r="AG633">
        <v>22378.2</v>
      </c>
    </row>
    <row r="634" spans="1:33" x14ac:dyDescent="0.25">
      <c r="A634" t="s">
        <v>18</v>
      </c>
      <c r="B634">
        <v>420000</v>
      </c>
      <c r="C634">
        <v>70</v>
      </c>
      <c r="D634" s="2">
        <f>Table3[[#This Row],[PrimaTécnica]]-Table3[[#This Row],[PrimaTécnica]]*SUM(Table3[[#This Row],[Gastos Adm]:[Cobranza]])</f>
        <v>10185.981849763199</v>
      </c>
      <c r="E634">
        <v>0</v>
      </c>
      <c r="F634">
        <v>0.15</v>
      </c>
      <c r="G634">
        <v>0.05</v>
      </c>
      <c r="H634">
        <v>0.01</v>
      </c>
      <c r="I634">
        <v>0.01</v>
      </c>
      <c r="J634" s="8">
        <f>Table3[[#This Row],[PrimaTécnica]]*Table3[[#This Row],[Gastos Adm]]</f>
        <v>1958.8426634159998</v>
      </c>
      <c r="K634" s="8">
        <f>Table3[[#This Row],[PrimaTécnica]]*Table3[[#This Row],[Utilidad]]</f>
        <v>652.94755447199998</v>
      </c>
      <c r="L634" s="8">
        <f>Table3[[#This Row],[PrimaTécnica]]*Table3[[#This Row],[Marketing]]</f>
        <v>130.58951089440001</v>
      </c>
      <c r="M634" s="8">
        <f>Table3[[#This Row],[PrimaTécnica]]*Table3[[#This Row],[Cobranza]]</f>
        <v>130.58951089440001</v>
      </c>
      <c r="N63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13058.951089439999</v>
      </c>
      <c r="O634">
        <v>21.84</v>
      </c>
      <c r="P634">
        <v>54.6</v>
      </c>
      <c r="Q634">
        <v>80.64</v>
      </c>
      <c r="R634">
        <v>44.377200000000002</v>
      </c>
      <c r="S634">
        <v>0.2</v>
      </c>
      <c r="T634">
        <v>0.02</v>
      </c>
      <c r="U634" s="8">
        <f>Table3[[#This Row],[PrimaNeta]]*Table3[[#This Row],[Comisión]]</f>
        <v>3315.10207236</v>
      </c>
      <c r="V634" s="15">
        <f>Table3[[#This Row],[PrimaComercial Anual]]-Table3[[#This Row],[PrimaComercial Anual]]*SUM(Table3[[#This Row],[APS]:[IVA]])</f>
        <v>16575.510361799999</v>
      </c>
      <c r="W634" s="2">
        <v>1.4800000000000001E-2</v>
      </c>
      <c r="X634" s="2">
        <v>8.4501000000000007E-2</v>
      </c>
      <c r="Y634">
        <v>0.03</v>
      </c>
      <c r="Z634">
        <v>0.13</v>
      </c>
      <c r="AA634" s="20">
        <f>Table3[[#This Row],[APS]]*Table3[[#This Row],[PrimaComercial Anual]]</f>
        <v>331.19736</v>
      </c>
      <c r="AB634" s="8">
        <f>Table3[[#This Row],[PrimaComercial Anual]]*Table3[[#This Row],[Recargo adicional]]</f>
        <v>1890.9802782000002</v>
      </c>
      <c r="AC634" s="8">
        <f>Table3[[#This Row],[PrimaComercial Anual]]*Table3[[#This Row],[IT]]</f>
        <v>671.346</v>
      </c>
      <c r="AD634" s="8">
        <f>Table3[[#This Row],[PrimaComercial Anual]]*Table3[[#This Row],[IVA]]</f>
        <v>2909.1660000000002</v>
      </c>
      <c r="AE634" s="15">
        <f>Table3[[#This Row],[PrimaComercial Anual Asistencia]]</f>
        <v>22378.2</v>
      </c>
      <c r="AG634">
        <v>22378.2</v>
      </c>
    </row>
    <row r="635" spans="1:33" x14ac:dyDescent="0.25">
      <c r="A635" t="s">
        <v>18</v>
      </c>
      <c r="B635">
        <v>420000</v>
      </c>
      <c r="C635">
        <v>71</v>
      </c>
      <c r="D635" s="2">
        <f>Table3[[#This Row],[PrimaTécnica]]-Table3[[#This Row],[PrimaTécnica]]*SUM(Table3[[#This Row],[Gastos Adm]:[Cobranza]])</f>
        <v>12030.144592003198</v>
      </c>
      <c r="E635">
        <v>0</v>
      </c>
      <c r="F635">
        <v>0.15</v>
      </c>
      <c r="G635">
        <v>0.05</v>
      </c>
      <c r="H635">
        <v>0.01</v>
      </c>
      <c r="I635">
        <v>0.01</v>
      </c>
      <c r="J635" s="8">
        <f>Table3[[#This Row],[PrimaTécnica]]*Table3[[#This Row],[Gastos Adm]]</f>
        <v>2313.4893446159995</v>
      </c>
      <c r="K635" s="8">
        <f>Table3[[#This Row],[PrimaTécnica]]*Table3[[#This Row],[Utilidad]]</f>
        <v>771.16311487199994</v>
      </c>
      <c r="L635" s="8">
        <f>Table3[[#This Row],[PrimaTécnica]]*Table3[[#This Row],[Marketing]]</f>
        <v>154.23262297439999</v>
      </c>
      <c r="M635" s="8">
        <f>Table3[[#This Row],[PrimaTécnica]]*Table3[[#This Row],[Cobranza]]</f>
        <v>154.23262297439999</v>
      </c>
      <c r="N63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35">
        <v>21.84</v>
      </c>
      <c r="P635">
        <v>54.6</v>
      </c>
      <c r="Q635">
        <v>80.64</v>
      </c>
      <c r="R635">
        <v>44.377200000000002</v>
      </c>
      <c r="S635">
        <v>0.2</v>
      </c>
      <c r="T635">
        <v>0.02</v>
      </c>
      <c r="U635" s="8">
        <f>Table3[[#This Row],[PrimaNeta]]*Table3[[#This Row],[Comisión]]</f>
        <v>3906.1798743599998</v>
      </c>
      <c r="V635" s="15">
        <f>Table3[[#This Row],[PrimaComercial Anual]]-Table3[[#This Row],[PrimaComercial Anual]]*SUM(Table3[[#This Row],[APS]:[IVA]])</f>
        <v>19530.899371799998</v>
      </c>
      <c r="W635" s="2">
        <v>1.4800000000000001E-2</v>
      </c>
      <c r="X635" s="2">
        <v>8.4501000000000007E-2</v>
      </c>
      <c r="Y635">
        <v>0.03</v>
      </c>
      <c r="Z635">
        <v>0.13</v>
      </c>
      <c r="AA635" s="20">
        <f>Table3[[#This Row],[APS]]*Table3[[#This Row],[PrimaComercial Anual]]</f>
        <v>390.24936000000002</v>
      </c>
      <c r="AB635" s="8">
        <f>Table3[[#This Row],[PrimaComercial Anual]]*Table3[[#This Row],[Recargo adicional]]</f>
        <v>2228.1392682000001</v>
      </c>
      <c r="AC635" s="8">
        <f>Table3[[#This Row],[PrimaComercial Anual]]*Table3[[#This Row],[IT]]</f>
        <v>791.04600000000005</v>
      </c>
      <c r="AD635" s="8">
        <f>Table3[[#This Row],[PrimaComercial Anual]]*Table3[[#This Row],[IVA]]</f>
        <v>3427.866</v>
      </c>
      <c r="AE635" s="15">
        <f>Table3[[#This Row],[PrimaComercial Anual Asistencia]]</f>
        <v>26368.2</v>
      </c>
      <c r="AG635">
        <v>26368.2</v>
      </c>
    </row>
    <row r="636" spans="1:33" x14ac:dyDescent="0.25">
      <c r="A636" t="s">
        <v>18</v>
      </c>
      <c r="B636">
        <v>420000</v>
      </c>
      <c r="C636">
        <v>72</v>
      </c>
      <c r="D636" s="2">
        <f>Table3[[#This Row],[PrimaTécnica]]-Table3[[#This Row],[PrimaTécnica]]*SUM(Table3[[#This Row],[Gastos Adm]:[Cobranza]])</f>
        <v>12030.144592003198</v>
      </c>
      <c r="E636">
        <v>0</v>
      </c>
      <c r="F636">
        <v>0.15</v>
      </c>
      <c r="G636">
        <v>0.05</v>
      </c>
      <c r="H636">
        <v>0.01</v>
      </c>
      <c r="I636">
        <v>0.01</v>
      </c>
      <c r="J636" s="8">
        <f>Table3[[#This Row],[PrimaTécnica]]*Table3[[#This Row],[Gastos Adm]]</f>
        <v>2313.4893446159995</v>
      </c>
      <c r="K636" s="8">
        <f>Table3[[#This Row],[PrimaTécnica]]*Table3[[#This Row],[Utilidad]]</f>
        <v>771.16311487199994</v>
      </c>
      <c r="L636" s="8">
        <f>Table3[[#This Row],[PrimaTécnica]]*Table3[[#This Row],[Marketing]]</f>
        <v>154.23262297439999</v>
      </c>
      <c r="M636" s="8">
        <f>Table3[[#This Row],[PrimaTécnica]]*Table3[[#This Row],[Cobranza]]</f>
        <v>154.23262297439999</v>
      </c>
      <c r="N63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36">
        <v>21.84</v>
      </c>
      <c r="P636">
        <v>54.6</v>
      </c>
      <c r="Q636">
        <v>80.64</v>
      </c>
      <c r="R636">
        <v>44.377200000000002</v>
      </c>
      <c r="S636">
        <v>0.2</v>
      </c>
      <c r="T636">
        <v>0.02</v>
      </c>
      <c r="U636" s="8">
        <f>Table3[[#This Row],[PrimaNeta]]*Table3[[#This Row],[Comisión]]</f>
        <v>3906.1798743599998</v>
      </c>
      <c r="V636" s="15">
        <f>Table3[[#This Row],[PrimaComercial Anual]]-Table3[[#This Row],[PrimaComercial Anual]]*SUM(Table3[[#This Row],[APS]:[IVA]])</f>
        <v>19530.899371799998</v>
      </c>
      <c r="W636" s="2">
        <v>1.4800000000000001E-2</v>
      </c>
      <c r="X636" s="2">
        <v>8.4501000000000007E-2</v>
      </c>
      <c r="Y636">
        <v>0.03</v>
      </c>
      <c r="Z636">
        <v>0.13</v>
      </c>
      <c r="AA636" s="20">
        <f>Table3[[#This Row],[APS]]*Table3[[#This Row],[PrimaComercial Anual]]</f>
        <v>390.24936000000002</v>
      </c>
      <c r="AB636" s="8">
        <f>Table3[[#This Row],[PrimaComercial Anual]]*Table3[[#This Row],[Recargo adicional]]</f>
        <v>2228.1392682000001</v>
      </c>
      <c r="AC636" s="8">
        <f>Table3[[#This Row],[PrimaComercial Anual]]*Table3[[#This Row],[IT]]</f>
        <v>791.04600000000005</v>
      </c>
      <c r="AD636" s="8">
        <f>Table3[[#This Row],[PrimaComercial Anual]]*Table3[[#This Row],[IVA]]</f>
        <v>3427.866</v>
      </c>
      <c r="AE636" s="15">
        <f>Table3[[#This Row],[PrimaComercial Anual Asistencia]]</f>
        <v>26368.2</v>
      </c>
      <c r="AG636">
        <v>26368.2</v>
      </c>
    </row>
    <row r="637" spans="1:33" x14ac:dyDescent="0.25">
      <c r="A637" t="s">
        <v>18</v>
      </c>
      <c r="B637">
        <v>420000</v>
      </c>
      <c r="C637">
        <v>73</v>
      </c>
      <c r="D637" s="2">
        <f>Table3[[#This Row],[PrimaTécnica]]-Table3[[#This Row],[PrimaTécnica]]*SUM(Table3[[#This Row],[Gastos Adm]:[Cobranza]])</f>
        <v>12030.144592003198</v>
      </c>
      <c r="E637">
        <v>0</v>
      </c>
      <c r="F637">
        <v>0.15</v>
      </c>
      <c r="G637">
        <v>0.05</v>
      </c>
      <c r="H637">
        <v>0.01</v>
      </c>
      <c r="I637">
        <v>0.01</v>
      </c>
      <c r="J637" s="8">
        <f>Table3[[#This Row],[PrimaTécnica]]*Table3[[#This Row],[Gastos Adm]]</f>
        <v>2313.4893446159995</v>
      </c>
      <c r="K637" s="8">
        <f>Table3[[#This Row],[PrimaTécnica]]*Table3[[#This Row],[Utilidad]]</f>
        <v>771.16311487199994</v>
      </c>
      <c r="L637" s="8">
        <f>Table3[[#This Row],[PrimaTécnica]]*Table3[[#This Row],[Marketing]]</f>
        <v>154.23262297439999</v>
      </c>
      <c r="M637" s="8">
        <f>Table3[[#This Row],[PrimaTécnica]]*Table3[[#This Row],[Cobranza]]</f>
        <v>154.23262297439999</v>
      </c>
      <c r="N63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37">
        <v>21.84</v>
      </c>
      <c r="P637">
        <v>54.6</v>
      </c>
      <c r="Q637">
        <v>80.64</v>
      </c>
      <c r="R637">
        <v>44.377200000000002</v>
      </c>
      <c r="S637">
        <v>0.2</v>
      </c>
      <c r="T637">
        <v>0.02</v>
      </c>
      <c r="U637" s="8">
        <f>Table3[[#This Row],[PrimaNeta]]*Table3[[#This Row],[Comisión]]</f>
        <v>3906.1798743599998</v>
      </c>
      <c r="V637" s="15">
        <f>Table3[[#This Row],[PrimaComercial Anual]]-Table3[[#This Row],[PrimaComercial Anual]]*SUM(Table3[[#This Row],[APS]:[IVA]])</f>
        <v>19530.899371799998</v>
      </c>
      <c r="W637" s="2">
        <v>1.4800000000000001E-2</v>
      </c>
      <c r="X637" s="2">
        <v>8.4501000000000007E-2</v>
      </c>
      <c r="Y637">
        <v>0.03</v>
      </c>
      <c r="Z637">
        <v>0.13</v>
      </c>
      <c r="AA637" s="20">
        <f>Table3[[#This Row],[APS]]*Table3[[#This Row],[PrimaComercial Anual]]</f>
        <v>390.24936000000002</v>
      </c>
      <c r="AB637" s="8">
        <f>Table3[[#This Row],[PrimaComercial Anual]]*Table3[[#This Row],[Recargo adicional]]</f>
        <v>2228.1392682000001</v>
      </c>
      <c r="AC637" s="8">
        <f>Table3[[#This Row],[PrimaComercial Anual]]*Table3[[#This Row],[IT]]</f>
        <v>791.04600000000005</v>
      </c>
      <c r="AD637" s="8">
        <f>Table3[[#This Row],[PrimaComercial Anual]]*Table3[[#This Row],[IVA]]</f>
        <v>3427.866</v>
      </c>
      <c r="AE637" s="15">
        <f>Table3[[#This Row],[PrimaComercial Anual Asistencia]]</f>
        <v>26368.2</v>
      </c>
      <c r="AG637">
        <v>26368.2</v>
      </c>
    </row>
    <row r="638" spans="1:33" x14ac:dyDescent="0.25">
      <c r="A638" t="s">
        <v>18</v>
      </c>
      <c r="B638">
        <v>420000</v>
      </c>
      <c r="C638">
        <v>74</v>
      </c>
      <c r="D638" s="2">
        <f>Table3[[#This Row],[PrimaTécnica]]-Table3[[#This Row],[PrimaTécnica]]*SUM(Table3[[#This Row],[Gastos Adm]:[Cobranza]])</f>
        <v>12030.144592003198</v>
      </c>
      <c r="E638">
        <v>0</v>
      </c>
      <c r="F638">
        <v>0.15</v>
      </c>
      <c r="G638">
        <v>0.05</v>
      </c>
      <c r="H638">
        <v>0.01</v>
      </c>
      <c r="I638">
        <v>0.01</v>
      </c>
      <c r="J638" s="8">
        <f>Table3[[#This Row],[PrimaTécnica]]*Table3[[#This Row],[Gastos Adm]]</f>
        <v>2313.4893446159995</v>
      </c>
      <c r="K638" s="8">
        <f>Table3[[#This Row],[PrimaTécnica]]*Table3[[#This Row],[Utilidad]]</f>
        <v>771.16311487199994</v>
      </c>
      <c r="L638" s="8">
        <f>Table3[[#This Row],[PrimaTécnica]]*Table3[[#This Row],[Marketing]]</f>
        <v>154.23262297439999</v>
      </c>
      <c r="M638" s="8">
        <f>Table3[[#This Row],[PrimaTécnica]]*Table3[[#This Row],[Cobranza]]</f>
        <v>154.23262297439999</v>
      </c>
      <c r="N63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38">
        <v>21.84</v>
      </c>
      <c r="P638">
        <v>54.6</v>
      </c>
      <c r="Q638">
        <v>80.64</v>
      </c>
      <c r="R638">
        <v>44.377200000000002</v>
      </c>
      <c r="S638">
        <v>0.2</v>
      </c>
      <c r="T638">
        <v>0.02</v>
      </c>
      <c r="U638" s="8">
        <f>Table3[[#This Row],[PrimaNeta]]*Table3[[#This Row],[Comisión]]</f>
        <v>3906.1798743599998</v>
      </c>
      <c r="V638" s="15">
        <f>Table3[[#This Row],[PrimaComercial Anual]]-Table3[[#This Row],[PrimaComercial Anual]]*SUM(Table3[[#This Row],[APS]:[IVA]])</f>
        <v>19530.899371799998</v>
      </c>
      <c r="W638" s="2">
        <v>1.4800000000000001E-2</v>
      </c>
      <c r="X638" s="2">
        <v>8.4501000000000007E-2</v>
      </c>
      <c r="Y638">
        <v>0.03</v>
      </c>
      <c r="Z638">
        <v>0.13</v>
      </c>
      <c r="AA638" s="20">
        <f>Table3[[#This Row],[APS]]*Table3[[#This Row],[PrimaComercial Anual]]</f>
        <v>390.24936000000002</v>
      </c>
      <c r="AB638" s="8">
        <f>Table3[[#This Row],[PrimaComercial Anual]]*Table3[[#This Row],[Recargo adicional]]</f>
        <v>2228.1392682000001</v>
      </c>
      <c r="AC638" s="8">
        <f>Table3[[#This Row],[PrimaComercial Anual]]*Table3[[#This Row],[IT]]</f>
        <v>791.04600000000005</v>
      </c>
      <c r="AD638" s="8">
        <f>Table3[[#This Row],[PrimaComercial Anual]]*Table3[[#This Row],[IVA]]</f>
        <v>3427.866</v>
      </c>
      <c r="AE638" s="15">
        <f>Table3[[#This Row],[PrimaComercial Anual Asistencia]]</f>
        <v>26368.2</v>
      </c>
      <c r="AG638">
        <v>26368.2</v>
      </c>
    </row>
    <row r="639" spans="1:33" x14ac:dyDescent="0.25">
      <c r="A639" t="s">
        <v>18</v>
      </c>
      <c r="B639">
        <v>420000</v>
      </c>
      <c r="C639">
        <v>75</v>
      </c>
      <c r="D639" s="2">
        <f>Table3[[#This Row],[PrimaTécnica]]-Table3[[#This Row],[PrimaTécnica]]*SUM(Table3[[#This Row],[Gastos Adm]:[Cobranza]])</f>
        <v>12030.144592003198</v>
      </c>
      <c r="E639">
        <v>0</v>
      </c>
      <c r="F639">
        <v>0.15</v>
      </c>
      <c r="G639">
        <v>0.05</v>
      </c>
      <c r="H639">
        <v>0.01</v>
      </c>
      <c r="I639">
        <v>0.01</v>
      </c>
      <c r="J639" s="8">
        <f>Table3[[#This Row],[PrimaTécnica]]*Table3[[#This Row],[Gastos Adm]]</f>
        <v>2313.4893446159995</v>
      </c>
      <c r="K639" s="8">
        <f>Table3[[#This Row],[PrimaTécnica]]*Table3[[#This Row],[Utilidad]]</f>
        <v>771.16311487199994</v>
      </c>
      <c r="L639" s="8">
        <f>Table3[[#This Row],[PrimaTécnica]]*Table3[[#This Row],[Marketing]]</f>
        <v>154.23262297439999</v>
      </c>
      <c r="M639" s="8">
        <f>Table3[[#This Row],[PrimaTécnica]]*Table3[[#This Row],[Cobranza]]</f>
        <v>154.23262297439999</v>
      </c>
      <c r="N63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39">
        <v>21.84</v>
      </c>
      <c r="P639">
        <v>54.6</v>
      </c>
      <c r="Q639">
        <v>80.64</v>
      </c>
      <c r="R639">
        <v>44.377200000000002</v>
      </c>
      <c r="S639">
        <v>0.2</v>
      </c>
      <c r="T639">
        <v>0.02</v>
      </c>
      <c r="U639" s="8">
        <f>Table3[[#This Row],[PrimaNeta]]*Table3[[#This Row],[Comisión]]</f>
        <v>3906.1798743599998</v>
      </c>
      <c r="V639" s="15">
        <f>Table3[[#This Row],[PrimaComercial Anual]]-Table3[[#This Row],[PrimaComercial Anual]]*SUM(Table3[[#This Row],[APS]:[IVA]])</f>
        <v>19530.899371799998</v>
      </c>
      <c r="W639" s="2">
        <v>1.4800000000000001E-2</v>
      </c>
      <c r="X639" s="2">
        <v>8.4501000000000007E-2</v>
      </c>
      <c r="Y639">
        <v>0.03</v>
      </c>
      <c r="Z639">
        <v>0.13</v>
      </c>
      <c r="AA639" s="20">
        <f>Table3[[#This Row],[APS]]*Table3[[#This Row],[PrimaComercial Anual]]</f>
        <v>390.24936000000002</v>
      </c>
      <c r="AB639" s="8">
        <f>Table3[[#This Row],[PrimaComercial Anual]]*Table3[[#This Row],[Recargo adicional]]</f>
        <v>2228.1392682000001</v>
      </c>
      <c r="AC639" s="8">
        <f>Table3[[#This Row],[PrimaComercial Anual]]*Table3[[#This Row],[IT]]</f>
        <v>791.04600000000005</v>
      </c>
      <c r="AD639" s="8">
        <f>Table3[[#This Row],[PrimaComercial Anual]]*Table3[[#This Row],[IVA]]</f>
        <v>3427.866</v>
      </c>
      <c r="AE639" s="15">
        <f>Table3[[#This Row],[PrimaComercial Anual Asistencia]]</f>
        <v>26368.2</v>
      </c>
      <c r="AG639">
        <v>26368.2</v>
      </c>
    </row>
    <row r="640" spans="1:33" x14ac:dyDescent="0.25">
      <c r="A640" t="s">
        <v>18</v>
      </c>
      <c r="B640">
        <v>420000</v>
      </c>
      <c r="C640">
        <v>76</v>
      </c>
      <c r="D640" s="2">
        <f>Table3[[#This Row],[PrimaTécnica]]-Table3[[#This Row],[PrimaTécnica]]*SUM(Table3[[#This Row],[Gastos Adm]:[Cobranza]])</f>
        <v>12030.144592003198</v>
      </c>
      <c r="E640">
        <v>0</v>
      </c>
      <c r="F640">
        <v>0.15</v>
      </c>
      <c r="G640">
        <v>0.05</v>
      </c>
      <c r="H640">
        <v>0.01</v>
      </c>
      <c r="I640">
        <v>0.01</v>
      </c>
      <c r="J640" s="8">
        <f>Table3[[#This Row],[PrimaTécnica]]*Table3[[#This Row],[Gastos Adm]]</f>
        <v>2313.4893446159995</v>
      </c>
      <c r="K640" s="8">
        <f>Table3[[#This Row],[PrimaTécnica]]*Table3[[#This Row],[Utilidad]]</f>
        <v>771.16311487199994</v>
      </c>
      <c r="L640" s="8">
        <f>Table3[[#This Row],[PrimaTécnica]]*Table3[[#This Row],[Marketing]]</f>
        <v>154.23262297439999</v>
      </c>
      <c r="M640" s="8">
        <f>Table3[[#This Row],[PrimaTécnica]]*Table3[[#This Row],[Cobranza]]</f>
        <v>154.23262297439999</v>
      </c>
      <c r="N64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40">
        <v>21.84</v>
      </c>
      <c r="P640">
        <v>54.6</v>
      </c>
      <c r="Q640">
        <v>80.64</v>
      </c>
      <c r="R640">
        <v>44.377200000000002</v>
      </c>
      <c r="S640">
        <v>0.2</v>
      </c>
      <c r="T640">
        <v>0.02</v>
      </c>
      <c r="U640" s="8">
        <f>Table3[[#This Row],[PrimaNeta]]*Table3[[#This Row],[Comisión]]</f>
        <v>3906.1798743599998</v>
      </c>
      <c r="V640" s="15">
        <f>Table3[[#This Row],[PrimaComercial Anual]]-Table3[[#This Row],[PrimaComercial Anual]]*SUM(Table3[[#This Row],[APS]:[IVA]])</f>
        <v>19530.899371799998</v>
      </c>
      <c r="W640" s="2">
        <v>1.4800000000000001E-2</v>
      </c>
      <c r="X640" s="2">
        <v>8.4501000000000007E-2</v>
      </c>
      <c r="Y640">
        <v>0.03</v>
      </c>
      <c r="Z640">
        <v>0.13</v>
      </c>
      <c r="AA640" s="20">
        <f>Table3[[#This Row],[APS]]*Table3[[#This Row],[PrimaComercial Anual]]</f>
        <v>390.24936000000002</v>
      </c>
      <c r="AB640" s="8">
        <f>Table3[[#This Row],[PrimaComercial Anual]]*Table3[[#This Row],[Recargo adicional]]</f>
        <v>2228.1392682000001</v>
      </c>
      <c r="AC640" s="8">
        <f>Table3[[#This Row],[PrimaComercial Anual]]*Table3[[#This Row],[IT]]</f>
        <v>791.04600000000005</v>
      </c>
      <c r="AD640" s="8">
        <f>Table3[[#This Row],[PrimaComercial Anual]]*Table3[[#This Row],[IVA]]</f>
        <v>3427.866</v>
      </c>
      <c r="AE640" s="15">
        <f>Table3[[#This Row],[PrimaComercial Anual Asistencia]]</f>
        <v>26368.2</v>
      </c>
      <c r="AG640">
        <v>26368.2</v>
      </c>
    </row>
    <row r="641" spans="1:33" x14ac:dyDescent="0.25">
      <c r="A641" t="s">
        <v>18</v>
      </c>
      <c r="B641">
        <v>420000</v>
      </c>
      <c r="C641">
        <v>77</v>
      </c>
      <c r="D641" s="2">
        <f>Table3[[#This Row],[PrimaTécnica]]-Table3[[#This Row],[PrimaTécnica]]*SUM(Table3[[#This Row],[Gastos Adm]:[Cobranza]])</f>
        <v>12030.144592003198</v>
      </c>
      <c r="E641">
        <v>0</v>
      </c>
      <c r="F641">
        <v>0.15</v>
      </c>
      <c r="G641">
        <v>0.05</v>
      </c>
      <c r="H641">
        <v>0.01</v>
      </c>
      <c r="I641">
        <v>0.01</v>
      </c>
      <c r="J641" s="8">
        <f>Table3[[#This Row],[PrimaTécnica]]*Table3[[#This Row],[Gastos Adm]]</f>
        <v>2313.4893446159995</v>
      </c>
      <c r="K641" s="8">
        <f>Table3[[#This Row],[PrimaTécnica]]*Table3[[#This Row],[Utilidad]]</f>
        <v>771.16311487199994</v>
      </c>
      <c r="L641" s="8">
        <f>Table3[[#This Row],[PrimaTécnica]]*Table3[[#This Row],[Marketing]]</f>
        <v>154.23262297439999</v>
      </c>
      <c r="M641" s="8">
        <f>Table3[[#This Row],[PrimaTécnica]]*Table3[[#This Row],[Cobranza]]</f>
        <v>154.23262297439999</v>
      </c>
      <c r="N64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41">
        <v>21.84</v>
      </c>
      <c r="P641">
        <v>54.6</v>
      </c>
      <c r="Q641">
        <v>80.64</v>
      </c>
      <c r="R641">
        <v>44.377200000000002</v>
      </c>
      <c r="S641">
        <v>0.2</v>
      </c>
      <c r="T641">
        <v>0.02</v>
      </c>
      <c r="U641" s="8">
        <f>Table3[[#This Row],[PrimaNeta]]*Table3[[#This Row],[Comisión]]</f>
        <v>3906.1798743599998</v>
      </c>
      <c r="V641" s="15">
        <f>Table3[[#This Row],[PrimaComercial Anual]]-Table3[[#This Row],[PrimaComercial Anual]]*SUM(Table3[[#This Row],[APS]:[IVA]])</f>
        <v>19530.899371799998</v>
      </c>
      <c r="W641" s="2">
        <v>1.4800000000000001E-2</v>
      </c>
      <c r="X641" s="2">
        <v>8.4501000000000007E-2</v>
      </c>
      <c r="Y641">
        <v>0.03</v>
      </c>
      <c r="Z641">
        <v>0.13</v>
      </c>
      <c r="AA641" s="20">
        <f>Table3[[#This Row],[APS]]*Table3[[#This Row],[PrimaComercial Anual]]</f>
        <v>390.24936000000002</v>
      </c>
      <c r="AB641" s="8">
        <f>Table3[[#This Row],[PrimaComercial Anual]]*Table3[[#This Row],[Recargo adicional]]</f>
        <v>2228.1392682000001</v>
      </c>
      <c r="AC641" s="8">
        <f>Table3[[#This Row],[PrimaComercial Anual]]*Table3[[#This Row],[IT]]</f>
        <v>791.04600000000005</v>
      </c>
      <c r="AD641" s="8">
        <f>Table3[[#This Row],[PrimaComercial Anual]]*Table3[[#This Row],[IVA]]</f>
        <v>3427.866</v>
      </c>
      <c r="AE641" s="15">
        <f>Table3[[#This Row],[PrimaComercial Anual Asistencia]]</f>
        <v>26368.2</v>
      </c>
      <c r="AG641">
        <v>26368.2</v>
      </c>
    </row>
    <row r="642" spans="1:33" x14ac:dyDescent="0.25">
      <c r="A642" t="s">
        <v>18</v>
      </c>
      <c r="B642">
        <v>420000</v>
      </c>
      <c r="C642">
        <v>78</v>
      </c>
      <c r="D642" s="2">
        <f>Table3[[#This Row],[PrimaTécnica]]-Table3[[#This Row],[PrimaTécnica]]*SUM(Table3[[#This Row],[Gastos Adm]:[Cobranza]])</f>
        <v>12030.144592003198</v>
      </c>
      <c r="E642">
        <v>0</v>
      </c>
      <c r="F642">
        <v>0.15</v>
      </c>
      <c r="G642">
        <v>0.05</v>
      </c>
      <c r="H642">
        <v>0.01</v>
      </c>
      <c r="I642">
        <v>0.01</v>
      </c>
      <c r="J642" s="8">
        <f>Table3[[#This Row],[PrimaTécnica]]*Table3[[#This Row],[Gastos Adm]]</f>
        <v>2313.4893446159995</v>
      </c>
      <c r="K642" s="8">
        <f>Table3[[#This Row],[PrimaTécnica]]*Table3[[#This Row],[Utilidad]]</f>
        <v>771.16311487199994</v>
      </c>
      <c r="L642" s="8">
        <f>Table3[[#This Row],[PrimaTécnica]]*Table3[[#This Row],[Marketing]]</f>
        <v>154.23262297439999</v>
      </c>
      <c r="M642" s="8">
        <f>Table3[[#This Row],[PrimaTécnica]]*Table3[[#This Row],[Cobranza]]</f>
        <v>154.23262297439999</v>
      </c>
      <c r="N64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42">
        <v>21.84</v>
      </c>
      <c r="P642">
        <v>54.6</v>
      </c>
      <c r="Q642">
        <v>80.64</v>
      </c>
      <c r="R642">
        <v>44.377200000000002</v>
      </c>
      <c r="S642">
        <v>0.2</v>
      </c>
      <c r="T642">
        <v>0.02</v>
      </c>
      <c r="U642" s="8">
        <f>Table3[[#This Row],[PrimaNeta]]*Table3[[#This Row],[Comisión]]</f>
        <v>3906.1798743599998</v>
      </c>
      <c r="V642" s="15">
        <f>Table3[[#This Row],[PrimaComercial Anual]]-Table3[[#This Row],[PrimaComercial Anual]]*SUM(Table3[[#This Row],[APS]:[IVA]])</f>
        <v>19530.899371799998</v>
      </c>
      <c r="W642" s="2">
        <v>1.4800000000000001E-2</v>
      </c>
      <c r="X642" s="2">
        <v>8.4501000000000007E-2</v>
      </c>
      <c r="Y642">
        <v>0.03</v>
      </c>
      <c r="Z642">
        <v>0.13</v>
      </c>
      <c r="AA642" s="20">
        <f>Table3[[#This Row],[APS]]*Table3[[#This Row],[PrimaComercial Anual]]</f>
        <v>390.24936000000002</v>
      </c>
      <c r="AB642" s="8">
        <f>Table3[[#This Row],[PrimaComercial Anual]]*Table3[[#This Row],[Recargo adicional]]</f>
        <v>2228.1392682000001</v>
      </c>
      <c r="AC642" s="8">
        <f>Table3[[#This Row],[PrimaComercial Anual]]*Table3[[#This Row],[IT]]</f>
        <v>791.04600000000005</v>
      </c>
      <c r="AD642" s="8">
        <f>Table3[[#This Row],[PrimaComercial Anual]]*Table3[[#This Row],[IVA]]</f>
        <v>3427.866</v>
      </c>
      <c r="AE642" s="15">
        <f>Table3[[#This Row],[PrimaComercial Anual Asistencia]]</f>
        <v>26368.2</v>
      </c>
      <c r="AG642">
        <v>26368.2</v>
      </c>
    </row>
    <row r="643" spans="1:33" x14ac:dyDescent="0.25">
      <c r="A643" t="s">
        <v>18</v>
      </c>
      <c r="B643">
        <v>420000</v>
      </c>
      <c r="C643">
        <v>79</v>
      </c>
      <c r="D643" s="2">
        <f>Table3[[#This Row],[PrimaTécnica]]-Table3[[#This Row],[PrimaTécnica]]*SUM(Table3[[#This Row],[Gastos Adm]:[Cobranza]])</f>
        <v>12030.144592003198</v>
      </c>
      <c r="E643">
        <v>0</v>
      </c>
      <c r="F643">
        <v>0.15</v>
      </c>
      <c r="G643">
        <v>0.05</v>
      </c>
      <c r="H643">
        <v>0.01</v>
      </c>
      <c r="I643">
        <v>0.01</v>
      </c>
      <c r="J643" s="8">
        <f>Table3[[#This Row],[PrimaTécnica]]*Table3[[#This Row],[Gastos Adm]]</f>
        <v>2313.4893446159995</v>
      </c>
      <c r="K643" s="8">
        <f>Table3[[#This Row],[PrimaTécnica]]*Table3[[#This Row],[Utilidad]]</f>
        <v>771.16311487199994</v>
      </c>
      <c r="L643" s="8">
        <f>Table3[[#This Row],[PrimaTécnica]]*Table3[[#This Row],[Marketing]]</f>
        <v>154.23262297439999</v>
      </c>
      <c r="M643" s="8">
        <f>Table3[[#This Row],[PrimaTécnica]]*Table3[[#This Row],[Cobranza]]</f>
        <v>154.23262297439999</v>
      </c>
      <c r="N64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43">
        <v>21.84</v>
      </c>
      <c r="P643">
        <v>54.6</v>
      </c>
      <c r="Q643">
        <v>80.64</v>
      </c>
      <c r="R643">
        <v>44.377200000000002</v>
      </c>
      <c r="S643">
        <v>0.2</v>
      </c>
      <c r="T643">
        <v>0.02</v>
      </c>
      <c r="U643" s="8">
        <f>Table3[[#This Row],[PrimaNeta]]*Table3[[#This Row],[Comisión]]</f>
        <v>3906.1798743599998</v>
      </c>
      <c r="V643" s="15">
        <f>Table3[[#This Row],[PrimaComercial Anual]]-Table3[[#This Row],[PrimaComercial Anual]]*SUM(Table3[[#This Row],[APS]:[IVA]])</f>
        <v>19530.899371799998</v>
      </c>
      <c r="W643" s="2">
        <v>1.4800000000000001E-2</v>
      </c>
      <c r="X643" s="2">
        <v>8.4501000000000007E-2</v>
      </c>
      <c r="Y643">
        <v>0.03</v>
      </c>
      <c r="Z643">
        <v>0.13</v>
      </c>
      <c r="AA643" s="20">
        <f>Table3[[#This Row],[APS]]*Table3[[#This Row],[PrimaComercial Anual]]</f>
        <v>390.24936000000002</v>
      </c>
      <c r="AB643" s="8">
        <f>Table3[[#This Row],[PrimaComercial Anual]]*Table3[[#This Row],[Recargo adicional]]</f>
        <v>2228.1392682000001</v>
      </c>
      <c r="AC643" s="8">
        <f>Table3[[#This Row],[PrimaComercial Anual]]*Table3[[#This Row],[IT]]</f>
        <v>791.04600000000005</v>
      </c>
      <c r="AD643" s="8">
        <f>Table3[[#This Row],[PrimaComercial Anual]]*Table3[[#This Row],[IVA]]</f>
        <v>3427.866</v>
      </c>
      <c r="AE643" s="15">
        <f>Table3[[#This Row],[PrimaComercial Anual Asistencia]]</f>
        <v>26368.2</v>
      </c>
      <c r="AG643">
        <v>26368.2</v>
      </c>
    </row>
    <row r="644" spans="1:33" x14ac:dyDescent="0.25">
      <c r="A644" t="s">
        <v>18</v>
      </c>
      <c r="B644">
        <v>420000</v>
      </c>
      <c r="C644">
        <v>80</v>
      </c>
      <c r="D644" s="2">
        <f>Table3[[#This Row],[PrimaTécnica]]-Table3[[#This Row],[PrimaTécnica]]*SUM(Table3[[#This Row],[Gastos Adm]:[Cobranza]])</f>
        <v>12030.144592003198</v>
      </c>
      <c r="E644">
        <v>0</v>
      </c>
      <c r="F644">
        <v>0.15</v>
      </c>
      <c r="G644">
        <v>0.05</v>
      </c>
      <c r="H644">
        <v>0.01</v>
      </c>
      <c r="I644">
        <v>0.01</v>
      </c>
      <c r="J644" s="8">
        <f>Table3[[#This Row],[PrimaTécnica]]*Table3[[#This Row],[Gastos Adm]]</f>
        <v>2313.4893446159995</v>
      </c>
      <c r="K644" s="8">
        <f>Table3[[#This Row],[PrimaTécnica]]*Table3[[#This Row],[Utilidad]]</f>
        <v>771.16311487199994</v>
      </c>
      <c r="L644" s="8">
        <f>Table3[[#This Row],[PrimaTécnica]]*Table3[[#This Row],[Marketing]]</f>
        <v>154.23262297439999</v>
      </c>
      <c r="M644" s="8">
        <f>Table3[[#This Row],[PrimaTécnica]]*Table3[[#This Row],[Cobranza]]</f>
        <v>154.23262297439999</v>
      </c>
      <c r="N64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44">
        <v>21.84</v>
      </c>
      <c r="P644">
        <v>54.6</v>
      </c>
      <c r="Q644">
        <v>80.64</v>
      </c>
      <c r="R644">
        <v>44.377200000000002</v>
      </c>
      <c r="S644">
        <v>0.2</v>
      </c>
      <c r="T644">
        <v>0.02</v>
      </c>
      <c r="U644" s="8">
        <f>Table3[[#This Row],[PrimaNeta]]*Table3[[#This Row],[Comisión]]</f>
        <v>3906.1798743599998</v>
      </c>
      <c r="V644" s="15">
        <f>Table3[[#This Row],[PrimaComercial Anual]]-Table3[[#This Row],[PrimaComercial Anual]]*SUM(Table3[[#This Row],[APS]:[IVA]])</f>
        <v>19530.899371799998</v>
      </c>
      <c r="W644" s="2">
        <v>1.4800000000000001E-2</v>
      </c>
      <c r="X644" s="2">
        <v>8.4501000000000007E-2</v>
      </c>
      <c r="Y644">
        <v>0.03</v>
      </c>
      <c r="Z644">
        <v>0.13</v>
      </c>
      <c r="AA644" s="20">
        <f>Table3[[#This Row],[APS]]*Table3[[#This Row],[PrimaComercial Anual]]</f>
        <v>390.24936000000002</v>
      </c>
      <c r="AB644" s="8">
        <f>Table3[[#This Row],[PrimaComercial Anual]]*Table3[[#This Row],[Recargo adicional]]</f>
        <v>2228.1392682000001</v>
      </c>
      <c r="AC644" s="8">
        <f>Table3[[#This Row],[PrimaComercial Anual]]*Table3[[#This Row],[IT]]</f>
        <v>791.04600000000005</v>
      </c>
      <c r="AD644" s="8">
        <f>Table3[[#This Row],[PrimaComercial Anual]]*Table3[[#This Row],[IVA]]</f>
        <v>3427.866</v>
      </c>
      <c r="AE644" s="15">
        <f>Table3[[#This Row],[PrimaComercial Anual Asistencia]]</f>
        <v>26368.2</v>
      </c>
      <c r="AG644">
        <v>26368.2</v>
      </c>
    </row>
    <row r="645" spans="1:33" x14ac:dyDescent="0.25">
      <c r="A645" t="s">
        <v>18</v>
      </c>
      <c r="B645">
        <v>420000</v>
      </c>
      <c r="C645">
        <v>81</v>
      </c>
      <c r="D645" s="2">
        <f>Table3[[#This Row],[PrimaTécnica]]-Table3[[#This Row],[PrimaTécnica]]*SUM(Table3[[#This Row],[Gastos Adm]:[Cobranza]])</f>
        <v>12030.144592003198</v>
      </c>
      <c r="E645">
        <v>0</v>
      </c>
      <c r="F645">
        <v>0.15</v>
      </c>
      <c r="G645">
        <v>0.05</v>
      </c>
      <c r="H645">
        <v>0.01</v>
      </c>
      <c r="I645">
        <v>0.01</v>
      </c>
      <c r="J645" s="8">
        <f>Table3[[#This Row],[PrimaTécnica]]*Table3[[#This Row],[Gastos Adm]]</f>
        <v>2313.4893446159995</v>
      </c>
      <c r="K645" s="8">
        <f>Table3[[#This Row],[PrimaTécnica]]*Table3[[#This Row],[Utilidad]]</f>
        <v>771.16311487199994</v>
      </c>
      <c r="L645" s="8">
        <f>Table3[[#This Row],[PrimaTécnica]]*Table3[[#This Row],[Marketing]]</f>
        <v>154.23262297439999</v>
      </c>
      <c r="M645" s="8">
        <f>Table3[[#This Row],[PrimaTécnica]]*Table3[[#This Row],[Cobranza]]</f>
        <v>154.23262297439999</v>
      </c>
      <c r="N64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45">
        <v>21.84</v>
      </c>
      <c r="P645">
        <v>54.6</v>
      </c>
      <c r="Q645">
        <v>80.64</v>
      </c>
      <c r="R645">
        <v>44.377200000000002</v>
      </c>
      <c r="S645">
        <v>0.2</v>
      </c>
      <c r="T645">
        <v>0.02</v>
      </c>
      <c r="U645" s="8">
        <f>Table3[[#This Row],[PrimaNeta]]*Table3[[#This Row],[Comisión]]</f>
        <v>3906.1798743599998</v>
      </c>
      <c r="V645" s="15">
        <f>Table3[[#This Row],[PrimaComercial Anual]]-Table3[[#This Row],[PrimaComercial Anual]]*SUM(Table3[[#This Row],[APS]:[IVA]])</f>
        <v>19530.899371799998</v>
      </c>
      <c r="W645" s="2">
        <v>1.4800000000000001E-2</v>
      </c>
      <c r="X645" s="2">
        <v>8.4501000000000007E-2</v>
      </c>
      <c r="Y645">
        <v>0.03</v>
      </c>
      <c r="Z645">
        <v>0.13</v>
      </c>
      <c r="AA645" s="20">
        <f>Table3[[#This Row],[APS]]*Table3[[#This Row],[PrimaComercial Anual]]</f>
        <v>390.24936000000002</v>
      </c>
      <c r="AB645" s="8">
        <f>Table3[[#This Row],[PrimaComercial Anual]]*Table3[[#This Row],[Recargo adicional]]</f>
        <v>2228.1392682000001</v>
      </c>
      <c r="AC645" s="8">
        <f>Table3[[#This Row],[PrimaComercial Anual]]*Table3[[#This Row],[IT]]</f>
        <v>791.04600000000005</v>
      </c>
      <c r="AD645" s="8">
        <f>Table3[[#This Row],[PrimaComercial Anual]]*Table3[[#This Row],[IVA]]</f>
        <v>3427.866</v>
      </c>
      <c r="AE645" s="15">
        <f>Table3[[#This Row],[PrimaComercial Anual Asistencia]]</f>
        <v>26368.2</v>
      </c>
      <c r="AG645">
        <v>26368.2</v>
      </c>
    </row>
    <row r="646" spans="1:33" x14ac:dyDescent="0.25">
      <c r="A646" t="s">
        <v>18</v>
      </c>
      <c r="B646">
        <v>420000</v>
      </c>
      <c r="C646">
        <v>82</v>
      </c>
      <c r="D646" s="2">
        <f>Table3[[#This Row],[PrimaTécnica]]-Table3[[#This Row],[PrimaTécnica]]*SUM(Table3[[#This Row],[Gastos Adm]:[Cobranza]])</f>
        <v>12030.144592003198</v>
      </c>
      <c r="E646">
        <v>0</v>
      </c>
      <c r="F646">
        <v>0.15</v>
      </c>
      <c r="G646">
        <v>0.05</v>
      </c>
      <c r="H646">
        <v>0.01</v>
      </c>
      <c r="I646">
        <v>0.01</v>
      </c>
      <c r="J646" s="8">
        <f>Table3[[#This Row],[PrimaTécnica]]*Table3[[#This Row],[Gastos Adm]]</f>
        <v>2313.4893446159995</v>
      </c>
      <c r="K646" s="8">
        <f>Table3[[#This Row],[PrimaTécnica]]*Table3[[#This Row],[Utilidad]]</f>
        <v>771.16311487199994</v>
      </c>
      <c r="L646" s="8">
        <f>Table3[[#This Row],[PrimaTécnica]]*Table3[[#This Row],[Marketing]]</f>
        <v>154.23262297439999</v>
      </c>
      <c r="M646" s="8">
        <f>Table3[[#This Row],[PrimaTécnica]]*Table3[[#This Row],[Cobranza]]</f>
        <v>154.23262297439999</v>
      </c>
      <c r="N64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46">
        <v>21.84</v>
      </c>
      <c r="P646">
        <v>54.6</v>
      </c>
      <c r="Q646">
        <v>80.64</v>
      </c>
      <c r="R646">
        <v>44.377200000000002</v>
      </c>
      <c r="S646">
        <v>0.2</v>
      </c>
      <c r="T646">
        <v>0.02</v>
      </c>
      <c r="U646" s="8">
        <f>Table3[[#This Row],[PrimaNeta]]*Table3[[#This Row],[Comisión]]</f>
        <v>3906.1798743599998</v>
      </c>
      <c r="V646" s="15">
        <f>Table3[[#This Row],[PrimaComercial Anual]]-Table3[[#This Row],[PrimaComercial Anual]]*SUM(Table3[[#This Row],[APS]:[IVA]])</f>
        <v>19530.899371799998</v>
      </c>
      <c r="W646" s="2">
        <v>1.4800000000000001E-2</v>
      </c>
      <c r="X646" s="2">
        <v>8.4501000000000007E-2</v>
      </c>
      <c r="Y646">
        <v>0.03</v>
      </c>
      <c r="Z646">
        <v>0.13</v>
      </c>
      <c r="AA646" s="20">
        <f>Table3[[#This Row],[APS]]*Table3[[#This Row],[PrimaComercial Anual]]</f>
        <v>390.24936000000002</v>
      </c>
      <c r="AB646" s="8">
        <f>Table3[[#This Row],[PrimaComercial Anual]]*Table3[[#This Row],[Recargo adicional]]</f>
        <v>2228.1392682000001</v>
      </c>
      <c r="AC646" s="8">
        <f>Table3[[#This Row],[PrimaComercial Anual]]*Table3[[#This Row],[IT]]</f>
        <v>791.04600000000005</v>
      </c>
      <c r="AD646" s="8">
        <f>Table3[[#This Row],[PrimaComercial Anual]]*Table3[[#This Row],[IVA]]</f>
        <v>3427.866</v>
      </c>
      <c r="AE646" s="15">
        <f>Table3[[#This Row],[PrimaComercial Anual Asistencia]]</f>
        <v>26368.2</v>
      </c>
      <c r="AG646">
        <v>26368.2</v>
      </c>
    </row>
    <row r="647" spans="1:33" x14ac:dyDescent="0.25">
      <c r="A647" t="s">
        <v>18</v>
      </c>
      <c r="B647">
        <v>420000</v>
      </c>
      <c r="C647">
        <v>83</v>
      </c>
      <c r="D647" s="2">
        <f>Table3[[#This Row],[PrimaTécnica]]-Table3[[#This Row],[PrimaTécnica]]*SUM(Table3[[#This Row],[Gastos Adm]:[Cobranza]])</f>
        <v>12030.144592003198</v>
      </c>
      <c r="E647">
        <v>0</v>
      </c>
      <c r="F647">
        <v>0.15</v>
      </c>
      <c r="G647">
        <v>0.05</v>
      </c>
      <c r="H647">
        <v>0.01</v>
      </c>
      <c r="I647">
        <v>0.01</v>
      </c>
      <c r="J647" s="8">
        <f>Table3[[#This Row],[PrimaTécnica]]*Table3[[#This Row],[Gastos Adm]]</f>
        <v>2313.4893446159995</v>
      </c>
      <c r="K647" s="8">
        <f>Table3[[#This Row],[PrimaTécnica]]*Table3[[#This Row],[Utilidad]]</f>
        <v>771.16311487199994</v>
      </c>
      <c r="L647" s="8">
        <f>Table3[[#This Row],[PrimaTécnica]]*Table3[[#This Row],[Marketing]]</f>
        <v>154.23262297439999</v>
      </c>
      <c r="M647" s="8">
        <f>Table3[[#This Row],[PrimaTécnica]]*Table3[[#This Row],[Cobranza]]</f>
        <v>154.23262297439999</v>
      </c>
      <c r="N64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47">
        <v>21.84</v>
      </c>
      <c r="P647">
        <v>54.6</v>
      </c>
      <c r="Q647">
        <v>80.64</v>
      </c>
      <c r="R647">
        <v>44.377200000000002</v>
      </c>
      <c r="S647">
        <v>0.2</v>
      </c>
      <c r="T647">
        <v>0.02</v>
      </c>
      <c r="U647" s="8">
        <f>Table3[[#This Row],[PrimaNeta]]*Table3[[#This Row],[Comisión]]</f>
        <v>3906.1798743599998</v>
      </c>
      <c r="V647" s="15">
        <f>Table3[[#This Row],[PrimaComercial Anual]]-Table3[[#This Row],[PrimaComercial Anual]]*SUM(Table3[[#This Row],[APS]:[IVA]])</f>
        <v>19530.899371799998</v>
      </c>
      <c r="W647" s="2">
        <v>1.4800000000000001E-2</v>
      </c>
      <c r="X647" s="2">
        <v>8.4501000000000007E-2</v>
      </c>
      <c r="Y647">
        <v>0.03</v>
      </c>
      <c r="Z647">
        <v>0.13</v>
      </c>
      <c r="AA647" s="20">
        <f>Table3[[#This Row],[APS]]*Table3[[#This Row],[PrimaComercial Anual]]</f>
        <v>390.24936000000002</v>
      </c>
      <c r="AB647" s="8">
        <f>Table3[[#This Row],[PrimaComercial Anual]]*Table3[[#This Row],[Recargo adicional]]</f>
        <v>2228.1392682000001</v>
      </c>
      <c r="AC647" s="8">
        <f>Table3[[#This Row],[PrimaComercial Anual]]*Table3[[#This Row],[IT]]</f>
        <v>791.04600000000005</v>
      </c>
      <c r="AD647" s="8">
        <f>Table3[[#This Row],[PrimaComercial Anual]]*Table3[[#This Row],[IVA]]</f>
        <v>3427.866</v>
      </c>
      <c r="AE647" s="15">
        <f>Table3[[#This Row],[PrimaComercial Anual Asistencia]]</f>
        <v>26368.2</v>
      </c>
      <c r="AG647">
        <v>26368.2</v>
      </c>
    </row>
    <row r="648" spans="1:33" x14ac:dyDescent="0.25">
      <c r="A648" t="s">
        <v>18</v>
      </c>
      <c r="B648">
        <v>420000</v>
      </c>
      <c r="C648">
        <v>84</v>
      </c>
      <c r="D648" s="2">
        <f>Table3[[#This Row],[PrimaTécnica]]-Table3[[#This Row],[PrimaTécnica]]*SUM(Table3[[#This Row],[Gastos Adm]:[Cobranza]])</f>
        <v>12030.144592003198</v>
      </c>
      <c r="E648">
        <v>0</v>
      </c>
      <c r="F648">
        <v>0.15</v>
      </c>
      <c r="G648">
        <v>0.05</v>
      </c>
      <c r="H648">
        <v>0.01</v>
      </c>
      <c r="I648">
        <v>0.01</v>
      </c>
      <c r="J648" s="8">
        <f>Table3[[#This Row],[PrimaTécnica]]*Table3[[#This Row],[Gastos Adm]]</f>
        <v>2313.4893446159995</v>
      </c>
      <c r="K648" s="8">
        <f>Table3[[#This Row],[PrimaTécnica]]*Table3[[#This Row],[Utilidad]]</f>
        <v>771.16311487199994</v>
      </c>
      <c r="L648" s="8">
        <f>Table3[[#This Row],[PrimaTécnica]]*Table3[[#This Row],[Marketing]]</f>
        <v>154.23262297439999</v>
      </c>
      <c r="M648" s="8">
        <f>Table3[[#This Row],[PrimaTécnica]]*Table3[[#This Row],[Cobranza]]</f>
        <v>154.23262297439999</v>
      </c>
      <c r="N64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48">
        <v>21.84</v>
      </c>
      <c r="P648">
        <v>54.6</v>
      </c>
      <c r="Q648">
        <v>80.64</v>
      </c>
      <c r="R648">
        <v>44.377200000000002</v>
      </c>
      <c r="S648">
        <v>0.2</v>
      </c>
      <c r="T648">
        <v>0.02</v>
      </c>
      <c r="U648" s="8">
        <f>Table3[[#This Row],[PrimaNeta]]*Table3[[#This Row],[Comisión]]</f>
        <v>3906.1798743599998</v>
      </c>
      <c r="V648" s="15">
        <f>Table3[[#This Row],[PrimaComercial Anual]]-Table3[[#This Row],[PrimaComercial Anual]]*SUM(Table3[[#This Row],[APS]:[IVA]])</f>
        <v>19530.899371799998</v>
      </c>
      <c r="W648" s="2">
        <v>1.4800000000000001E-2</v>
      </c>
      <c r="X648" s="2">
        <v>8.4501000000000007E-2</v>
      </c>
      <c r="Y648">
        <v>0.03</v>
      </c>
      <c r="Z648">
        <v>0.13</v>
      </c>
      <c r="AA648" s="20">
        <f>Table3[[#This Row],[APS]]*Table3[[#This Row],[PrimaComercial Anual]]</f>
        <v>390.24936000000002</v>
      </c>
      <c r="AB648" s="8">
        <f>Table3[[#This Row],[PrimaComercial Anual]]*Table3[[#This Row],[Recargo adicional]]</f>
        <v>2228.1392682000001</v>
      </c>
      <c r="AC648" s="8">
        <f>Table3[[#This Row],[PrimaComercial Anual]]*Table3[[#This Row],[IT]]</f>
        <v>791.04600000000005</v>
      </c>
      <c r="AD648" s="8">
        <f>Table3[[#This Row],[PrimaComercial Anual]]*Table3[[#This Row],[IVA]]</f>
        <v>3427.866</v>
      </c>
      <c r="AE648" s="15">
        <f>Table3[[#This Row],[PrimaComercial Anual Asistencia]]</f>
        <v>26368.2</v>
      </c>
      <c r="AG648">
        <v>26368.2</v>
      </c>
    </row>
    <row r="649" spans="1:33" x14ac:dyDescent="0.25">
      <c r="A649" t="s">
        <v>18</v>
      </c>
      <c r="B649">
        <v>420000</v>
      </c>
      <c r="C649">
        <v>85</v>
      </c>
      <c r="D649" s="2">
        <f>Table3[[#This Row],[PrimaTécnica]]-Table3[[#This Row],[PrimaTécnica]]*SUM(Table3[[#This Row],[Gastos Adm]:[Cobranza]])</f>
        <v>12030.144592003198</v>
      </c>
      <c r="E649">
        <v>0</v>
      </c>
      <c r="F649">
        <v>0.15</v>
      </c>
      <c r="G649">
        <v>0.05</v>
      </c>
      <c r="H649">
        <v>0.01</v>
      </c>
      <c r="I649">
        <v>0.01</v>
      </c>
      <c r="J649" s="8">
        <f>Table3[[#This Row],[PrimaTécnica]]*Table3[[#This Row],[Gastos Adm]]</f>
        <v>2313.4893446159995</v>
      </c>
      <c r="K649" s="8">
        <f>Table3[[#This Row],[PrimaTécnica]]*Table3[[#This Row],[Utilidad]]</f>
        <v>771.16311487199994</v>
      </c>
      <c r="L649" s="8">
        <f>Table3[[#This Row],[PrimaTécnica]]*Table3[[#This Row],[Marketing]]</f>
        <v>154.23262297439999</v>
      </c>
      <c r="M649" s="8">
        <f>Table3[[#This Row],[PrimaTécnica]]*Table3[[#This Row],[Cobranza]]</f>
        <v>154.23262297439999</v>
      </c>
      <c r="N64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49">
        <v>21.84</v>
      </c>
      <c r="P649">
        <v>54.6</v>
      </c>
      <c r="Q649">
        <v>80.64</v>
      </c>
      <c r="R649">
        <v>44.377200000000002</v>
      </c>
      <c r="S649">
        <v>0.2</v>
      </c>
      <c r="T649">
        <v>0.02</v>
      </c>
      <c r="U649" s="8">
        <f>Table3[[#This Row],[PrimaNeta]]*Table3[[#This Row],[Comisión]]</f>
        <v>3906.1798743599998</v>
      </c>
      <c r="V649" s="15">
        <f>Table3[[#This Row],[PrimaComercial Anual]]-Table3[[#This Row],[PrimaComercial Anual]]*SUM(Table3[[#This Row],[APS]:[IVA]])</f>
        <v>19530.899371799998</v>
      </c>
      <c r="W649" s="2">
        <v>1.4800000000000001E-2</v>
      </c>
      <c r="X649" s="2">
        <v>8.4501000000000007E-2</v>
      </c>
      <c r="Y649">
        <v>0.03</v>
      </c>
      <c r="Z649">
        <v>0.13</v>
      </c>
      <c r="AA649" s="20">
        <f>Table3[[#This Row],[APS]]*Table3[[#This Row],[PrimaComercial Anual]]</f>
        <v>390.24936000000002</v>
      </c>
      <c r="AB649" s="8">
        <f>Table3[[#This Row],[PrimaComercial Anual]]*Table3[[#This Row],[Recargo adicional]]</f>
        <v>2228.1392682000001</v>
      </c>
      <c r="AC649" s="8">
        <f>Table3[[#This Row],[PrimaComercial Anual]]*Table3[[#This Row],[IT]]</f>
        <v>791.04600000000005</v>
      </c>
      <c r="AD649" s="8">
        <f>Table3[[#This Row],[PrimaComercial Anual]]*Table3[[#This Row],[IVA]]</f>
        <v>3427.866</v>
      </c>
      <c r="AE649" s="15">
        <f>Table3[[#This Row],[PrimaComercial Anual Asistencia]]</f>
        <v>26368.2</v>
      </c>
      <c r="AG649">
        <v>26368.2</v>
      </c>
    </row>
    <row r="650" spans="1:33" x14ac:dyDescent="0.25">
      <c r="A650" t="s">
        <v>18</v>
      </c>
      <c r="B650">
        <v>420000</v>
      </c>
      <c r="C650">
        <v>86</v>
      </c>
      <c r="D650" s="2">
        <f>Table3[[#This Row],[PrimaTécnica]]-Table3[[#This Row],[PrimaTécnica]]*SUM(Table3[[#This Row],[Gastos Adm]:[Cobranza]])</f>
        <v>12030.144592003198</v>
      </c>
      <c r="E650">
        <v>0</v>
      </c>
      <c r="F650">
        <v>0.15</v>
      </c>
      <c r="G650">
        <v>0.05</v>
      </c>
      <c r="H650">
        <v>0.01</v>
      </c>
      <c r="I650">
        <v>0.01</v>
      </c>
      <c r="J650" s="8">
        <f>Table3[[#This Row],[PrimaTécnica]]*Table3[[#This Row],[Gastos Adm]]</f>
        <v>2313.4893446159995</v>
      </c>
      <c r="K650" s="8">
        <f>Table3[[#This Row],[PrimaTécnica]]*Table3[[#This Row],[Utilidad]]</f>
        <v>771.16311487199994</v>
      </c>
      <c r="L650" s="8">
        <f>Table3[[#This Row],[PrimaTécnica]]*Table3[[#This Row],[Marketing]]</f>
        <v>154.23262297439999</v>
      </c>
      <c r="M650" s="8">
        <f>Table3[[#This Row],[PrimaTécnica]]*Table3[[#This Row],[Cobranza]]</f>
        <v>154.23262297439999</v>
      </c>
      <c r="N65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50">
        <v>21.84</v>
      </c>
      <c r="P650">
        <v>54.6</v>
      </c>
      <c r="Q650">
        <v>80.64</v>
      </c>
      <c r="R650">
        <v>44.377200000000002</v>
      </c>
      <c r="S650">
        <v>0.2</v>
      </c>
      <c r="T650">
        <v>0.02</v>
      </c>
      <c r="U650" s="8">
        <f>Table3[[#This Row],[PrimaNeta]]*Table3[[#This Row],[Comisión]]</f>
        <v>3906.1798743599998</v>
      </c>
      <c r="V650" s="15">
        <f>Table3[[#This Row],[PrimaComercial Anual]]-Table3[[#This Row],[PrimaComercial Anual]]*SUM(Table3[[#This Row],[APS]:[IVA]])</f>
        <v>19530.899371799998</v>
      </c>
      <c r="W650" s="2">
        <v>1.4800000000000001E-2</v>
      </c>
      <c r="X650" s="2">
        <v>8.4501000000000007E-2</v>
      </c>
      <c r="Y650">
        <v>0.03</v>
      </c>
      <c r="Z650">
        <v>0.13</v>
      </c>
      <c r="AA650" s="20">
        <f>Table3[[#This Row],[APS]]*Table3[[#This Row],[PrimaComercial Anual]]</f>
        <v>390.24936000000002</v>
      </c>
      <c r="AB650" s="8">
        <f>Table3[[#This Row],[PrimaComercial Anual]]*Table3[[#This Row],[Recargo adicional]]</f>
        <v>2228.1392682000001</v>
      </c>
      <c r="AC650" s="8">
        <f>Table3[[#This Row],[PrimaComercial Anual]]*Table3[[#This Row],[IT]]</f>
        <v>791.04600000000005</v>
      </c>
      <c r="AD650" s="8">
        <f>Table3[[#This Row],[PrimaComercial Anual]]*Table3[[#This Row],[IVA]]</f>
        <v>3427.866</v>
      </c>
      <c r="AE650" s="15">
        <f>Table3[[#This Row],[PrimaComercial Anual Asistencia]]</f>
        <v>26368.2</v>
      </c>
      <c r="AG650">
        <v>26368.2</v>
      </c>
    </row>
    <row r="651" spans="1:33" x14ac:dyDescent="0.25">
      <c r="A651" t="s">
        <v>18</v>
      </c>
      <c r="B651">
        <v>420000</v>
      </c>
      <c r="C651">
        <v>87</v>
      </c>
      <c r="D651" s="2">
        <f>Table3[[#This Row],[PrimaTécnica]]-Table3[[#This Row],[PrimaTécnica]]*SUM(Table3[[#This Row],[Gastos Adm]:[Cobranza]])</f>
        <v>12030.144592003198</v>
      </c>
      <c r="E651">
        <v>0</v>
      </c>
      <c r="F651">
        <v>0.15</v>
      </c>
      <c r="G651">
        <v>0.05</v>
      </c>
      <c r="H651">
        <v>0.01</v>
      </c>
      <c r="I651">
        <v>0.01</v>
      </c>
      <c r="J651" s="8">
        <f>Table3[[#This Row],[PrimaTécnica]]*Table3[[#This Row],[Gastos Adm]]</f>
        <v>2313.4893446159995</v>
      </c>
      <c r="K651" s="8">
        <f>Table3[[#This Row],[PrimaTécnica]]*Table3[[#This Row],[Utilidad]]</f>
        <v>771.16311487199994</v>
      </c>
      <c r="L651" s="8">
        <f>Table3[[#This Row],[PrimaTécnica]]*Table3[[#This Row],[Marketing]]</f>
        <v>154.23262297439999</v>
      </c>
      <c r="M651" s="8">
        <f>Table3[[#This Row],[PrimaTécnica]]*Table3[[#This Row],[Cobranza]]</f>
        <v>154.23262297439999</v>
      </c>
      <c r="N65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51">
        <v>21.84</v>
      </c>
      <c r="P651">
        <v>54.6</v>
      </c>
      <c r="Q651">
        <v>80.64</v>
      </c>
      <c r="R651">
        <v>44.377200000000002</v>
      </c>
      <c r="S651">
        <v>0.2</v>
      </c>
      <c r="T651">
        <v>0.02</v>
      </c>
      <c r="U651" s="8">
        <f>Table3[[#This Row],[PrimaNeta]]*Table3[[#This Row],[Comisión]]</f>
        <v>3906.1798743599998</v>
      </c>
      <c r="V651" s="15">
        <f>Table3[[#This Row],[PrimaComercial Anual]]-Table3[[#This Row],[PrimaComercial Anual]]*SUM(Table3[[#This Row],[APS]:[IVA]])</f>
        <v>19530.899371799998</v>
      </c>
      <c r="W651" s="2">
        <v>1.4800000000000001E-2</v>
      </c>
      <c r="X651" s="2">
        <v>8.4501000000000007E-2</v>
      </c>
      <c r="Y651">
        <v>0.03</v>
      </c>
      <c r="Z651">
        <v>0.13</v>
      </c>
      <c r="AA651" s="20">
        <f>Table3[[#This Row],[APS]]*Table3[[#This Row],[PrimaComercial Anual]]</f>
        <v>390.24936000000002</v>
      </c>
      <c r="AB651" s="8">
        <f>Table3[[#This Row],[PrimaComercial Anual]]*Table3[[#This Row],[Recargo adicional]]</f>
        <v>2228.1392682000001</v>
      </c>
      <c r="AC651" s="8">
        <f>Table3[[#This Row],[PrimaComercial Anual]]*Table3[[#This Row],[IT]]</f>
        <v>791.04600000000005</v>
      </c>
      <c r="AD651" s="8">
        <f>Table3[[#This Row],[PrimaComercial Anual]]*Table3[[#This Row],[IVA]]</f>
        <v>3427.866</v>
      </c>
      <c r="AE651" s="15">
        <f>Table3[[#This Row],[PrimaComercial Anual Asistencia]]</f>
        <v>26368.2</v>
      </c>
      <c r="AG651">
        <v>26368.2</v>
      </c>
    </row>
    <row r="652" spans="1:33" x14ac:dyDescent="0.25">
      <c r="A652" t="s">
        <v>18</v>
      </c>
      <c r="B652">
        <v>420000</v>
      </c>
      <c r="C652">
        <v>88</v>
      </c>
      <c r="D652" s="2">
        <f>Table3[[#This Row],[PrimaTécnica]]-Table3[[#This Row],[PrimaTécnica]]*SUM(Table3[[#This Row],[Gastos Adm]:[Cobranza]])</f>
        <v>12030.144592003198</v>
      </c>
      <c r="E652">
        <v>0</v>
      </c>
      <c r="F652">
        <v>0.15</v>
      </c>
      <c r="G652">
        <v>0.05</v>
      </c>
      <c r="H652">
        <v>0.01</v>
      </c>
      <c r="I652">
        <v>0.01</v>
      </c>
      <c r="J652" s="8">
        <f>Table3[[#This Row],[PrimaTécnica]]*Table3[[#This Row],[Gastos Adm]]</f>
        <v>2313.4893446159995</v>
      </c>
      <c r="K652" s="8">
        <f>Table3[[#This Row],[PrimaTécnica]]*Table3[[#This Row],[Utilidad]]</f>
        <v>771.16311487199994</v>
      </c>
      <c r="L652" s="8">
        <f>Table3[[#This Row],[PrimaTécnica]]*Table3[[#This Row],[Marketing]]</f>
        <v>154.23262297439999</v>
      </c>
      <c r="M652" s="8">
        <f>Table3[[#This Row],[PrimaTécnica]]*Table3[[#This Row],[Cobranza]]</f>
        <v>154.23262297439999</v>
      </c>
      <c r="N65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52">
        <v>21.84</v>
      </c>
      <c r="P652">
        <v>54.6</v>
      </c>
      <c r="Q652">
        <v>80.64</v>
      </c>
      <c r="R652">
        <v>44.377200000000002</v>
      </c>
      <c r="S652">
        <v>0.2</v>
      </c>
      <c r="T652">
        <v>0.02</v>
      </c>
      <c r="U652" s="8">
        <f>Table3[[#This Row],[PrimaNeta]]*Table3[[#This Row],[Comisión]]</f>
        <v>3906.1798743599998</v>
      </c>
      <c r="V652" s="15">
        <f>Table3[[#This Row],[PrimaComercial Anual]]-Table3[[#This Row],[PrimaComercial Anual]]*SUM(Table3[[#This Row],[APS]:[IVA]])</f>
        <v>19530.899371799998</v>
      </c>
      <c r="W652" s="2">
        <v>1.4800000000000001E-2</v>
      </c>
      <c r="X652" s="2">
        <v>8.4501000000000007E-2</v>
      </c>
      <c r="Y652">
        <v>0.03</v>
      </c>
      <c r="Z652">
        <v>0.13</v>
      </c>
      <c r="AA652" s="20">
        <f>Table3[[#This Row],[APS]]*Table3[[#This Row],[PrimaComercial Anual]]</f>
        <v>390.24936000000002</v>
      </c>
      <c r="AB652" s="8">
        <f>Table3[[#This Row],[PrimaComercial Anual]]*Table3[[#This Row],[Recargo adicional]]</f>
        <v>2228.1392682000001</v>
      </c>
      <c r="AC652" s="8">
        <f>Table3[[#This Row],[PrimaComercial Anual]]*Table3[[#This Row],[IT]]</f>
        <v>791.04600000000005</v>
      </c>
      <c r="AD652" s="8">
        <f>Table3[[#This Row],[PrimaComercial Anual]]*Table3[[#This Row],[IVA]]</f>
        <v>3427.866</v>
      </c>
      <c r="AE652" s="15">
        <f>Table3[[#This Row],[PrimaComercial Anual Asistencia]]</f>
        <v>26368.2</v>
      </c>
      <c r="AG652">
        <v>26368.2</v>
      </c>
    </row>
    <row r="653" spans="1:33" x14ac:dyDescent="0.25">
      <c r="A653" t="s">
        <v>18</v>
      </c>
      <c r="B653">
        <v>420000</v>
      </c>
      <c r="C653">
        <v>89</v>
      </c>
      <c r="D653" s="2">
        <f>Table3[[#This Row],[PrimaTécnica]]-Table3[[#This Row],[PrimaTécnica]]*SUM(Table3[[#This Row],[Gastos Adm]:[Cobranza]])</f>
        <v>12030.144592003198</v>
      </c>
      <c r="E653">
        <v>0</v>
      </c>
      <c r="F653">
        <v>0.15</v>
      </c>
      <c r="G653">
        <v>0.05</v>
      </c>
      <c r="H653">
        <v>0.01</v>
      </c>
      <c r="I653">
        <v>0.01</v>
      </c>
      <c r="J653" s="8">
        <f>Table3[[#This Row],[PrimaTécnica]]*Table3[[#This Row],[Gastos Adm]]</f>
        <v>2313.4893446159995</v>
      </c>
      <c r="K653" s="8">
        <f>Table3[[#This Row],[PrimaTécnica]]*Table3[[#This Row],[Utilidad]]</f>
        <v>771.16311487199994</v>
      </c>
      <c r="L653" s="8">
        <f>Table3[[#This Row],[PrimaTécnica]]*Table3[[#This Row],[Marketing]]</f>
        <v>154.23262297439999</v>
      </c>
      <c r="M653" s="8">
        <f>Table3[[#This Row],[PrimaTécnica]]*Table3[[#This Row],[Cobranza]]</f>
        <v>154.23262297439999</v>
      </c>
      <c r="N65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53">
        <v>21.84</v>
      </c>
      <c r="P653">
        <v>54.6</v>
      </c>
      <c r="Q653">
        <v>80.64</v>
      </c>
      <c r="R653">
        <v>44.377200000000002</v>
      </c>
      <c r="S653">
        <v>0.2</v>
      </c>
      <c r="T653">
        <v>0.02</v>
      </c>
      <c r="U653" s="8">
        <f>Table3[[#This Row],[PrimaNeta]]*Table3[[#This Row],[Comisión]]</f>
        <v>3906.1798743599998</v>
      </c>
      <c r="V653" s="15">
        <f>Table3[[#This Row],[PrimaComercial Anual]]-Table3[[#This Row],[PrimaComercial Anual]]*SUM(Table3[[#This Row],[APS]:[IVA]])</f>
        <v>19530.899371799998</v>
      </c>
      <c r="W653" s="2">
        <v>1.4800000000000001E-2</v>
      </c>
      <c r="X653" s="2">
        <v>8.4501000000000007E-2</v>
      </c>
      <c r="Y653">
        <v>0.03</v>
      </c>
      <c r="Z653">
        <v>0.13</v>
      </c>
      <c r="AA653" s="20">
        <f>Table3[[#This Row],[APS]]*Table3[[#This Row],[PrimaComercial Anual]]</f>
        <v>390.24936000000002</v>
      </c>
      <c r="AB653" s="8">
        <f>Table3[[#This Row],[PrimaComercial Anual]]*Table3[[#This Row],[Recargo adicional]]</f>
        <v>2228.1392682000001</v>
      </c>
      <c r="AC653" s="8">
        <f>Table3[[#This Row],[PrimaComercial Anual]]*Table3[[#This Row],[IT]]</f>
        <v>791.04600000000005</v>
      </c>
      <c r="AD653" s="8">
        <f>Table3[[#This Row],[PrimaComercial Anual]]*Table3[[#This Row],[IVA]]</f>
        <v>3427.866</v>
      </c>
      <c r="AE653" s="15">
        <f>Table3[[#This Row],[PrimaComercial Anual Asistencia]]</f>
        <v>26368.2</v>
      </c>
      <c r="AG653">
        <v>26368.2</v>
      </c>
    </row>
    <row r="654" spans="1:33" x14ac:dyDescent="0.25">
      <c r="A654" t="s">
        <v>18</v>
      </c>
      <c r="B654">
        <v>420000</v>
      </c>
      <c r="C654">
        <v>90</v>
      </c>
      <c r="D654" s="2">
        <f>Table3[[#This Row],[PrimaTécnica]]-Table3[[#This Row],[PrimaTécnica]]*SUM(Table3[[#This Row],[Gastos Adm]:[Cobranza]])</f>
        <v>12030.144592003198</v>
      </c>
      <c r="E654">
        <v>0</v>
      </c>
      <c r="F654">
        <v>0.15</v>
      </c>
      <c r="G654">
        <v>0.05</v>
      </c>
      <c r="H654">
        <v>0.01</v>
      </c>
      <c r="I654">
        <v>0.01</v>
      </c>
      <c r="J654" s="8">
        <f>Table3[[#This Row],[PrimaTécnica]]*Table3[[#This Row],[Gastos Adm]]</f>
        <v>2313.4893446159995</v>
      </c>
      <c r="K654" s="8">
        <f>Table3[[#This Row],[PrimaTécnica]]*Table3[[#This Row],[Utilidad]]</f>
        <v>771.16311487199994</v>
      </c>
      <c r="L654" s="8">
        <f>Table3[[#This Row],[PrimaTécnica]]*Table3[[#This Row],[Marketing]]</f>
        <v>154.23262297439999</v>
      </c>
      <c r="M654" s="8">
        <f>Table3[[#This Row],[PrimaTécnica]]*Table3[[#This Row],[Cobranza]]</f>
        <v>154.23262297439999</v>
      </c>
      <c r="N65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54">
        <v>21.84</v>
      </c>
      <c r="P654">
        <v>54.6</v>
      </c>
      <c r="Q654">
        <v>80.64</v>
      </c>
      <c r="R654">
        <v>44.377200000000002</v>
      </c>
      <c r="S654">
        <v>0.2</v>
      </c>
      <c r="T654">
        <v>0.02</v>
      </c>
      <c r="U654" s="8">
        <f>Table3[[#This Row],[PrimaNeta]]*Table3[[#This Row],[Comisión]]</f>
        <v>3906.1798743599998</v>
      </c>
      <c r="V654" s="15">
        <f>Table3[[#This Row],[PrimaComercial Anual]]-Table3[[#This Row],[PrimaComercial Anual]]*SUM(Table3[[#This Row],[APS]:[IVA]])</f>
        <v>19530.899371799998</v>
      </c>
      <c r="W654" s="2">
        <v>1.4800000000000001E-2</v>
      </c>
      <c r="X654" s="2">
        <v>8.4501000000000007E-2</v>
      </c>
      <c r="Y654">
        <v>0.03</v>
      </c>
      <c r="Z654">
        <v>0.13</v>
      </c>
      <c r="AA654" s="20">
        <f>Table3[[#This Row],[APS]]*Table3[[#This Row],[PrimaComercial Anual]]</f>
        <v>390.24936000000002</v>
      </c>
      <c r="AB654" s="8">
        <f>Table3[[#This Row],[PrimaComercial Anual]]*Table3[[#This Row],[Recargo adicional]]</f>
        <v>2228.1392682000001</v>
      </c>
      <c r="AC654" s="8">
        <f>Table3[[#This Row],[PrimaComercial Anual]]*Table3[[#This Row],[IT]]</f>
        <v>791.04600000000005</v>
      </c>
      <c r="AD654" s="8">
        <f>Table3[[#This Row],[PrimaComercial Anual]]*Table3[[#This Row],[IVA]]</f>
        <v>3427.866</v>
      </c>
      <c r="AE654" s="15">
        <f>Table3[[#This Row],[PrimaComercial Anual Asistencia]]</f>
        <v>26368.2</v>
      </c>
      <c r="AG654">
        <v>26368.2</v>
      </c>
    </row>
    <row r="655" spans="1:33" x14ac:dyDescent="0.25">
      <c r="A655" t="s">
        <v>18</v>
      </c>
      <c r="B655">
        <v>420000</v>
      </c>
      <c r="C655">
        <v>91</v>
      </c>
      <c r="D655" s="2">
        <f>Table3[[#This Row],[PrimaTécnica]]-Table3[[#This Row],[PrimaTécnica]]*SUM(Table3[[#This Row],[Gastos Adm]:[Cobranza]])</f>
        <v>12030.144592003198</v>
      </c>
      <c r="E655">
        <v>0</v>
      </c>
      <c r="F655">
        <v>0.15</v>
      </c>
      <c r="G655">
        <v>0.05</v>
      </c>
      <c r="H655">
        <v>0.01</v>
      </c>
      <c r="I655">
        <v>0.01</v>
      </c>
      <c r="J655" s="8">
        <f>Table3[[#This Row],[PrimaTécnica]]*Table3[[#This Row],[Gastos Adm]]</f>
        <v>2313.4893446159995</v>
      </c>
      <c r="K655" s="8">
        <f>Table3[[#This Row],[PrimaTécnica]]*Table3[[#This Row],[Utilidad]]</f>
        <v>771.16311487199994</v>
      </c>
      <c r="L655" s="8">
        <f>Table3[[#This Row],[PrimaTécnica]]*Table3[[#This Row],[Marketing]]</f>
        <v>154.23262297439999</v>
      </c>
      <c r="M655" s="8">
        <f>Table3[[#This Row],[PrimaTécnica]]*Table3[[#This Row],[Cobranza]]</f>
        <v>154.23262297439999</v>
      </c>
      <c r="N65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55">
        <v>21.84</v>
      </c>
      <c r="P655">
        <v>54.6</v>
      </c>
      <c r="Q655">
        <v>80.64</v>
      </c>
      <c r="R655">
        <v>44.377200000000002</v>
      </c>
      <c r="S655">
        <v>0.2</v>
      </c>
      <c r="T655">
        <v>0.02</v>
      </c>
      <c r="U655" s="8">
        <f>Table3[[#This Row],[PrimaNeta]]*Table3[[#This Row],[Comisión]]</f>
        <v>3906.1798743599998</v>
      </c>
      <c r="V655" s="15">
        <f>Table3[[#This Row],[PrimaComercial Anual]]-Table3[[#This Row],[PrimaComercial Anual]]*SUM(Table3[[#This Row],[APS]:[IVA]])</f>
        <v>19530.899371799998</v>
      </c>
      <c r="W655" s="2">
        <v>1.4800000000000001E-2</v>
      </c>
      <c r="X655" s="2">
        <v>8.4501000000000007E-2</v>
      </c>
      <c r="Y655">
        <v>0.03</v>
      </c>
      <c r="Z655">
        <v>0.13</v>
      </c>
      <c r="AA655" s="20">
        <f>Table3[[#This Row],[APS]]*Table3[[#This Row],[PrimaComercial Anual]]</f>
        <v>390.24936000000002</v>
      </c>
      <c r="AB655" s="8">
        <f>Table3[[#This Row],[PrimaComercial Anual]]*Table3[[#This Row],[Recargo adicional]]</f>
        <v>2228.1392682000001</v>
      </c>
      <c r="AC655" s="8">
        <f>Table3[[#This Row],[PrimaComercial Anual]]*Table3[[#This Row],[IT]]</f>
        <v>791.04600000000005</v>
      </c>
      <c r="AD655" s="8">
        <f>Table3[[#This Row],[PrimaComercial Anual]]*Table3[[#This Row],[IVA]]</f>
        <v>3427.866</v>
      </c>
      <c r="AE655" s="15">
        <f>Table3[[#This Row],[PrimaComercial Anual Asistencia]]</f>
        <v>26368.2</v>
      </c>
      <c r="AG655">
        <v>26368.2</v>
      </c>
    </row>
    <row r="656" spans="1:33" x14ac:dyDescent="0.25">
      <c r="A656" t="s">
        <v>18</v>
      </c>
      <c r="B656">
        <v>420000</v>
      </c>
      <c r="C656">
        <v>92</v>
      </c>
      <c r="D656" s="2">
        <f>Table3[[#This Row],[PrimaTécnica]]-Table3[[#This Row],[PrimaTécnica]]*SUM(Table3[[#This Row],[Gastos Adm]:[Cobranza]])</f>
        <v>12030.144592003198</v>
      </c>
      <c r="E656">
        <v>0</v>
      </c>
      <c r="F656">
        <v>0.15</v>
      </c>
      <c r="G656">
        <v>0.05</v>
      </c>
      <c r="H656">
        <v>0.01</v>
      </c>
      <c r="I656">
        <v>0.01</v>
      </c>
      <c r="J656" s="8">
        <f>Table3[[#This Row],[PrimaTécnica]]*Table3[[#This Row],[Gastos Adm]]</f>
        <v>2313.4893446159995</v>
      </c>
      <c r="K656" s="8">
        <f>Table3[[#This Row],[PrimaTécnica]]*Table3[[#This Row],[Utilidad]]</f>
        <v>771.16311487199994</v>
      </c>
      <c r="L656" s="8">
        <f>Table3[[#This Row],[PrimaTécnica]]*Table3[[#This Row],[Marketing]]</f>
        <v>154.23262297439999</v>
      </c>
      <c r="M656" s="8">
        <f>Table3[[#This Row],[PrimaTécnica]]*Table3[[#This Row],[Cobranza]]</f>
        <v>154.23262297439999</v>
      </c>
      <c r="N65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56">
        <v>21.84</v>
      </c>
      <c r="P656">
        <v>54.6</v>
      </c>
      <c r="Q656">
        <v>80.64</v>
      </c>
      <c r="R656">
        <v>44.377200000000002</v>
      </c>
      <c r="S656">
        <v>0.2</v>
      </c>
      <c r="T656">
        <v>0.02</v>
      </c>
      <c r="U656" s="8">
        <f>Table3[[#This Row],[PrimaNeta]]*Table3[[#This Row],[Comisión]]</f>
        <v>3906.1798743599998</v>
      </c>
      <c r="V656" s="15">
        <f>Table3[[#This Row],[PrimaComercial Anual]]-Table3[[#This Row],[PrimaComercial Anual]]*SUM(Table3[[#This Row],[APS]:[IVA]])</f>
        <v>19530.899371799998</v>
      </c>
      <c r="W656" s="2">
        <v>1.4800000000000001E-2</v>
      </c>
      <c r="X656" s="2">
        <v>8.4501000000000007E-2</v>
      </c>
      <c r="Y656">
        <v>0.03</v>
      </c>
      <c r="Z656">
        <v>0.13</v>
      </c>
      <c r="AA656" s="20">
        <f>Table3[[#This Row],[APS]]*Table3[[#This Row],[PrimaComercial Anual]]</f>
        <v>390.24936000000002</v>
      </c>
      <c r="AB656" s="8">
        <f>Table3[[#This Row],[PrimaComercial Anual]]*Table3[[#This Row],[Recargo adicional]]</f>
        <v>2228.1392682000001</v>
      </c>
      <c r="AC656" s="8">
        <f>Table3[[#This Row],[PrimaComercial Anual]]*Table3[[#This Row],[IT]]</f>
        <v>791.04600000000005</v>
      </c>
      <c r="AD656" s="8">
        <f>Table3[[#This Row],[PrimaComercial Anual]]*Table3[[#This Row],[IVA]]</f>
        <v>3427.866</v>
      </c>
      <c r="AE656" s="15">
        <f>Table3[[#This Row],[PrimaComercial Anual Asistencia]]</f>
        <v>26368.2</v>
      </c>
      <c r="AG656">
        <v>26368.2</v>
      </c>
    </row>
    <row r="657" spans="1:33" x14ac:dyDescent="0.25">
      <c r="A657" t="s">
        <v>18</v>
      </c>
      <c r="B657">
        <v>420000</v>
      </c>
      <c r="C657">
        <v>93</v>
      </c>
      <c r="D657" s="2">
        <f>Table3[[#This Row],[PrimaTécnica]]-Table3[[#This Row],[PrimaTécnica]]*SUM(Table3[[#This Row],[Gastos Adm]:[Cobranza]])</f>
        <v>12030.144592003198</v>
      </c>
      <c r="E657">
        <v>0</v>
      </c>
      <c r="F657">
        <v>0.15</v>
      </c>
      <c r="G657">
        <v>0.05</v>
      </c>
      <c r="H657">
        <v>0.01</v>
      </c>
      <c r="I657">
        <v>0.01</v>
      </c>
      <c r="J657" s="8">
        <f>Table3[[#This Row],[PrimaTécnica]]*Table3[[#This Row],[Gastos Adm]]</f>
        <v>2313.4893446159995</v>
      </c>
      <c r="K657" s="8">
        <f>Table3[[#This Row],[PrimaTécnica]]*Table3[[#This Row],[Utilidad]]</f>
        <v>771.16311487199994</v>
      </c>
      <c r="L657" s="8">
        <f>Table3[[#This Row],[PrimaTécnica]]*Table3[[#This Row],[Marketing]]</f>
        <v>154.23262297439999</v>
      </c>
      <c r="M657" s="8">
        <f>Table3[[#This Row],[PrimaTécnica]]*Table3[[#This Row],[Cobranza]]</f>
        <v>154.23262297439999</v>
      </c>
      <c r="N65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57">
        <v>21.84</v>
      </c>
      <c r="P657">
        <v>54.6</v>
      </c>
      <c r="Q657">
        <v>80.64</v>
      </c>
      <c r="R657">
        <v>44.377200000000002</v>
      </c>
      <c r="S657">
        <v>0.2</v>
      </c>
      <c r="T657">
        <v>0.02</v>
      </c>
      <c r="U657" s="8">
        <f>Table3[[#This Row],[PrimaNeta]]*Table3[[#This Row],[Comisión]]</f>
        <v>3906.1798743599998</v>
      </c>
      <c r="V657" s="15">
        <f>Table3[[#This Row],[PrimaComercial Anual]]-Table3[[#This Row],[PrimaComercial Anual]]*SUM(Table3[[#This Row],[APS]:[IVA]])</f>
        <v>19530.899371799998</v>
      </c>
      <c r="W657" s="2">
        <v>1.4800000000000001E-2</v>
      </c>
      <c r="X657" s="2">
        <v>8.4501000000000007E-2</v>
      </c>
      <c r="Y657">
        <v>0.03</v>
      </c>
      <c r="Z657">
        <v>0.13</v>
      </c>
      <c r="AA657" s="20">
        <f>Table3[[#This Row],[APS]]*Table3[[#This Row],[PrimaComercial Anual]]</f>
        <v>390.24936000000002</v>
      </c>
      <c r="AB657" s="8">
        <f>Table3[[#This Row],[PrimaComercial Anual]]*Table3[[#This Row],[Recargo adicional]]</f>
        <v>2228.1392682000001</v>
      </c>
      <c r="AC657" s="8">
        <f>Table3[[#This Row],[PrimaComercial Anual]]*Table3[[#This Row],[IT]]</f>
        <v>791.04600000000005</v>
      </c>
      <c r="AD657" s="8">
        <f>Table3[[#This Row],[PrimaComercial Anual]]*Table3[[#This Row],[IVA]]</f>
        <v>3427.866</v>
      </c>
      <c r="AE657" s="15">
        <f>Table3[[#This Row],[PrimaComercial Anual Asistencia]]</f>
        <v>26368.2</v>
      </c>
      <c r="AG657">
        <v>26368.2</v>
      </c>
    </row>
    <row r="658" spans="1:33" x14ac:dyDescent="0.25">
      <c r="A658" t="s">
        <v>18</v>
      </c>
      <c r="B658">
        <v>420000</v>
      </c>
      <c r="C658">
        <v>94</v>
      </c>
      <c r="D658" s="2">
        <f>Table3[[#This Row],[PrimaTécnica]]-Table3[[#This Row],[PrimaTécnica]]*SUM(Table3[[#This Row],[Gastos Adm]:[Cobranza]])</f>
        <v>12030.144592003198</v>
      </c>
      <c r="E658">
        <v>0</v>
      </c>
      <c r="F658">
        <v>0.15</v>
      </c>
      <c r="G658">
        <v>0.05</v>
      </c>
      <c r="H658">
        <v>0.01</v>
      </c>
      <c r="I658">
        <v>0.01</v>
      </c>
      <c r="J658" s="8">
        <f>Table3[[#This Row],[PrimaTécnica]]*Table3[[#This Row],[Gastos Adm]]</f>
        <v>2313.4893446159995</v>
      </c>
      <c r="K658" s="8">
        <f>Table3[[#This Row],[PrimaTécnica]]*Table3[[#This Row],[Utilidad]]</f>
        <v>771.16311487199994</v>
      </c>
      <c r="L658" s="8">
        <f>Table3[[#This Row],[PrimaTécnica]]*Table3[[#This Row],[Marketing]]</f>
        <v>154.23262297439999</v>
      </c>
      <c r="M658" s="8">
        <f>Table3[[#This Row],[PrimaTécnica]]*Table3[[#This Row],[Cobranza]]</f>
        <v>154.23262297439999</v>
      </c>
      <c r="N65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58">
        <v>21.84</v>
      </c>
      <c r="P658">
        <v>54.6</v>
      </c>
      <c r="Q658">
        <v>80.64</v>
      </c>
      <c r="R658">
        <v>44.377200000000002</v>
      </c>
      <c r="S658">
        <v>0.2</v>
      </c>
      <c r="T658">
        <v>0.02</v>
      </c>
      <c r="U658" s="8">
        <f>Table3[[#This Row],[PrimaNeta]]*Table3[[#This Row],[Comisión]]</f>
        <v>3906.1798743599998</v>
      </c>
      <c r="V658" s="15">
        <f>Table3[[#This Row],[PrimaComercial Anual]]-Table3[[#This Row],[PrimaComercial Anual]]*SUM(Table3[[#This Row],[APS]:[IVA]])</f>
        <v>19530.899371799998</v>
      </c>
      <c r="W658" s="2">
        <v>1.4800000000000001E-2</v>
      </c>
      <c r="X658" s="2">
        <v>8.4501000000000007E-2</v>
      </c>
      <c r="Y658">
        <v>0.03</v>
      </c>
      <c r="Z658">
        <v>0.13</v>
      </c>
      <c r="AA658" s="20">
        <f>Table3[[#This Row],[APS]]*Table3[[#This Row],[PrimaComercial Anual]]</f>
        <v>390.24936000000002</v>
      </c>
      <c r="AB658" s="8">
        <f>Table3[[#This Row],[PrimaComercial Anual]]*Table3[[#This Row],[Recargo adicional]]</f>
        <v>2228.1392682000001</v>
      </c>
      <c r="AC658" s="8">
        <f>Table3[[#This Row],[PrimaComercial Anual]]*Table3[[#This Row],[IT]]</f>
        <v>791.04600000000005</v>
      </c>
      <c r="AD658" s="8">
        <f>Table3[[#This Row],[PrimaComercial Anual]]*Table3[[#This Row],[IVA]]</f>
        <v>3427.866</v>
      </c>
      <c r="AE658" s="15">
        <f>Table3[[#This Row],[PrimaComercial Anual Asistencia]]</f>
        <v>26368.2</v>
      </c>
      <c r="AG658">
        <v>26368.2</v>
      </c>
    </row>
    <row r="659" spans="1:33" x14ac:dyDescent="0.25">
      <c r="A659" t="s">
        <v>18</v>
      </c>
      <c r="B659">
        <v>420000</v>
      </c>
      <c r="C659">
        <v>95</v>
      </c>
      <c r="D659" s="2">
        <f>Table3[[#This Row],[PrimaTécnica]]-Table3[[#This Row],[PrimaTécnica]]*SUM(Table3[[#This Row],[Gastos Adm]:[Cobranza]])</f>
        <v>12030.144592003198</v>
      </c>
      <c r="E659">
        <v>0</v>
      </c>
      <c r="F659">
        <v>0.15</v>
      </c>
      <c r="G659">
        <v>0.05</v>
      </c>
      <c r="H659">
        <v>0.01</v>
      </c>
      <c r="I659">
        <v>0.01</v>
      </c>
      <c r="J659" s="8">
        <f>Table3[[#This Row],[PrimaTécnica]]*Table3[[#This Row],[Gastos Adm]]</f>
        <v>2313.4893446159995</v>
      </c>
      <c r="K659" s="8">
        <f>Table3[[#This Row],[PrimaTécnica]]*Table3[[#This Row],[Utilidad]]</f>
        <v>771.16311487199994</v>
      </c>
      <c r="L659" s="8">
        <f>Table3[[#This Row],[PrimaTécnica]]*Table3[[#This Row],[Marketing]]</f>
        <v>154.23262297439999</v>
      </c>
      <c r="M659" s="8">
        <f>Table3[[#This Row],[PrimaTécnica]]*Table3[[#This Row],[Cobranza]]</f>
        <v>154.23262297439999</v>
      </c>
      <c r="N65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59">
        <v>21.84</v>
      </c>
      <c r="P659">
        <v>54.6</v>
      </c>
      <c r="Q659">
        <v>80.64</v>
      </c>
      <c r="R659">
        <v>44.377200000000002</v>
      </c>
      <c r="S659">
        <v>0.2</v>
      </c>
      <c r="T659">
        <v>0.02</v>
      </c>
      <c r="U659" s="8">
        <f>Table3[[#This Row],[PrimaNeta]]*Table3[[#This Row],[Comisión]]</f>
        <v>3906.1798743599998</v>
      </c>
      <c r="V659" s="15">
        <f>Table3[[#This Row],[PrimaComercial Anual]]-Table3[[#This Row],[PrimaComercial Anual]]*SUM(Table3[[#This Row],[APS]:[IVA]])</f>
        <v>19530.899371799998</v>
      </c>
      <c r="W659" s="2">
        <v>1.4800000000000001E-2</v>
      </c>
      <c r="X659" s="2">
        <v>8.4501000000000007E-2</v>
      </c>
      <c r="Y659">
        <v>0.03</v>
      </c>
      <c r="Z659">
        <v>0.13</v>
      </c>
      <c r="AA659" s="20">
        <f>Table3[[#This Row],[APS]]*Table3[[#This Row],[PrimaComercial Anual]]</f>
        <v>390.24936000000002</v>
      </c>
      <c r="AB659" s="8">
        <f>Table3[[#This Row],[PrimaComercial Anual]]*Table3[[#This Row],[Recargo adicional]]</f>
        <v>2228.1392682000001</v>
      </c>
      <c r="AC659" s="8">
        <f>Table3[[#This Row],[PrimaComercial Anual]]*Table3[[#This Row],[IT]]</f>
        <v>791.04600000000005</v>
      </c>
      <c r="AD659" s="8">
        <f>Table3[[#This Row],[PrimaComercial Anual]]*Table3[[#This Row],[IVA]]</f>
        <v>3427.866</v>
      </c>
      <c r="AE659" s="15">
        <f>Table3[[#This Row],[PrimaComercial Anual Asistencia]]</f>
        <v>26368.2</v>
      </c>
      <c r="AG659">
        <v>26368.2</v>
      </c>
    </row>
    <row r="660" spans="1:33" x14ac:dyDescent="0.25">
      <c r="A660" t="s">
        <v>18</v>
      </c>
      <c r="B660">
        <v>420000</v>
      </c>
      <c r="C660">
        <v>96</v>
      </c>
      <c r="D660" s="2">
        <f>Table3[[#This Row],[PrimaTécnica]]-Table3[[#This Row],[PrimaTécnica]]*SUM(Table3[[#This Row],[Gastos Adm]:[Cobranza]])</f>
        <v>12030.144592003198</v>
      </c>
      <c r="E660">
        <v>0</v>
      </c>
      <c r="F660">
        <v>0.15</v>
      </c>
      <c r="G660">
        <v>0.05</v>
      </c>
      <c r="H660">
        <v>0.01</v>
      </c>
      <c r="I660">
        <v>0.01</v>
      </c>
      <c r="J660" s="8">
        <f>Table3[[#This Row],[PrimaTécnica]]*Table3[[#This Row],[Gastos Adm]]</f>
        <v>2313.4893446159995</v>
      </c>
      <c r="K660" s="8">
        <f>Table3[[#This Row],[PrimaTécnica]]*Table3[[#This Row],[Utilidad]]</f>
        <v>771.16311487199994</v>
      </c>
      <c r="L660" s="8">
        <f>Table3[[#This Row],[PrimaTécnica]]*Table3[[#This Row],[Marketing]]</f>
        <v>154.23262297439999</v>
      </c>
      <c r="M660" s="8">
        <f>Table3[[#This Row],[PrimaTécnica]]*Table3[[#This Row],[Cobranza]]</f>
        <v>154.23262297439999</v>
      </c>
      <c r="N66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60">
        <v>21.84</v>
      </c>
      <c r="P660">
        <v>54.6</v>
      </c>
      <c r="Q660">
        <v>80.64</v>
      </c>
      <c r="R660">
        <v>44.377200000000002</v>
      </c>
      <c r="S660">
        <v>0.2</v>
      </c>
      <c r="T660">
        <v>0.02</v>
      </c>
      <c r="U660" s="8">
        <f>Table3[[#This Row],[PrimaNeta]]*Table3[[#This Row],[Comisión]]</f>
        <v>3906.1798743599998</v>
      </c>
      <c r="V660" s="15">
        <f>Table3[[#This Row],[PrimaComercial Anual]]-Table3[[#This Row],[PrimaComercial Anual]]*SUM(Table3[[#This Row],[APS]:[IVA]])</f>
        <v>19530.899371799998</v>
      </c>
      <c r="W660" s="2">
        <v>1.4800000000000001E-2</v>
      </c>
      <c r="X660" s="2">
        <v>8.4501000000000007E-2</v>
      </c>
      <c r="Y660">
        <v>0.03</v>
      </c>
      <c r="Z660">
        <v>0.13</v>
      </c>
      <c r="AA660" s="20">
        <f>Table3[[#This Row],[APS]]*Table3[[#This Row],[PrimaComercial Anual]]</f>
        <v>390.24936000000002</v>
      </c>
      <c r="AB660" s="8">
        <f>Table3[[#This Row],[PrimaComercial Anual]]*Table3[[#This Row],[Recargo adicional]]</f>
        <v>2228.1392682000001</v>
      </c>
      <c r="AC660" s="8">
        <f>Table3[[#This Row],[PrimaComercial Anual]]*Table3[[#This Row],[IT]]</f>
        <v>791.04600000000005</v>
      </c>
      <c r="AD660" s="8">
        <f>Table3[[#This Row],[PrimaComercial Anual]]*Table3[[#This Row],[IVA]]</f>
        <v>3427.866</v>
      </c>
      <c r="AE660" s="15">
        <f>Table3[[#This Row],[PrimaComercial Anual Asistencia]]</f>
        <v>26368.2</v>
      </c>
      <c r="AG660">
        <v>26368.2</v>
      </c>
    </row>
    <row r="661" spans="1:33" x14ac:dyDescent="0.25">
      <c r="A661" t="s">
        <v>18</v>
      </c>
      <c r="B661">
        <v>420000</v>
      </c>
      <c r="C661">
        <v>97</v>
      </c>
      <c r="D661" s="2">
        <f>Table3[[#This Row],[PrimaTécnica]]-Table3[[#This Row],[PrimaTécnica]]*SUM(Table3[[#This Row],[Gastos Adm]:[Cobranza]])</f>
        <v>12030.144592003198</v>
      </c>
      <c r="E661">
        <v>0</v>
      </c>
      <c r="F661">
        <v>0.15</v>
      </c>
      <c r="G661">
        <v>0.05</v>
      </c>
      <c r="H661">
        <v>0.01</v>
      </c>
      <c r="I661">
        <v>0.01</v>
      </c>
      <c r="J661" s="8">
        <f>Table3[[#This Row],[PrimaTécnica]]*Table3[[#This Row],[Gastos Adm]]</f>
        <v>2313.4893446159995</v>
      </c>
      <c r="K661" s="8">
        <f>Table3[[#This Row],[PrimaTécnica]]*Table3[[#This Row],[Utilidad]]</f>
        <v>771.16311487199994</v>
      </c>
      <c r="L661" s="8">
        <f>Table3[[#This Row],[PrimaTécnica]]*Table3[[#This Row],[Marketing]]</f>
        <v>154.23262297439999</v>
      </c>
      <c r="M661" s="8">
        <f>Table3[[#This Row],[PrimaTécnica]]*Table3[[#This Row],[Cobranza]]</f>
        <v>154.23262297439999</v>
      </c>
      <c r="N66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61">
        <v>21.84</v>
      </c>
      <c r="P661">
        <v>54.6</v>
      </c>
      <c r="Q661">
        <v>80.64</v>
      </c>
      <c r="R661">
        <v>44.377200000000002</v>
      </c>
      <c r="S661">
        <v>0.2</v>
      </c>
      <c r="T661">
        <v>0.02</v>
      </c>
      <c r="U661" s="8">
        <f>Table3[[#This Row],[PrimaNeta]]*Table3[[#This Row],[Comisión]]</f>
        <v>3906.1798743599998</v>
      </c>
      <c r="V661" s="15">
        <f>Table3[[#This Row],[PrimaComercial Anual]]-Table3[[#This Row],[PrimaComercial Anual]]*SUM(Table3[[#This Row],[APS]:[IVA]])</f>
        <v>19530.899371799998</v>
      </c>
      <c r="W661" s="2">
        <v>1.4800000000000001E-2</v>
      </c>
      <c r="X661" s="2">
        <v>8.4501000000000007E-2</v>
      </c>
      <c r="Y661">
        <v>0.03</v>
      </c>
      <c r="Z661">
        <v>0.13</v>
      </c>
      <c r="AA661" s="20">
        <f>Table3[[#This Row],[APS]]*Table3[[#This Row],[PrimaComercial Anual]]</f>
        <v>390.24936000000002</v>
      </c>
      <c r="AB661" s="8">
        <f>Table3[[#This Row],[PrimaComercial Anual]]*Table3[[#This Row],[Recargo adicional]]</f>
        <v>2228.1392682000001</v>
      </c>
      <c r="AC661" s="8">
        <f>Table3[[#This Row],[PrimaComercial Anual]]*Table3[[#This Row],[IT]]</f>
        <v>791.04600000000005</v>
      </c>
      <c r="AD661" s="8">
        <f>Table3[[#This Row],[PrimaComercial Anual]]*Table3[[#This Row],[IVA]]</f>
        <v>3427.866</v>
      </c>
      <c r="AE661" s="15">
        <f>Table3[[#This Row],[PrimaComercial Anual Asistencia]]</f>
        <v>26368.2</v>
      </c>
      <c r="AG661">
        <v>26368.2</v>
      </c>
    </row>
    <row r="662" spans="1:33" x14ac:dyDescent="0.25">
      <c r="A662" t="s">
        <v>18</v>
      </c>
      <c r="B662">
        <v>420000</v>
      </c>
      <c r="C662">
        <v>98</v>
      </c>
      <c r="D662" s="2">
        <f>Table3[[#This Row],[PrimaTécnica]]-Table3[[#This Row],[PrimaTécnica]]*SUM(Table3[[#This Row],[Gastos Adm]:[Cobranza]])</f>
        <v>12030.144592003198</v>
      </c>
      <c r="E662">
        <v>0</v>
      </c>
      <c r="F662">
        <v>0.15</v>
      </c>
      <c r="G662">
        <v>0.05</v>
      </c>
      <c r="H662">
        <v>0.01</v>
      </c>
      <c r="I662">
        <v>0.01</v>
      </c>
      <c r="J662" s="8">
        <f>Table3[[#This Row],[PrimaTécnica]]*Table3[[#This Row],[Gastos Adm]]</f>
        <v>2313.4893446159995</v>
      </c>
      <c r="K662" s="8">
        <f>Table3[[#This Row],[PrimaTécnica]]*Table3[[#This Row],[Utilidad]]</f>
        <v>771.16311487199994</v>
      </c>
      <c r="L662" s="8">
        <f>Table3[[#This Row],[PrimaTécnica]]*Table3[[#This Row],[Marketing]]</f>
        <v>154.23262297439999</v>
      </c>
      <c r="M662" s="8">
        <f>Table3[[#This Row],[PrimaTécnica]]*Table3[[#This Row],[Cobranza]]</f>
        <v>154.23262297439999</v>
      </c>
      <c r="N66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62">
        <v>21.84</v>
      </c>
      <c r="P662">
        <v>54.6</v>
      </c>
      <c r="Q662">
        <v>80.64</v>
      </c>
      <c r="R662">
        <v>44.377200000000002</v>
      </c>
      <c r="S662">
        <v>0.2</v>
      </c>
      <c r="T662">
        <v>0.02</v>
      </c>
      <c r="U662" s="8">
        <f>Table3[[#This Row],[PrimaNeta]]*Table3[[#This Row],[Comisión]]</f>
        <v>3906.1798743599998</v>
      </c>
      <c r="V662" s="15">
        <f>Table3[[#This Row],[PrimaComercial Anual]]-Table3[[#This Row],[PrimaComercial Anual]]*SUM(Table3[[#This Row],[APS]:[IVA]])</f>
        <v>19530.899371799998</v>
      </c>
      <c r="W662" s="2">
        <v>1.4800000000000001E-2</v>
      </c>
      <c r="X662" s="2">
        <v>8.4501000000000007E-2</v>
      </c>
      <c r="Y662">
        <v>0.03</v>
      </c>
      <c r="Z662">
        <v>0.13</v>
      </c>
      <c r="AA662" s="20">
        <f>Table3[[#This Row],[APS]]*Table3[[#This Row],[PrimaComercial Anual]]</f>
        <v>390.24936000000002</v>
      </c>
      <c r="AB662" s="8">
        <f>Table3[[#This Row],[PrimaComercial Anual]]*Table3[[#This Row],[Recargo adicional]]</f>
        <v>2228.1392682000001</v>
      </c>
      <c r="AC662" s="8">
        <f>Table3[[#This Row],[PrimaComercial Anual]]*Table3[[#This Row],[IT]]</f>
        <v>791.04600000000005</v>
      </c>
      <c r="AD662" s="8">
        <f>Table3[[#This Row],[PrimaComercial Anual]]*Table3[[#This Row],[IVA]]</f>
        <v>3427.866</v>
      </c>
      <c r="AE662" s="15">
        <f>Table3[[#This Row],[PrimaComercial Anual Asistencia]]</f>
        <v>26368.2</v>
      </c>
      <c r="AG662">
        <v>26368.2</v>
      </c>
    </row>
    <row r="663" spans="1:33" x14ac:dyDescent="0.25">
      <c r="A663" t="s">
        <v>18</v>
      </c>
      <c r="B663">
        <v>420000</v>
      </c>
      <c r="C663">
        <v>99</v>
      </c>
      <c r="D663" s="2">
        <f>Table3[[#This Row],[PrimaTécnica]]-Table3[[#This Row],[PrimaTécnica]]*SUM(Table3[[#This Row],[Gastos Adm]:[Cobranza]])</f>
        <v>12030.144592003198</v>
      </c>
      <c r="E663">
        <v>0</v>
      </c>
      <c r="F663">
        <v>0.15</v>
      </c>
      <c r="G663">
        <v>0.05</v>
      </c>
      <c r="H663">
        <v>0.01</v>
      </c>
      <c r="I663">
        <v>0.01</v>
      </c>
      <c r="J663" s="8">
        <f>Table3[[#This Row],[PrimaTécnica]]*Table3[[#This Row],[Gastos Adm]]</f>
        <v>2313.4893446159995</v>
      </c>
      <c r="K663" s="8">
        <f>Table3[[#This Row],[PrimaTécnica]]*Table3[[#This Row],[Utilidad]]</f>
        <v>771.16311487199994</v>
      </c>
      <c r="L663" s="8">
        <f>Table3[[#This Row],[PrimaTécnica]]*Table3[[#This Row],[Marketing]]</f>
        <v>154.23262297439999</v>
      </c>
      <c r="M663" s="8">
        <f>Table3[[#This Row],[PrimaTécnica]]*Table3[[#This Row],[Cobranza]]</f>
        <v>154.23262297439999</v>
      </c>
      <c r="N66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15423.262297439998</v>
      </c>
      <c r="O663">
        <v>21.84</v>
      </c>
      <c r="P663">
        <v>54.6</v>
      </c>
      <c r="Q663">
        <v>80.64</v>
      </c>
      <c r="R663">
        <v>44.377200000000002</v>
      </c>
      <c r="S663">
        <v>0.2</v>
      </c>
      <c r="T663">
        <v>0.02</v>
      </c>
      <c r="U663" s="8">
        <f>Table3[[#This Row],[PrimaNeta]]*Table3[[#This Row],[Comisión]]</f>
        <v>3906.1798743599998</v>
      </c>
      <c r="V663" s="15">
        <f>Table3[[#This Row],[PrimaComercial Anual]]-Table3[[#This Row],[PrimaComercial Anual]]*SUM(Table3[[#This Row],[APS]:[IVA]])</f>
        <v>19530.899371799998</v>
      </c>
      <c r="W663" s="2">
        <v>1.4800000000000001E-2</v>
      </c>
      <c r="X663" s="2">
        <v>8.4501000000000007E-2</v>
      </c>
      <c r="Y663">
        <v>0.03</v>
      </c>
      <c r="Z663">
        <v>0.13</v>
      </c>
      <c r="AA663" s="20">
        <f>Table3[[#This Row],[APS]]*Table3[[#This Row],[PrimaComercial Anual]]</f>
        <v>390.24936000000002</v>
      </c>
      <c r="AB663" s="8">
        <f>Table3[[#This Row],[PrimaComercial Anual]]*Table3[[#This Row],[Recargo adicional]]</f>
        <v>2228.1392682000001</v>
      </c>
      <c r="AC663" s="8">
        <f>Table3[[#This Row],[PrimaComercial Anual]]*Table3[[#This Row],[IT]]</f>
        <v>791.04600000000005</v>
      </c>
      <c r="AD663" s="8">
        <f>Table3[[#This Row],[PrimaComercial Anual]]*Table3[[#This Row],[IVA]]</f>
        <v>3427.866</v>
      </c>
      <c r="AE663" s="15">
        <f>Table3[[#This Row],[PrimaComercial Anual Asistencia]]</f>
        <v>26368.2</v>
      </c>
      <c r="AG663">
        <v>26368.2</v>
      </c>
    </row>
    <row r="664" spans="1:33" x14ac:dyDescent="0.25">
      <c r="A664" t="s">
        <v>19</v>
      </c>
      <c r="B664">
        <v>420000</v>
      </c>
      <c r="C664">
        <v>19</v>
      </c>
      <c r="D664" s="2">
        <f>Table3[[#This Row],[PrimaTécnica]]-Table3[[#This Row],[PrimaTécnica]]*SUM(Table3[[#This Row],[Gastos Adm]:[Cobranza]])</f>
        <v>2329.8485678207999</v>
      </c>
      <c r="E664">
        <v>754.47197279999989</v>
      </c>
      <c r="F664">
        <v>0.15</v>
      </c>
      <c r="G664">
        <v>0.05</v>
      </c>
      <c r="H664">
        <v>0.01</v>
      </c>
      <c r="I664">
        <v>0.01</v>
      </c>
      <c r="J664" s="8">
        <f>Table3[[#This Row],[PrimaTécnica]]*Table3[[#This Row],[Gastos Adm]]</f>
        <v>448.04780150400001</v>
      </c>
      <c r="K664" s="8">
        <f>Table3[[#This Row],[PrimaTécnica]]*Table3[[#This Row],[Utilidad]]</f>
        <v>149.34926716800001</v>
      </c>
      <c r="L664" s="8">
        <f>Table3[[#This Row],[PrimaTécnica]]*Table3[[#This Row],[Marketing]]</f>
        <v>29.869853433600003</v>
      </c>
      <c r="M664" s="8">
        <f>Table3[[#This Row],[PrimaTécnica]]*Table3[[#This Row],[Cobranza]]</f>
        <v>29.869853433600003</v>
      </c>
      <c r="N66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664">
        <v>21.84</v>
      </c>
      <c r="P664">
        <v>54.6</v>
      </c>
      <c r="Q664">
        <v>80.64</v>
      </c>
      <c r="R664">
        <v>44.377200000000002</v>
      </c>
      <c r="S664">
        <v>0.2</v>
      </c>
      <c r="T664">
        <v>0.02</v>
      </c>
      <c r="U664" s="8">
        <f>Table3[[#This Row],[PrimaNeta]]*Table3[[#This Row],[Comisión]]</f>
        <v>797.1106358400001</v>
      </c>
      <c r="V664" s="15">
        <f>Table3[[#This Row],[PrimaComercial Anual]]-Table3[[#This Row],[PrimaComercial Anual]]*SUM(Table3[[#This Row],[APS]:[IVA]])</f>
        <v>3985.5531792000002</v>
      </c>
      <c r="W664" s="2">
        <v>1.4800000000000001E-2</v>
      </c>
      <c r="X664" s="2">
        <v>8.4501000000000007E-2</v>
      </c>
      <c r="Y664">
        <v>0.03</v>
      </c>
      <c r="Z664">
        <v>0.13</v>
      </c>
      <c r="AA664" s="20">
        <f>Table3[[#This Row],[APS]]*Table3[[#This Row],[PrimaComercial Anual]]</f>
        <v>79.635840000000002</v>
      </c>
      <c r="AB664" s="8">
        <f>Table3[[#This Row],[PrimaComercial Anual]]*Table3[[#This Row],[Recargo adicional]]</f>
        <v>454.68298080000005</v>
      </c>
      <c r="AC664" s="8">
        <f>Table3[[#This Row],[PrimaComercial Anual]]*Table3[[#This Row],[IT]]</f>
        <v>161.42400000000001</v>
      </c>
      <c r="AD664" s="8">
        <f>Table3[[#This Row],[PrimaComercial Anual]]*Table3[[#This Row],[IVA]]</f>
        <v>699.50400000000002</v>
      </c>
      <c r="AE664" s="15">
        <f>Table3[[#This Row],[PrimaComercial Anual Asistencia]]</f>
        <v>5380.8</v>
      </c>
      <c r="AF664">
        <v>1675.8</v>
      </c>
      <c r="AG664">
        <v>5380.8</v>
      </c>
    </row>
    <row r="665" spans="1:33" x14ac:dyDescent="0.25">
      <c r="A665" t="s">
        <v>19</v>
      </c>
      <c r="B665">
        <v>420000</v>
      </c>
      <c r="C665">
        <v>20</v>
      </c>
      <c r="D665" s="2">
        <f>Table3[[#This Row],[PrimaTécnica]]-Table3[[#This Row],[PrimaTécnica]]*SUM(Table3[[#This Row],[Gastos Adm]:[Cobranza]])</f>
        <v>2329.8485678207999</v>
      </c>
      <c r="E665">
        <v>754.47197279999989</v>
      </c>
      <c r="F665">
        <v>0.15</v>
      </c>
      <c r="G665">
        <v>0.05</v>
      </c>
      <c r="H665">
        <v>0.01</v>
      </c>
      <c r="I665">
        <v>0.01</v>
      </c>
      <c r="J665" s="8">
        <f>Table3[[#This Row],[PrimaTécnica]]*Table3[[#This Row],[Gastos Adm]]</f>
        <v>448.04780150400001</v>
      </c>
      <c r="K665" s="8">
        <f>Table3[[#This Row],[PrimaTécnica]]*Table3[[#This Row],[Utilidad]]</f>
        <v>149.34926716800001</v>
      </c>
      <c r="L665" s="8">
        <f>Table3[[#This Row],[PrimaTécnica]]*Table3[[#This Row],[Marketing]]</f>
        <v>29.869853433600003</v>
      </c>
      <c r="M665" s="8">
        <f>Table3[[#This Row],[PrimaTécnica]]*Table3[[#This Row],[Cobranza]]</f>
        <v>29.869853433600003</v>
      </c>
      <c r="N66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665">
        <v>21.84</v>
      </c>
      <c r="P665">
        <v>54.6</v>
      </c>
      <c r="Q665">
        <v>80.64</v>
      </c>
      <c r="R665">
        <v>44.377200000000002</v>
      </c>
      <c r="S665">
        <v>0.2</v>
      </c>
      <c r="T665">
        <v>0.02</v>
      </c>
      <c r="U665" s="8">
        <f>Table3[[#This Row],[PrimaNeta]]*Table3[[#This Row],[Comisión]]</f>
        <v>797.1106358400001</v>
      </c>
      <c r="V665" s="15">
        <f>Table3[[#This Row],[PrimaComercial Anual]]-Table3[[#This Row],[PrimaComercial Anual]]*SUM(Table3[[#This Row],[APS]:[IVA]])</f>
        <v>3985.5531792000002</v>
      </c>
      <c r="W665" s="2">
        <v>1.4800000000000001E-2</v>
      </c>
      <c r="X665" s="2">
        <v>8.4501000000000007E-2</v>
      </c>
      <c r="Y665">
        <v>0.03</v>
      </c>
      <c r="Z665">
        <v>0.13</v>
      </c>
      <c r="AA665" s="20">
        <f>Table3[[#This Row],[APS]]*Table3[[#This Row],[PrimaComercial Anual]]</f>
        <v>79.635840000000002</v>
      </c>
      <c r="AB665" s="8">
        <f>Table3[[#This Row],[PrimaComercial Anual]]*Table3[[#This Row],[Recargo adicional]]</f>
        <v>454.68298080000005</v>
      </c>
      <c r="AC665" s="8">
        <f>Table3[[#This Row],[PrimaComercial Anual]]*Table3[[#This Row],[IT]]</f>
        <v>161.42400000000001</v>
      </c>
      <c r="AD665" s="8">
        <f>Table3[[#This Row],[PrimaComercial Anual]]*Table3[[#This Row],[IVA]]</f>
        <v>699.50400000000002</v>
      </c>
      <c r="AE665" s="15">
        <f>Table3[[#This Row],[PrimaComercial Anual Asistencia]]</f>
        <v>5380.8</v>
      </c>
      <c r="AF665">
        <v>1675.8</v>
      </c>
      <c r="AG665">
        <v>5380.8</v>
      </c>
    </row>
    <row r="666" spans="1:33" x14ac:dyDescent="0.25">
      <c r="A666" t="s">
        <v>19</v>
      </c>
      <c r="B666">
        <v>420000</v>
      </c>
      <c r="C666">
        <v>21</v>
      </c>
      <c r="D666" s="2">
        <f>Table3[[#This Row],[PrimaTécnica]]-Table3[[#This Row],[PrimaTécnica]]*SUM(Table3[[#This Row],[Gastos Adm]:[Cobranza]])</f>
        <v>2329.8485678207999</v>
      </c>
      <c r="E666">
        <v>754.47197279999989</v>
      </c>
      <c r="F666">
        <v>0.15</v>
      </c>
      <c r="G666">
        <v>0.05</v>
      </c>
      <c r="H666">
        <v>0.01</v>
      </c>
      <c r="I666">
        <v>0.01</v>
      </c>
      <c r="J666" s="8">
        <f>Table3[[#This Row],[PrimaTécnica]]*Table3[[#This Row],[Gastos Adm]]</f>
        <v>448.04780150400001</v>
      </c>
      <c r="K666" s="8">
        <f>Table3[[#This Row],[PrimaTécnica]]*Table3[[#This Row],[Utilidad]]</f>
        <v>149.34926716800001</v>
      </c>
      <c r="L666" s="8">
        <f>Table3[[#This Row],[PrimaTécnica]]*Table3[[#This Row],[Marketing]]</f>
        <v>29.869853433600003</v>
      </c>
      <c r="M666" s="8">
        <f>Table3[[#This Row],[PrimaTécnica]]*Table3[[#This Row],[Cobranza]]</f>
        <v>29.869853433600003</v>
      </c>
      <c r="N66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666">
        <v>21.84</v>
      </c>
      <c r="P666">
        <v>54.6</v>
      </c>
      <c r="Q666">
        <v>80.64</v>
      </c>
      <c r="R666">
        <v>44.377200000000002</v>
      </c>
      <c r="S666">
        <v>0.2</v>
      </c>
      <c r="T666">
        <v>0.02</v>
      </c>
      <c r="U666" s="8">
        <f>Table3[[#This Row],[PrimaNeta]]*Table3[[#This Row],[Comisión]]</f>
        <v>797.1106358400001</v>
      </c>
      <c r="V666" s="15">
        <f>Table3[[#This Row],[PrimaComercial Anual]]-Table3[[#This Row],[PrimaComercial Anual]]*SUM(Table3[[#This Row],[APS]:[IVA]])</f>
        <v>3985.5531792000002</v>
      </c>
      <c r="W666" s="2">
        <v>1.4800000000000001E-2</v>
      </c>
      <c r="X666" s="2">
        <v>8.4501000000000007E-2</v>
      </c>
      <c r="Y666">
        <v>0.03</v>
      </c>
      <c r="Z666">
        <v>0.13</v>
      </c>
      <c r="AA666" s="20">
        <f>Table3[[#This Row],[APS]]*Table3[[#This Row],[PrimaComercial Anual]]</f>
        <v>79.635840000000002</v>
      </c>
      <c r="AB666" s="8">
        <f>Table3[[#This Row],[PrimaComercial Anual]]*Table3[[#This Row],[Recargo adicional]]</f>
        <v>454.68298080000005</v>
      </c>
      <c r="AC666" s="8">
        <f>Table3[[#This Row],[PrimaComercial Anual]]*Table3[[#This Row],[IT]]</f>
        <v>161.42400000000001</v>
      </c>
      <c r="AD666" s="8">
        <f>Table3[[#This Row],[PrimaComercial Anual]]*Table3[[#This Row],[IVA]]</f>
        <v>699.50400000000002</v>
      </c>
      <c r="AE666" s="15">
        <f>Table3[[#This Row],[PrimaComercial Anual Asistencia]]</f>
        <v>5380.8</v>
      </c>
      <c r="AF666">
        <v>1675.8</v>
      </c>
      <c r="AG666">
        <v>5380.8</v>
      </c>
    </row>
    <row r="667" spans="1:33" x14ac:dyDescent="0.25">
      <c r="A667" t="s">
        <v>19</v>
      </c>
      <c r="B667">
        <v>420000</v>
      </c>
      <c r="C667">
        <v>22</v>
      </c>
      <c r="D667" s="2">
        <f>Table3[[#This Row],[PrimaTécnica]]-Table3[[#This Row],[PrimaTécnica]]*SUM(Table3[[#This Row],[Gastos Adm]:[Cobranza]])</f>
        <v>2329.8485678207999</v>
      </c>
      <c r="E667">
        <v>754.47197279999989</v>
      </c>
      <c r="F667">
        <v>0.15</v>
      </c>
      <c r="G667">
        <v>0.05</v>
      </c>
      <c r="H667">
        <v>0.01</v>
      </c>
      <c r="I667">
        <v>0.01</v>
      </c>
      <c r="J667" s="8">
        <f>Table3[[#This Row],[PrimaTécnica]]*Table3[[#This Row],[Gastos Adm]]</f>
        <v>448.04780150400001</v>
      </c>
      <c r="K667" s="8">
        <f>Table3[[#This Row],[PrimaTécnica]]*Table3[[#This Row],[Utilidad]]</f>
        <v>149.34926716800001</v>
      </c>
      <c r="L667" s="8">
        <f>Table3[[#This Row],[PrimaTécnica]]*Table3[[#This Row],[Marketing]]</f>
        <v>29.869853433600003</v>
      </c>
      <c r="M667" s="8">
        <f>Table3[[#This Row],[PrimaTécnica]]*Table3[[#This Row],[Cobranza]]</f>
        <v>29.869853433600003</v>
      </c>
      <c r="N66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667">
        <v>21.84</v>
      </c>
      <c r="P667">
        <v>54.6</v>
      </c>
      <c r="Q667">
        <v>80.64</v>
      </c>
      <c r="R667">
        <v>44.377200000000002</v>
      </c>
      <c r="S667">
        <v>0.2</v>
      </c>
      <c r="T667">
        <v>0.02</v>
      </c>
      <c r="U667" s="8">
        <f>Table3[[#This Row],[PrimaNeta]]*Table3[[#This Row],[Comisión]]</f>
        <v>797.1106358400001</v>
      </c>
      <c r="V667" s="15">
        <f>Table3[[#This Row],[PrimaComercial Anual]]-Table3[[#This Row],[PrimaComercial Anual]]*SUM(Table3[[#This Row],[APS]:[IVA]])</f>
        <v>3985.5531792000002</v>
      </c>
      <c r="W667" s="2">
        <v>1.4800000000000001E-2</v>
      </c>
      <c r="X667" s="2">
        <v>8.4501000000000007E-2</v>
      </c>
      <c r="Y667">
        <v>0.03</v>
      </c>
      <c r="Z667">
        <v>0.13</v>
      </c>
      <c r="AA667" s="20">
        <f>Table3[[#This Row],[APS]]*Table3[[#This Row],[PrimaComercial Anual]]</f>
        <v>79.635840000000002</v>
      </c>
      <c r="AB667" s="8">
        <f>Table3[[#This Row],[PrimaComercial Anual]]*Table3[[#This Row],[Recargo adicional]]</f>
        <v>454.68298080000005</v>
      </c>
      <c r="AC667" s="8">
        <f>Table3[[#This Row],[PrimaComercial Anual]]*Table3[[#This Row],[IT]]</f>
        <v>161.42400000000001</v>
      </c>
      <c r="AD667" s="8">
        <f>Table3[[#This Row],[PrimaComercial Anual]]*Table3[[#This Row],[IVA]]</f>
        <v>699.50400000000002</v>
      </c>
      <c r="AE667" s="15">
        <f>Table3[[#This Row],[PrimaComercial Anual Asistencia]]</f>
        <v>5380.8</v>
      </c>
      <c r="AF667">
        <v>1675.8</v>
      </c>
      <c r="AG667">
        <v>5380.8</v>
      </c>
    </row>
    <row r="668" spans="1:33" x14ac:dyDescent="0.25">
      <c r="A668" t="s">
        <v>19</v>
      </c>
      <c r="B668">
        <v>420000</v>
      </c>
      <c r="C668">
        <v>23</v>
      </c>
      <c r="D668" s="2">
        <f>Table3[[#This Row],[PrimaTécnica]]-Table3[[#This Row],[PrimaTécnica]]*SUM(Table3[[#This Row],[Gastos Adm]:[Cobranza]])</f>
        <v>2329.8485678207999</v>
      </c>
      <c r="E668">
        <v>754.47197279999989</v>
      </c>
      <c r="F668">
        <v>0.15</v>
      </c>
      <c r="G668">
        <v>0.05</v>
      </c>
      <c r="H668">
        <v>0.01</v>
      </c>
      <c r="I668">
        <v>0.01</v>
      </c>
      <c r="J668" s="8">
        <f>Table3[[#This Row],[PrimaTécnica]]*Table3[[#This Row],[Gastos Adm]]</f>
        <v>448.04780150400001</v>
      </c>
      <c r="K668" s="8">
        <f>Table3[[#This Row],[PrimaTécnica]]*Table3[[#This Row],[Utilidad]]</f>
        <v>149.34926716800001</v>
      </c>
      <c r="L668" s="8">
        <f>Table3[[#This Row],[PrimaTécnica]]*Table3[[#This Row],[Marketing]]</f>
        <v>29.869853433600003</v>
      </c>
      <c r="M668" s="8">
        <f>Table3[[#This Row],[PrimaTécnica]]*Table3[[#This Row],[Cobranza]]</f>
        <v>29.869853433600003</v>
      </c>
      <c r="N66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668">
        <v>21.84</v>
      </c>
      <c r="P668">
        <v>54.6</v>
      </c>
      <c r="Q668">
        <v>80.64</v>
      </c>
      <c r="R668">
        <v>44.377200000000002</v>
      </c>
      <c r="S668">
        <v>0.2</v>
      </c>
      <c r="T668">
        <v>0.02</v>
      </c>
      <c r="U668" s="8">
        <f>Table3[[#This Row],[PrimaNeta]]*Table3[[#This Row],[Comisión]]</f>
        <v>797.1106358400001</v>
      </c>
      <c r="V668" s="15">
        <f>Table3[[#This Row],[PrimaComercial Anual]]-Table3[[#This Row],[PrimaComercial Anual]]*SUM(Table3[[#This Row],[APS]:[IVA]])</f>
        <v>3985.5531792000002</v>
      </c>
      <c r="W668" s="2">
        <v>1.4800000000000001E-2</v>
      </c>
      <c r="X668" s="2">
        <v>8.4501000000000007E-2</v>
      </c>
      <c r="Y668">
        <v>0.03</v>
      </c>
      <c r="Z668">
        <v>0.13</v>
      </c>
      <c r="AA668" s="20">
        <f>Table3[[#This Row],[APS]]*Table3[[#This Row],[PrimaComercial Anual]]</f>
        <v>79.635840000000002</v>
      </c>
      <c r="AB668" s="8">
        <f>Table3[[#This Row],[PrimaComercial Anual]]*Table3[[#This Row],[Recargo adicional]]</f>
        <v>454.68298080000005</v>
      </c>
      <c r="AC668" s="8">
        <f>Table3[[#This Row],[PrimaComercial Anual]]*Table3[[#This Row],[IT]]</f>
        <v>161.42400000000001</v>
      </c>
      <c r="AD668" s="8">
        <f>Table3[[#This Row],[PrimaComercial Anual]]*Table3[[#This Row],[IVA]]</f>
        <v>699.50400000000002</v>
      </c>
      <c r="AE668" s="15">
        <f>Table3[[#This Row],[PrimaComercial Anual Asistencia]]</f>
        <v>5380.8</v>
      </c>
      <c r="AF668">
        <v>1675.8</v>
      </c>
      <c r="AG668">
        <v>5380.8</v>
      </c>
    </row>
    <row r="669" spans="1:33" x14ac:dyDescent="0.25">
      <c r="A669" t="s">
        <v>19</v>
      </c>
      <c r="B669">
        <v>420000</v>
      </c>
      <c r="C669">
        <v>24</v>
      </c>
      <c r="D669" s="2">
        <f>Table3[[#This Row],[PrimaTécnica]]-Table3[[#This Row],[PrimaTécnica]]*SUM(Table3[[#This Row],[Gastos Adm]:[Cobranza]])</f>
        <v>2329.8485678207999</v>
      </c>
      <c r="E669">
        <v>754.47197279999989</v>
      </c>
      <c r="F669">
        <v>0.15</v>
      </c>
      <c r="G669">
        <v>0.05</v>
      </c>
      <c r="H669">
        <v>0.01</v>
      </c>
      <c r="I669">
        <v>0.01</v>
      </c>
      <c r="J669" s="8">
        <f>Table3[[#This Row],[PrimaTécnica]]*Table3[[#This Row],[Gastos Adm]]</f>
        <v>448.04780150400001</v>
      </c>
      <c r="K669" s="8">
        <f>Table3[[#This Row],[PrimaTécnica]]*Table3[[#This Row],[Utilidad]]</f>
        <v>149.34926716800001</v>
      </c>
      <c r="L669" s="8">
        <f>Table3[[#This Row],[PrimaTécnica]]*Table3[[#This Row],[Marketing]]</f>
        <v>29.869853433600003</v>
      </c>
      <c r="M669" s="8">
        <f>Table3[[#This Row],[PrimaTécnica]]*Table3[[#This Row],[Cobranza]]</f>
        <v>29.869853433600003</v>
      </c>
      <c r="N66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669">
        <v>21.84</v>
      </c>
      <c r="P669">
        <v>54.6</v>
      </c>
      <c r="Q669">
        <v>80.64</v>
      </c>
      <c r="R669">
        <v>44.377200000000002</v>
      </c>
      <c r="S669">
        <v>0.2</v>
      </c>
      <c r="T669">
        <v>0.02</v>
      </c>
      <c r="U669" s="8">
        <f>Table3[[#This Row],[PrimaNeta]]*Table3[[#This Row],[Comisión]]</f>
        <v>797.1106358400001</v>
      </c>
      <c r="V669" s="15">
        <f>Table3[[#This Row],[PrimaComercial Anual]]-Table3[[#This Row],[PrimaComercial Anual]]*SUM(Table3[[#This Row],[APS]:[IVA]])</f>
        <v>3985.5531792000002</v>
      </c>
      <c r="W669" s="2">
        <v>1.4800000000000001E-2</v>
      </c>
      <c r="X669" s="2">
        <v>8.4501000000000007E-2</v>
      </c>
      <c r="Y669">
        <v>0.03</v>
      </c>
      <c r="Z669">
        <v>0.13</v>
      </c>
      <c r="AA669" s="20">
        <f>Table3[[#This Row],[APS]]*Table3[[#This Row],[PrimaComercial Anual]]</f>
        <v>79.635840000000002</v>
      </c>
      <c r="AB669" s="8">
        <f>Table3[[#This Row],[PrimaComercial Anual]]*Table3[[#This Row],[Recargo adicional]]</f>
        <v>454.68298080000005</v>
      </c>
      <c r="AC669" s="8">
        <f>Table3[[#This Row],[PrimaComercial Anual]]*Table3[[#This Row],[IT]]</f>
        <v>161.42400000000001</v>
      </c>
      <c r="AD669" s="8">
        <f>Table3[[#This Row],[PrimaComercial Anual]]*Table3[[#This Row],[IVA]]</f>
        <v>699.50400000000002</v>
      </c>
      <c r="AE669" s="15">
        <f>Table3[[#This Row],[PrimaComercial Anual Asistencia]]</f>
        <v>5380.8</v>
      </c>
      <c r="AF669">
        <v>1675.8</v>
      </c>
      <c r="AG669">
        <v>5380.8</v>
      </c>
    </row>
    <row r="670" spans="1:33" x14ac:dyDescent="0.25">
      <c r="A670" t="s">
        <v>19</v>
      </c>
      <c r="B670">
        <v>420000</v>
      </c>
      <c r="C670">
        <v>25</v>
      </c>
      <c r="D670" s="2">
        <f>Table3[[#This Row],[PrimaTécnica]]-Table3[[#This Row],[PrimaTécnica]]*SUM(Table3[[#This Row],[Gastos Adm]:[Cobranza]])</f>
        <v>2329.8485678207999</v>
      </c>
      <c r="E670">
        <v>754.47197279999989</v>
      </c>
      <c r="F670">
        <v>0.15</v>
      </c>
      <c r="G670">
        <v>0.05</v>
      </c>
      <c r="H670">
        <v>0.01</v>
      </c>
      <c r="I670">
        <v>0.01</v>
      </c>
      <c r="J670" s="8">
        <f>Table3[[#This Row],[PrimaTécnica]]*Table3[[#This Row],[Gastos Adm]]</f>
        <v>448.04780150400001</v>
      </c>
      <c r="K670" s="8">
        <f>Table3[[#This Row],[PrimaTécnica]]*Table3[[#This Row],[Utilidad]]</f>
        <v>149.34926716800001</v>
      </c>
      <c r="L670" s="8">
        <f>Table3[[#This Row],[PrimaTécnica]]*Table3[[#This Row],[Marketing]]</f>
        <v>29.869853433600003</v>
      </c>
      <c r="M670" s="8">
        <f>Table3[[#This Row],[PrimaTécnica]]*Table3[[#This Row],[Cobranza]]</f>
        <v>29.869853433600003</v>
      </c>
      <c r="N67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670">
        <v>21.84</v>
      </c>
      <c r="P670">
        <v>54.6</v>
      </c>
      <c r="Q670">
        <v>80.64</v>
      </c>
      <c r="R670">
        <v>44.377200000000002</v>
      </c>
      <c r="S670">
        <v>0.2</v>
      </c>
      <c r="T670">
        <v>0.02</v>
      </c>
      <c r="U670" s="8">
        <f>Table3[[#This Row],[PrimaNeta]]*Table3[[#This Row],[Comisión]]</f>
        <v>797.1106358400001</v>
      </c>
      <c r="V670" s="15">
        <f>Table3[[#This Row],[PrimaComercial Anual]]-Table3[[#This Row],[PrimaComercial Anual]]*SUM(Table3[[#This Row],[APS]:[IVA]])</f>
        <v>3985.5531792000002</v>
      </c>
      <c r="W670" s="2">
        <v>1.4800000000000001E-2</v>
      </c>
      <c r="X670" s="2">
        <v>8.4501000000000007E-2</v>
      </c>
      <c r="Y670">
        <v>0.03</v>
      </c>
      <c r="Z670">
        <v>0.13</v>
      </c>
      <c r="AA670" s="20">
        <f>Table3[[#This Row],[APS]]*Table3[[#This Row],[PrimaComercial Anual]]</f>
        <v>79.635840000000002</v>
      </c>
      <c r="AB670" s="8">
        <f>Table3[[#This Row],[PrimaComercial Anual]]*Table3[[#This Row],[Recargo adicional]]</f>
        <v>454.68298080000005</v>
      </c>
      <c r="AC670" s="8">
        <f>Table3[[#This Row],[PrimaComercial Anual]]*Table3[[#This Row],[IT]]</f>
        <v>161.42400000000001</v>
      </c>
      <c r="AD670" s="8">
        <f>Table3[[#This Row],[PrimaComercial Anual]]*Table3[[#This Row],[IVA]]</f>
        <v>699.50400000000002</v>
      </c>
      <c r="AE670" s="15">
        <f>Table3[[#This Row],[PrimaComercial Anual Asistencia]]</f>
        <v>5380.8</v>
      </c>
      <c r="AF670">
        <v>1675.8</v>
      </c>
      <c r="AG670">
        <v>5380.8</v>
      </c>
    </row>
    <row r="671" spans="1:33" x14ac:dyDescent="0.25">
      <c r="A671" t="s">
        <v>19</v>
      </c>
      <c r="B671">
        <v>420000</v>
      </c>
      <c r="C671">
        <v>26</v>
      </c>
      <c r="D671" s="2">
        <f>Table3[[#This Row],[PrimaTécnica]]-Table3[[#This Row],[PrimaTécnica]]*SUM(Table3[[#This Row],[Gastos Adm]:[Cobranza]])</f>
        <v>2329.8485678207999</v>
      </c>
      <c r="E671">
        <v>754.47197279999989</v>
      </c>
      <c r="F671">
        <v>0.15</v>
      </c>
      <c r="G671">
        <v>0.05</v>
      </c>
      <c r="H671">
        <v>0.01</v>
      </c>
      <c r="I671">
        <v>0.01</v>
      </c>
      <c r="J671" s="8">
        <f>Table3[[#This Row],[PrimaTécnica]]*Table3[[#This Row],[Gastos Adm]]</f>
        <v>448.04780150400001</v>
      </c>
      <c r="K671" s="8">
        <f>Table3[[#This Row],[PrimaTécnica]]*Table3[[#This Row],[Utilidad]]</f>
        <v>149.34926716800001</v>
      </c>
      <c r="L671" s="8">
        <f>Table3[[#This Row],[PrimaTécnica]]*Table3[[#This Row],[Marketing]]</f>
        <v>29.869853433600003</v>
      </c>
      <c r="M671" s="8">
        <f>Table3[[#This Row],[PrimaTécnica]]*Table3[[#This Row],[Cobranza]]</f>
        <v>29.869853433600003</v>
      </c>
      <c r="N67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671">
        <v>21.84</v>
      </c>
      <c r="P671">
        <v>54.6</v>
      </c>
      <c r="Q671">
        <v>80.64</v>
      </c>
      <c r="R671">
        <v>44.377200000000002</v>
      </c>
      <c r="S671">
        <v>0.2</v>
      </c>
      <c r="T671">
        <v>0.02</v>
      </c>
      <c r="U671" s="8">
        <f>Table3[[#This Row],[PrimaNeta]]*Table3[[#This Row],[Comisión]]</f>
        <v>797.1106358400001</v>
      </c>
      <c r="V671" s="15">
        <f>Table3[[#This Row],[PrimaComercial Anual]]-Table3[[#This Row],[PrimaComercial Anual]]*SUM(Table3[[#This Row],[APS]:[IVA]])</f>
        <v>3985.5531792000002</v>
      </c>
      <c r="W671" s="2">
        <v>1.4800000000000001E-2</v>
      </c>
      <c r="X671" s="2">
        <v>8.4501000000000007E-2</v>
      </c>
      <c r="Y671">
        <v>0.03</v>
      </c>
      <c r="Z671">
        <v>0.13</v>
      </c>
      <c r="AA671" s="20">
        <f>Table3[[#This Row],[APS]]*Table3[[#This Row],[PrimaComercial Anual]]</f>
        <v>79.635840000000002</v>
      </c>
      <c r="AB671" s="8">
        <f>Table3[[#This Row],[PrimaComercial Anual]]*Table3[[#This Row],[Recargo adicional]]</f>
        <v>454.68298080000005</v>
      </c>
      <c r="AC671" s="8">
        <f>Table3[[#This Row],[PrimaComercial Anual]]*Table3[[#This Row],[IT]]</f>
        <v>161.42400000000001</v>
      </c>
      <c r="AD671" s="8">
        <f>Table3[[#This Row],[PrimaComercial Anual]]*Table3[[#This Row],[IVA]]</f>
        <v>699.50400000000002</v>
      </c>
      <c r="AE671" s="15">
        <f>Table3[[#This Row],[PrimaComercial Anual Asistencia]]</f>
        <v>5380.8</v>
      </c>
      <c r="AF671">
        <v>1675.8</v>
      </c>
      <c r="AG671">
        <v>5380.8</v>
      </c>
    </row>
    <row r="672" spans="1:33" x14ac:dyDescent="0.25">
      <c r="A672" t="s">
        <v>19</v>
      </c>
      <c r="B672">
        <v>420000</v>
      </c>
      <c r="C672">
        <v>27</v>
      </c>
      <c r="D672" s="2">
        <f>Table3[[#This Row],[PrimaTécnica]]-Table3[[#This Row],[PrimaTécnica]]*SUM(Table3[[#This Row],[Gastos Adm]:[Cobranza]])</f>
        <v>2329.8485678207999</v>
      </c>
      <c r="E672">
        <v>754.47197279999989</v>
      </c>
      <c r="F672">
        <v>0.15</v>
      </c>
      <c r="G672">
        <v>0.05</v>
      </c>
      <c r="H672">
        <v>0.01</v>
      </c>
      <c r="I672">
        <v>0.01</v>
      </c>
      <c r="J672" s="8">
        <f>Table3[[#This Row],[PrimaTécnica]]*Table3[[#This Row],[Gastos Adm]]</f>
        <v>448.04780150400001</v>
      </c>
      <c r="K672" s="8">
        <f>Table3[[#This Row],[PrimaTécnica]]*Table3[[#This Row],[Utilidad]]</f>
        <v>149.34926716800001</v>
      </c>
      <c r="L672" s="8">
        <f>Table3[[#This Row],[PrimaTécnica]]*Table3[[#This Row],[Marketing]]</f>
        <v>29.869853433600003</v>
      </c>
      <c r="M672" s="8">
        <f>Table3[[#This Row],[PrimaTécnica]]*Table3[[#This Row],[Cobranza]]</f>
        <v>29.869853433600003</v>
      </c>
      <c r="N67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672">
        <v>21.84</v>
      </c>
      <c r="P672">
        <v>54.6</v>
      </c>
      <c r="Q672">
        <v>80.64</v>
      </c>
      <c r="R672">
        <v>44.377200000000002</v>
      </c>
      <c r="S672">
        <v>0.2</v>
      </c>
      <c r="T672">
        <v>0.02</v>
      </c>
      <c r="U672" s="8">
        <f>Table3[[#This Row],[PrimaNeta]]*Table3[[#This Row],[Comisión]]</f>
        <v>797.1106358400001</v>
      </c>
      <c r="V672" s="15">
        <f>Table3[[#This Row],[PrimaComercial Anual]]-Table3[[#This Row],[PrimaComercial Anual]]*SUM(Table3[[#This Row],[APS]:[IVA]])</f>
        <v>3985.5531792000002</v>
      </c>
      <c r="W672" s="2">
        <v>1.4800000000000001E-2</v>
      </c>
      <c r="X672" s="2">
        <v>8.4501000000000007E-2</v>
      </c>
      <c r="Y672">
        <v>0.03</v>
      </c>
      <c r="Z672">
        <v>0.13</v>
      </c>
      <c r="AA672" s="20">
        <f>Table3[[#This Row],[APS]]*Table3[[#This Row],[PrimaComercial Anual]]</f>
        <v>79.635840000000002</v>
      </c>
      <c r="AB672" s="8">
        <f>Table3[[#This Row],[PrimaComercial Anual]]*Table3[[#This Row],[Recargo adicional]]</f>
        <v>454.68298080000005</v>
      </c>
      <c r="AC672" s="8">
        <f>Table3[[#This Row],[PrimaComercial Anual]]*Table3[[#This Row],[IT]]</f>
        <v>161.42400000000001</v>
      </c>
      <c r="AD672" s="8">
        <f>Table3[[#This Row],[PrimaComercial Anual]]*Table3[[#This Row],[IVA]]</f>
        <v>699.50400000000002</v>
      </c>
      <c r="AE672" s="15">
        <f>Table3[[#This Row],[PrimaComercial Anual Asistencia]]</f>
        <v>5380.8</v>
      </c>
      <c r="AF672">
        <v>1675.8</v>
      </c>
      <c r="AG672">
        <v>5380.8</v>
      </c>
    </row>
    <row r="673" spans="1:33" x14ac:dyDescent="0.25">
      <c r="A673" t="s">
        <v>19</v>
      </c>
      <c r="B673">
        <v>420000</v>
      </c>
      <c r="C673">
        <v>28</v>
      </c>
      <c r="D673" s="2">
        <f>Table3[[#This Row],[PrimaTécnica]]-Table3[[#This Row],[PrimaTécnica]]*SUM(Table3[[#This Row],[Gastos Adm]:[Cobranza]])</f>
        <v>2329.8485678207999</v>
      </c>
      <c r="E673">
        <v>754.47197279999989</v>
      </c>
      <c r="F673">
        <v>0.15</v>
      </c>
      <c r="G673">
        <v>0.05</v>
      </c>
      <c r="H673">
        <v>0.01</v>
      </c>
      <c r="I673">
        <v>0.01</v>
      </c>
      <c r="J673" s="8">
        <f>Table3[[#This Row],[PrimaTécnica]]*Table3[[#This Row],[Gastos Adm]]</f>
        <v>448.04780150400001</v>
      </c>
      <c r="K673" s="8">
        <f>Table3[[#This Row],[PrimaTécnica]]*Table3[[#This Row],[Utilidad]]</f>
        <v>149.34926716800001</v>
      </c>
      <c r="L673" s="8">
        <f>Table3[[#This Row],[PrimaTécnica]]*Table3[[#This Row],[Marketing]]</f>
        <v>29.869853433600003</v>
      </c>
      <c r="M673" s="8">
        <f>Table3[[#This Row],[PrimaTécnica]]*Table3[[#This Row],[Cobranza]]</f>
        <v>29.869853433600003</v>
      </c>
      <c r="N67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673">
        <v>21.84</v>
      </c>
      <c r="P673">
        <v>54.6</v>
      </c>
      <c r="Q673">
        <v>80.64</v>
      </c>
      <c r="R673">
        <v>44.377200000000002</v>
      </c>
      <c r="S673">
        <v>0.2</v>
      </c>
      <c r="T673">
        <v>0.02</v>
      </c>
      <c r="U673" s="8">
        <f>Table3[[#This Row],[PrimaNeta]]*Table3[[#This Row],[Comisión]]</f>
        <v>797.1106358400001</v>
      </c>
      <c r="V673" s="15">
        <f>Table3[[#This Row],[PrimaComercial Anual]]-Table3[[#This Row],[PrimaComercial Anual]]*SUM(Table3[[#This Row],[APS]:[IVA]])</f>
        <v>3985.5531792000002</v>
      </c>
      <c r="W673" s="2">
        <v>1.4800000000000001E-2</v>
      </c>
      <c r="X673" s="2">
        <v>8.4501000000000007E-2</v>
      </c>
      <c r="Y673">
        <v>0.03</v>
      </c>
      <c r="Z673">
        <v>0.13</v>
      </c>
      <c r="AA673" s="20">
        <f>Table3[[#This Row],[APS]]*Table3[[#This Row],[PrimaComercial Anual]]</f>
        <v>79.635840000000002</v>
      </c>
      <c r="AB673" s="8">
        <f>Table3[[#This Row],[PrimaComercial Anual]]*Table3[[#This Row],[Recargo adicional]]</f>
        <v>454.68298080000005</v>
      </c>
      <c r="AC673" s="8">
        <f>Table3[[#This Row],[PrimaComercial Anual]]*Table3[[#This Row],[IT]]</f>
        <v>161.42400000000001</v>
      </c>
      <c r="AD673" s="8">
        <f>Table3[[#This Row],[PrimaComercial Anual]]*Table3[[#This Row],[IVA]]</f>
        <v>699.50400000000002</v>
      </c>
      <c r="AE673" s="15">
        <f>Table3[[#This Row],[PrimaComercial Anual Asistencia]]</f>
        <v>5380.8</v>
      </c>
      <c r="AF673">
        <v>1675.8</v>
      </c>
      <c r="AG673">
        <v>5380.8</v>
      </c>
    </row>
    <row r="674" spans="1:33" x14ac:dyDescent="0.25">
      <c r="A674" t="s">
        <v>19</v>
      </c>
      <c r="B674">
        <v>420000</v>
      </c>
      <c r="C674">
        <v>29</v>
      </c>
      <c r="D674" s="2">
        <f>Table3[[#This Row],[PrimaTécnica]]-Table3[[#This Row],[PrimaTécnica]]*SUM(Table3[[#This Row],[Gastos Adm]:[Cobranza]])</f>
        <v>2329.8485678207999</v>
      </c>
      <c r="E674">
        <v>754.47197279999989</v>
      </c>
      <c r="F674">
        <v>0.15</v>
      </c>
      <c r="G674">
        <v>0.05</v>
      </c>
      <c r="H674">
        <v>0.01</v>
      </c>
      <c r="I674">
        <v>0.01</v>
      </c>
      <c r="J674" s="8">
        <f>Table3[[#This Row],[PrimaTécnica]]*Table3[[#This Row],[Gastos Adm]]</f>
        <v>448.04780150400001</v>
      </c>
      <c r="K674" s="8">
        <f>Table3[[#This Row],[PrimaTécnica]]*Table3[[#This Row],[Utilidad]]</f>
        <v>149.34926716800001</v>
      </c>
      <c r="L674" s="8">
        <f>Table3[[#This Row],[PrimaTécnica]]*Table3[[#This Row],[Marketing]]</f>
        <v>29.869853433600003</v>
      </c>
      <c r="M674" s="8">
        <f>Table3[[#This Row],[PrimaTécnica]]*Table3[[#This Row],[Cobranza]]</f>
        <v>29.869853433600003</v>
      </c>
      <c r="N67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674">
        <v>21.84</v>
      </c>
      <c r="P674">
        <v>54.6</v>
      </c>
      <c r="Q674">
        <v>80.64</v>
      </c>
      <c r="R674">
        <v>44.377200000000002</v>
      </c>
      <c r="S674">
        <v>0.2</v>
      </c>
      <c r="T674">
        <v>0.02</v>
      </c>
      <c r="U674" s="8">
        <f>Table3[[#This Row],[PrimaNeta]]*Table3[[#This Row],[Comisión]]</f>
        <v>797.1106358400001</v>
      </c>
      <c r="V674" s="15">
        <f>Table3[[#This Row],[PrimaComercial Anual]]-Table3[[#This Row],[PrimaComercial Anual]]*SUM(Table3[[#This Row],[APS]:[IVA]])</f>
        <v>3985.5531792000002</v>
      </c>
      <c r="W674" s="2">
        <v>1.4800000000000001E-2</v>
      </c>
      <c r="X674" s="2">
        <v>8.4501000000000007E-2</v>
      </c>
      <c r="Y674">
        <v>0.03</v>
      </c>
      <c r="Z674">
        <v>0.13</v>
      </c>
      <c r="AA674" s="20">
        <f>Table3[[#This Row],[APS]]*Table3[[#This Row],[PrimaComercial Anual]]</f>
        <v>79.635840000000002</v>
      </c>
      <c r="AB674" s="8">
        <f>Table3[[#This Row],[PrimaComercial Anual]]*Table3[[#This Row],[Recargo adicional]]</f>
        <v>454.68298080000005</v>
      </c>
      <c r="AC674" s="8">
        <f>Table3[[#This Row],[PrimaComercial Anual]]*Table3[[#This Row],[IT]]</f>
        <v>161.42400000000001</v>
      </c>
      <c r="AD674" s="8">
        <f>Table3[[#This Row],[PrimaComercial Anual]]*Table3[[#This Row],[IVA]]</f>
        <v>699.50400000000002</v>
      </c>
      <c r="AE674" s="15">
        <f>Table3[[#This Row],[PrimaComercial Anual Asistencia]]</f>
        <v>5380.8</v>
      </c>
      <c r="AF674">
        <v>1675.8</v>
      </c>
      <c r="AG674">
        <v>5380.8</v>
      </c>
    </row>
    <row r="675" spans="1:33" x14ac:dyDescent="0.25">
      <c r="A675" t="s">
        <v>19</v>
      </c>
      <c r="B675">
        <v>420000</v>
      </c>
      <c r="C675">
        <v>30</v>
      </c>
      <c r="D675" s="2">
        <f>Table3[[#This Row],[PrimaTécnica]]-Table3[[#This Row],[PrimaTécnica]]*SUM(Table3[[#This Row],[Gastos Adm]:[Cobranza]])</f>
        <v>2403.6150775104002</v>
      </c>
      <c r="E675">
        <v>1077.817104</v>
      </c>
      <c r="F675">
        <v>0.15</v>
      </c>
      <c r="G675">
        <v>0.05</v>
      </c>
      <c r="H675">
        <v>0.01</v>
      </c>
      <c r="I675">
        <v>0.01</v>
      </c>
      <c r="J675" s="8">
        <f>Table3[[#This Row],[PrimaTécnica]]*Table3[[#This Row],[Gastos Adm]]</f>
        <v>462.23366875200003</v>
      </c>
      <c r="K675" s="8">
        <f>Table3[[#This Row],[PrimaTécnica]]*Table3[[#This Row],[Utilidad]]</f>
        <v>154.07788958400002</v>
      </c>
      <c r="L675" s="8">
        <f>Table3[[#This Row],[PrimaTécnica]]*Table3[[#This Row],[Marketing]]</f>
        <v>30.815577916800002</v>
      </c>
      <c r="M675" s="8">
        <f>Table3[[#This Row],[PrimaTécnica]]*Table3[[#This Row],[Cobranza]]</f>
        <v>30.815577916800002</v>
      </c>
      <c r="N67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675">
        <v>21.84</v>
      </c>
      <c r="P675">
        <v>54.6</v>
      </c>
      <c r="Q675">
        <v>80.64</v>
      </c>
      <c r="R675">
        <v>44.377200000000002</v>
      </c>
      <c r="S675">
        <v>0.2</v>
      </c>
      <c r="T675">
        <v>0.02</v>
      </c>
      <c r="U675" s="8">
        <f>Table3[[#This Row],[PrimaNeta]]*Table3[[#This Row],[Comisión]]</f>
        <v>820.75374792000002</v>
      </c>
      <c r="V675" s="15">
        <f>Table3[[#This Row],[PrimaComercial Anual]]-Table3[[#This Row],[PrimaComercial Anual]]*SUM(Table3[[#This Row],[APS]:[IVA]])</f>
        <v>4103.7687396000001</v>
      </c>
      <c r="W675" s="2">
        <v>1.4800000000000001E-2</v>
      </c>
      <c r="X675" s="2">
        <v>8.4501000000000007E-2</v>
      </c>
      <c r="Y675">
        <v>0.03</v>
      </c>
      <c r="Z675">
        <v>0.13</v>
      </c>
      <c r="AA675" s="20">
        <f>Table3[[#This Row],[APS]]*Table3[[#This Row],[PrimaComercial Anual]]</f>
        <v>81.997919999999993</v>
      </c>
      <c r="AB675" s="8">
        <f>Table3[[#This Row],[PrimaComercial Anual]]*Table3[[#This Row],[Recargo adicional]]</f>
        <v>468.16934040000001</v>
      </c>
      <c r="AC675" s="8">
        <f>Table3[[#This Row],[PrimaComercial Anual]]*Table3[[#This Row],[IT]]</f>
        <v>166.21199999999999</v>
      </c>
      <c r="AD675" s="8">
        <f>Table3[[#This Row],[PrimaComercial Anual]]*Table3[[#This Row],[IVA]]</f>
        <v>720.25199999999995</v>
      </c>
      <c r="AE675" s="15">
        <f>Table3[[#This Row],[PrimaComercial Anual Asistencia]]</f>
        <v>5540.4</v>
      </c>
      <c r="AF675">
        <v>2394</v>
      </c>
      <c r="AG675">
        <v>5540.4</v>
      </c>
    </row>
    <row r="676" spans="1:33" x14ac:dyDescent="0.25">
      <c r="A676" t="s">
        <v>19</v>
      </c>
      <c r="B676">
        <v>420000</v>
      </c>
      <c r="C676">
        <v>31</v>
      </c>
      <c r="D676" s="2">
        <f>Table3[[#This Row],[PrimaTécnica]]-Table3[[#This Row],[PrimaTécnica]]*SUM(Table3[[#This Row],[Gastos Adm]:[Cobranza]])</f>
        <v>2403.6150775104002</v>
      </c>
      <c r="E676">
        <v>1077.817104</v>
      </c>
      <c r="F676">
        <v>0.15</v>
      </c>
      <c r="G676">
        <v>0.05</v>
      </c>
      <c r="H676">
        <v>0.01</v>
      </c>
      <c r="I676">
        <v>0.01</v>
      </c>
      <c r="J676" s="8">
        <f>Table3[[#This Row],[PrimaTécnica]]*Table3[[#This Row],[Gastos Adm]]</f>
        <v>462.23366875200003</v>
      </c>
      <c r="K676" s="8">
        <f>Table3[[#This Row],[PrimaTécnica]]*Table3[[#This Row],[Utilidad]]</f>
        <v>154.07788958400002</v>
      </c>
      <c r="L676" s="8">
        <f>Table3[[#This Row],[PrimaTécnica]]*Table3[[#This Row],[Marketing]]</f>
        <v>30.815577916800002</v>
      </c>
      <c r="M676" s="8">
        <f>Table3[[#This Row],[PrimaTécnica]]*Table3[[#This Row],[Cobranza]]</f>
        <v>30.815577916800002</v>
      </c>
      <c r="N67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676">
        <v>21.84</v>
      </c>
      <c r="P676">
        <v>54.6</v>
      </c>
      <c r="Q676">
        <v>80.64</v>
      </c>
      <c r="R676">
        <v>44.377200000000002</v>
      </c>
      <c r="S676">
        <v>0.2</v>
      </c>
      <c r="T676">
        <v>0.02</v>
      </c>
      <c r="U676" s="8">
        <f>Table3[[#This Row],[PrimaNeta]]*Table3[[#This Row],[Comisión]]</f>
        <v>820.75374792000002</v>
      </c>
      <c r="V676" s="15">
        <f>Table3[[#This Row],[PrimaComercial Anual]]-Table3[[#This Row],[PrimaComercial Anual]]*SUM(Table3[[#This Row],[APS]:[IVA]])</f>
        <v>4103.7687396000001</v>
      </c>
      <c r="W676" s="2">
        <v>1.4800000000000001E-2</v>
      </c>
      <c r="X676" s="2">
        <v>8.4501000000000007E-2</v>
      </c>
      <c r="Y676">
        <v>0.03</v>
      </c>
      <c r="Z676">
        <v>0.13</v>
      </c>
      <c r="AA676" s="20">
        <f>Table3[[#This Row],[APS]]*Table3[[#This Row],[PrimaComercial Anual]]</f>
        <v>81.997919999999993</v>
      </c>
      <c r="AB676" s="8">
        <f>Table3[[#This Row],[PrimaComercial Anual]]*Table3[[#This Row],[Recargo adicional]]</f>
        <v>468.16934040000001</v>
      </c>
      <c r="AC676" s="8">
        <f>Table3[[#This Row],[PrimaComercial Anual]]*Table3[[#This Row],[IT]]</f>
        <v>166.21199999999999</v>
      </c>
      <c r="AD676" s="8">
        <f>Table3[[#This Row],[PrimaComercial Anual]]*Table3[[#This Row],[IVA]]</f>
        <v>720.25199999999995</v>
      </c>
      <c r="AE676" s="15">
        <f>Table3[[#This Row],[PrimaComercial Anual Asistencia]]</f>
        <v>5540.4</v>
      </c>
      <c r="AF676">
        <v>2394</v>
      </c>
      <c r="AG676">
        <v>5540.4</v>
      </c>
    </row>
    <row r="677" spans="1:33" x14ac:dyDescent="0.25">
      <c r="A677" t="s">
        <v>19</v>
      </c>
      <c r="B677">
        <v>420000</v>
      </c>
      <c r="C677">
        <v>32</v>
      </c>
      <c r="D677" s="2">
        <f>Table3[[#This Row],[PrimaTécnica]]-Table3[[#This Row],[PrimaTécnica]]*SUM(Table3[[#This Row],[Gastos Adm]:[Cobranza]])</f>
        <v>2403.6150775104002</v>
      </c>
      <c r="E677">
        <v>1077.817104</v>
      </c>
      <c r="F677">
        <v>0.15</v>
      </c>
      <c r="G677">
        <v>0.05</v>
      </c>
      <c r="H677">
        <v>0.01</v>
      </c>
      <c r="I677">
        <v>0.01</v>
      </c>
      <c r="J677" s="8">
        <f>Table3[[#This Row],[PrimaTécnica]]*Table3[[#This Row],[Gastos Adm]]</f>
        <v>462.23366875200003</v>
      </c>
      <c r="K677" s="8">
        <f>Table3[[#This Row],[PrimaTécnica]]*Table3[[#This Row],[Utilidad]]</f>
        <v>154.07788958400002</v>
      </c>
      <c r="L677" s="8">
        <f>Table3[[#This Row],[PrimaTécnica]]*Table3[[#This Row],[Marketing]]</f>
        <v>30.815577916800002</v>
      </c>
      <c r="M677" s="8">
        <f>Table3[[#This Row],[PrimaTécnica]]*Table3[[#This Row],[Cobranza]]</f>
        <v>30.815577916800002</v>
      </c>
      <c r="N67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677">
        <v>21.84</v>
      </c>
      <c r="P677">
        <v>54.6</v>
      </c>
      <c r="Q677">
        <v>80.64</v>
      </c>
      <c r="R677">
        <v>44.377200000000002</v>
      </c>
      <c r="S677">
        <v>0.2</v>
      </c>
      <c r="T677">
        <v>0.02</v>
      </c>
      <c r="U677" s="8">
        <f>Table3[[#This Row],[PrimaNeta]]*Table3[[#This Row],[Comisión]]</f>
        <v>820.75374792000002</v>
      </c>
      <c r="V677" s="15">
        <f>Table3[[#This Row],[PrimaComercial Anual]]-Table3[[#This Row],[PrimaComercial Anual]]*SUM(Table3[[#This Row],[APS]:[IVA]])</f>
        <v>4103.7687396000001</v>
      </c>
      <c r="W677" s="2">
        <v>1.4800000000000001E-2</v>
      </c>
      <c r="X677" s="2">
        <v>8.4501000000000007E-2</v>
      </c>
      <c r="Y677">
        <v>0.03</v>
      </c>
      <c r="Z677">
        <v>0.13</v>
      </c>
      <c r="AA677" s="20">
        <f>Table3[[#This Row],[APS]]*Table3[[#This Row],[PrimaComercial Anual]]</f>
        <v>81.997919999999993</v>
      </c>
      <c r="AB677" s="8">
        <f>Table3[[#This Row],[PrimaComercial Anual]]*Table3[[#This Row],[Recargo adicional]]</f>
        <v>468.16934040000001</v>
      </c>
      <c r="AC677" s="8">
        <f>Table3[[#This Row],[PrimaComercial Anual]]*Table3[[#This Row],[IT]]</f>
        <v>166.21199999999999</v>
      </c>
      <c r="AD677" s="8">
        <f>Table3[[#This Row],[PrimaComercial Anual]]*Table3[[#This Row],[IVA]]</f>
        <v>720.25199999999995</v>
      </c>
      <c r="AE677" s="15">
        <f>Table3[[#This Row],[PrimaComercial Anual Asistencia]]</f>
        <v>5540.4</v>
      </c>
      <c r="AF677">
        <v>2394</v>
      </c>
      <c r="AG677">
        <v>5540.4</v>
      </c>
    </row>
    <row r="678" spans="1:33" x14ac:dyDescent="0.25">
      <c r="A678" t="s">
        <v>19</v>
      </c>
      <c r="B678">
        <v>420000</v>
      </c>
      <c r="C678">
        <v>33</v>
      </c>
      <c r="D678" s="2">
        <f>Table3[[#This Row],[PrimaTécnica]]-Table3[[#This Row],[PrimaTécnica]]*SUM(Table3[[#This Row],[Gastos Adm]:[Cobranza]])</f>
        <v>2403.6150775104002</v>
      </c>
      <c r="E678">
        <v>1077.817104</v>
      </c>
      <c r="F678">
        <v>0.15</v>
      </c>
      <c r="G678">
        <v>0.05</v>
      </c>
      <c r="H678">
        <v>0.01</v>
      </c>
      <c r="I678">
        <v>0.01</v>
      </c>
      <c r="J678" s="8">
        <f>Table3[[#This Row],[PrimaTécnica]]*Table3[[#This Row],[Gastos Adm]]</f>
        <v>462.23366875200003</v>
      </c>
      <c r="K678" s="8">
        <f>Table3[[#This Row],[PrimaTécnica]]*Table3[[#This Row],[Utilidad]]</f>
        <v>154.07788958400002</v>
      </c>
      <c r="L678" s="8">
        <f>Table3[[#This Row],[PrimaTécnica]]*Table3[[#This Row],[Marketing]]</f>
        <v>30.815577916800002</v>
      </c>
      <c r="M678" s="8">
        <f>Table3[[#This Row],[PrimaTécnica]]*Table3[[#This Row],[Cobranza]]</f>
        <v>30.815577916800002</v>
      </c>
      <c r="N67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678">
        <v>21.84</v>
      </c>
      <c r="P678">
        <v>54.6</v>
      </c>
      <c r="Q678">
        <v>80.64</v>
      </c>
      <c r="R678">
        <v>44.377200000000002</v>
      </c>
      <c r="S678">
        <v>0.2</v>
      </c>
      <c r="T678">
        <v>0.02</v>
      </c>
      <c r="U678" s="8">
        <f>Table3[[#This Row],[PrimaNeta]]*Table3[[#This Row],[Comisión]]</f>
        <v>820.75374792000002</v>
      </c>
      <c r="V678" s="15">
        <f>Table3[[#This Row],[PrimaComercial Anual]]-Table3[[#This Row],[PrimaComercial Anual]]*SUM(Table3[[#This Row],[APS]:[IVA]])</f>
        <v>4103.7687396000001</v>
      </c>
      <c r="W678" s="2">
        <v>1.4800000000000001E-2</v>
      </c>
      <c r="X678" s="2">
        <v>8.4501000000000007E-2</v>
      </c>
      <c r="Y678">
        <v>0.03</v>
      </c>
      <c r="Z678">
        <v>0.13</v>
      </c>
      <c r="AA678" s="20">
        <f>Table3[[#This Row],[APS]]*Table3[[#This Row],[PrimaComercial Anual]]</f>
        <v>81.997919999999993</v>
      </c>
      <c r="AB678" s="8">
        <f>Table3[[#This Row],[PrimaComercial Anual]]*Table3[[#This Row],[Recargo adicional]]</f>
        <v>468.16934040000001</v>
      </c>
      <c r="AC678" s="8">
        <f>Table3[[#This Row],[PrimaComercial Anual]]*Table3[[#This Row],[IT]]</f>
        <v>166.21199999999999</v>
      </c>
      <c r="AD678" s="8">
        <f>Table3[[#This Row],[PrimaComercial Anual]]*Table3[[#This Row],[IVA]]</f>
        <v>720.25199999999995</v>
      </c>
      <c r="AE678" s="15">
        <f>Table3[[#This Row],[PrimaComercial Anual Asistencia]]</f>
        <v>5540.4</v>
      </c>
      <c r="AF678">
        <v>2394</v>
      </c>
      <c r="AG678">
        <v>5540.4</v>
      </c>
    </row>
    <row r="679" spans="1:33" x14ac:dyDescent="0.25">
      <c r="A679" t="s">
        <v>19</v>
      </c>
      <c r="B679">
        <v>420000</v>
      </c>
      <c r="C679">
        <v>34</v>
      </c>
      <c r="D679" s="2">
        <f>Table3[[#This Row],[PrimaTécnica]]-Table3[[#This Row],[PrimaTécnica]]*SUM(Table3[[#This Row],[Gastos Adm]:[Cobranza]])</f>
        <v>2403.6150775104002</v>
      </c>
      <c r="E679">
        <v>1077.817104</v>
      </c>
      <c r="F679">
        <v>0.15</v>
      </c>
      <c r="G679">
        <v>0.05</v>
      </c>
      <c r="H679">
        <v>0.01</v>
      </c>
      <c r="I679">
        <v>0.01</v>
      </c>
      <c r="J679" s="8">
        <f>Table3[[#This Row],[PrimaTécnica]]*Table3[[#This Row],[Gastos Adm]]</f>
        <v>462.23366875200003</v>
      </c>
      <c r="K679" s="8">
        <f>Table3[[#This Row],[PrimaTécnica]]*Table3[[#This Row],[Utilidad]]</f>
        <v>154.07788958400002</v>
      </c>
      <c r="L679" s="8">
        <f>Table3[[#This Row],[PrimaTécnica]]*Table3[[#This Row],[Marketing]]</f>
        <v>30.815577916800002</v>
      </c>
      <c r="M679" s="8">
        <f>Table3[[#This Row],[PrimaTécnica]]*Table3[[#This Row],[Cobranza]]</f>
        <v>30.815577916800002</v>
      </c>
      <c r="N67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679">
        <v>21.84</v>
      </c>
      <c r="P679">
        <v>54.6</v>
      </c>
      <c r="Q679">
        <v>80.64</v>
      </c>
      <c r="R679">
        <v>44.377200000000002</v>
      </c>
      <c r="S679">
        <v>0.2</v>
      </c>
      <c r="T679">
        <v>0.02</v>
      </c>
      <c r="U679" s="8">
        <f>Table3[[#This Row],[PrimaNeta]]*Table3[[#This Row],[Comisión]]</f>
        <v>820.75374792000002</v>
      </c>
      <c r="V679" s="15">
        <f>Table3[[#This Row],[PrimaComercial Anual]]-Table3[[#This Row],[PrimaComercial Anual]]*SUM(Table3[[#This Row],[APS]:[IVA]])</f>
        <v>4103.7687396000001</v>
      </c>
      <c r="W679" s="2">
        <v>1.4800000000000001E-2</v>
      </c>
      <c r="X679" s="2">
        <v>8.4501000000000007E-2</v>
      </c>
      <c r="Y679">
        <v>0.03</v>
      </c>
      <c r="Z679">
        <v>0.13</v>
      </c>
      <c r="AA679" s="20">
        <f>Table3[[#This Row],[APS]]*Table3[[#This Row],[PrimaComercial Anual]]</f>
        <v>81.997919999999993</v>
      </c>
      <c r="AB679" s="8">
        <f>Table3[[#This Row],[PrimaComercial Anual]]*Table3[[#This Row],[Recargo adicional]]</f>
        <v>468.16934040000001</v>
      </c>
      <c r="AC679" s="8">
        <f>Table3[[#This Row],[PrimaComercial Anual]]*Table3[[#This Row],[IT]]</f>
        <v>166.21199999999999</v>
      </c>
      <c r="AD679" s="8">
        <f>Table3[[#This Row],[PrimaComercial Anual]]*Table3[[#This Row],[IVA]]</f>
        <v>720.25199999999995</v>
      </c>
      <c r="AE679" s="15">
        <f>Table3[[#This Row],[PrimaComercial Anual Asistencia]]</f>
        <v>5540.4</v>
      </c>
      <c r="AF679">
        <v>2394</v>
      </c>
      <c r="AG679">
        <v>5540.4</v>
      </c>
    </row>
    <row r="680" spans="1:33" x14ac:dyDescent="0.25">
      <c r="A680" t="s">
        <v>19</v>
      </c>
      <c r="B680">
        <v>420000</v>
      </c>
      <c r="C680">
        <v>35</v>
      </c>
      <c r="D680" s="2">
        <f>Table3[[#This Row],[PrimaTécnica]]-Table3[[#This Row],[PrimaTécnica]]*SUM(Table3[[#This Row],[Gastos Adm]:[Cobranza]])</f>
        <v>2403.6150775104002</v>
      </c>
      <c r="E680">
        <v>1077.817104</v>
      </c>
      <c r="F680">
        <v>0.15</v>
      </c>
      <c r="G680">
        <v>0.05</v>
      </c>
      <c r="H680">
        <v>0.01</v>
      </c>
      <c r="I680">
        <v>0.01</v>
      </c>
      <c r="J680" s="8">
        <f>Table3[[#This Row],[PrimaTécnica]]*Table3[[#This Row],[Gastos Adm]]</f>
        <v>462.23366875200003</v>
      </c>
      <c r="K680" s="8">
        <f>Table3[[#This Row],[PrimaTécnica]]*Table3[[#This Row],[Utilidad]]</f>
        <v>154.07788958400002</v>
      </c>
      <c r="L680" s="8">
        <f>Table3[[#This Row],[PrimaTécnica]]*Table3[[#This Row],[Marketing]]</f>
        <v>30.815577916800002</v>
      </c>
      <c r="M680" s="8">
        <f>Table3[[#This Row],[PrimaTécnica]]*Table3[[#This Row],[Cobranza]]</f>
        <v>30.815577916800002</v>
      </c>
      <c r="N68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680">
        <v>21.84</v>
      </c>
      <c r="P680">
        <v>54.6</v>
      </c>
      <c r="Q680">
        <v>80.64</v>
      </c>
      <c r="R680">
        <v>44.377200000000002</v>
      </c>
      <c r="S680">
        <v>0.2</v>
      </c>
      <c r="T680">
        <v>0.02</v>
      </c>
      <c r="U680" s="8">
        <f>Table3[[#This Row],[PrimaNeta]]*Table3[[#This Row],[Comisión]]</f>
        <v>820.75374792000002</v>
      </c>
      <c r="V680" s="15">
        <f>Table3[[#This Row],[PrimaComercial Anual]]-Table3[[#This Row],[PrimaComercial Anual]]*SUM(Table3[[#This Row],[APS]:[IVA]])</f>
        <v>4103.7687396000001</v>
      </c>
      <c r="W680" s="2">
        <v>1.4800000000000001E-2</v>
      </c>
      <c r="X680" s="2">
        <v>8.4501000000000007E-2</v>
      </c>
      <c r="Y680">
        <v>0.03</v>
      </c>
      <c r="Z680">
        <v>0.13</v>
      </c>
      <c r="AA680" s="20">
        <f>Table3[[#This Row],[APS]]*Table3[[#This Row],[PrimaComercial Anual]]</f>
        <v>81.997919999999993</v>
      </c>
      <c r="AB680" s="8">
        <f>Table3[[#This Row],[PrimaComercial Anual]]*Table3[[#This Row],[Recargo adicional]]</f>
        <v>468.16934040000001</v>
      </c>
      <c r="AC680" s="8">
        <f>Table3[[#This Row],[PrimaComercial Anual]]*Table3[[#This Row],[IT]]</f>
        <v>166.21199999999999</v>
      </c>
      <c r="AD680" s="8">
        <f>Table3[[#This Row],[PrimaComercial Anual]]*Table3[[#This Row],[IVA]]</f>
        <v>720.25199999999995</v>
      </c>
      <c r="AE680" s="15">
        <f>Table3[[#This Row],[PrimaComercial Anual Asistencia]]</f>
        <v>5540.4</v>
      </c>
      <c r="AF680">
        <v>2394</v>
      </c>
      <c r="AG680">
        <v>5540.4</v>
      </c>
    </row>
    <row r="681" spans="1:33" x14ac:dyDescent="0.25">
      <c r="A681" t="s">
        <v>19</v>
      </c>
      <c r="B681">
        <v>420000</v>
      </c>
      <c r="C681">
        <v>36</v>
      </c>
      <c r="D681" s="2">
        <f>Table3[[#This Row],[PrimaTécnica]]-Table3[[#This Row],[PrimaTécnica]]*SUM(Table3[[#This Row],[Gastos Adm]:[Cobranza]])</f>
        <v>2403.6150775104002</v>
      </c>
      <c r="E681">
        <v>1077.817104</v>
      </c>
      <c r="F681">
        <v>0.15</v>
      </c>
      <c r="G681">
        <v>0.05</v>
      </c>
      <c r="H681">
        <v>0.01</v>
      </c>
      <c r="I681">
        <v>0.01</v>
      </c>
      <c r="J681" s="8">
        <f>Table3[[#This Row],[PrimaTécnica]]*Table3[[#This Row],[Gastos Adm]]</f>
        <v>462.23366875200003</v>
      </c>
      <c r="K681" s="8">
        <f>Table3[[#This Row],[PrimaTécnica]]*Table3[[#This Row],[Utilidad]]</f>
        <v>154.07788958400002</v>
      </c>
      <c r="L681" s="8">
        <f>Table3[[#This Row],[PrimaTécnica]]*Table3[[#This Row],[Marketing]]</f>
        <v>30.815577916800002</v>
      </c>
      <c r="M681" s="8">
        <f>Table3[[#This Row],[PrimaTécnica]]*Table3[[#This Row],[Cobranza]]</f>
        <v>30.815577916800002</v>
      </c>
      <c r="N68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681">
        <v>21.84</v>
      </c>
      <c r="P681">
        <v>54.6</v>
      </c>
      <c r="Q681">
        <v>80.64</v>
      </c>
      <c r="R681">
        <v>44.377200000000002</v>
      </c>
      <c r="S681">
        <v>0.2</v>
      </c>
      <c r="T681">
        <v>0.02</v>
      </c>
      <c r="U681" s="8">
        <f>Table3[[#This Row],[PrimaNeta]]*Table3[[#This Row],[Comisión]]</f>
        <v>820.75374792000002</v>
      </c>
      <c r="V681" s="15">
        <f>Table3[[#This Row],[PrimaComercial Anual]]-Table3[[#This Row],[PrimaComercial Anual]]*SUM(Table3[[#This Row],[APS]:[IVA]])</f>
        <v>4103.7687396000001</v>
      </c>
      <c r="W681" s="2">
        <v>1.4800000000000001E-2</v>
      </c>
      <c r="X681" s="2">
        <v>8.4501000000000007E-2</v>
      </c>
      <c r="Y681">
        <v>0.03</v>
      </c>
      <c r="Z681">
        <v>0.13</v>
      </c>
      <c r="AA681" s="20">
        <f>Table3[[#This Row],[APS]]*Table3[[#This Row],[PrimaComercial Anual]]</f>
        <v>81.997919999999993</v>
      </c>
      <c r="AB681" s="8">
        <f>Table3[[#This Row],[PrimaComercial Anual]]*Table3[[#This Row],[Recargo adicional]]</f>
        <v>468.16934040000001</v>
      </c>
      <c r="AC681" s="8">
        <f>Table3[[#This Row],[PrimaComercial Anual]]*Table3[[#This Row],[IT]]</f>
        <v>166.21199999999999</v>
      </c>
      <c r="AD681" s="8">
        <f>Table3[[#This Row],[PrimaComercial Anual]]*Table3[[#This Row],[IVA]]</f>
        <v>720.25199999999995</v>
      </c>
      <c r="AE681" s="15">
        <f>Table3[[#This Row],[PrimaComercial Anual Asistencia]]</f>
        <v>5540.4</v>
      </c>
      <c r="AF681">
        <v>2394</v>
      </c>
      <c r="AG681">
        <v>5540.4</v>
      </c>
    </row>
    <row r="682" spans="1:33" x14ac:dyDescent="0.25">
      <c r="A682" t="s">
        <v>19</v>
      </c>
      <c r="B682">
        <v>420000</v>
      </c>
      <c r="C682">
        <v>37</v>
      </c>
      <c r="D682" s="2">
        <f>Table3[[#This Row],[PrimaTécnica]]-Table3[[#This Row],[PrimaTécnica]]*SUM(Table3[[#This Row],[Gastos Adm]:[Cobranza]])</f>
        <v>2403.6150775104002</v>
      </c>
      <c r="E682">
        <v>1077.817104</v>
      </c>
      <c r="F682">
        <v>0.15</v>
      </c>
      <c r="G682">
        <v>0.05</v>
      </c>
      <c r="H682">
        <v>0.01</v>
      </c>
      <c r="I682">
        <v>0.01</v>
      </c>
      <c r="J682" s="8">
        <f>Table3[[#This Row],[PrimaTécnica]]*Table3[[#This Row],[Gastos Adm]]</f>
        <v>462.23366875200003</v>
      </c>
      <c r="K682" s="8">
        <f>Table3[[#This Row],[PrimaTécnica]]*Table3[[#This Row],[Utilidad]]</f>
        <v>154.07788958400002</v>
      </c>
      <c r="L682" s="8">
        <f>Table3[[#This Row],[PrimaTécnica]]*Table3[[#This Row],[Marketing]]</f>
        <v>30.815577916800002</v>
      </c>
      <c r="M682" s="8">
        <f>Table3[[#This Row],[PrimaTécnica]]*Table3[[#This Row],[Cobranza]]</f>
        <v>30.815577916800002</v>
      </c>
      <c r="N68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682">
        <v>21.84</v>
      </c>
      <c r="P682">
        <v>54.6</v>
      </c>
      <c r="Q682">
        <v>80.64</v>
      </c>
      <c r="R682">
        <v>44.377200000000002</v>
      </c>
      <c r="S682">
        <v>0.2</v>
      </c>
      <c r="T682">
        <v>0.02</v>
      </c>
      <c r="U682" s="8">
        <f>Table3[[#This Row],[PrimaNeta]]*Table3[[#This Row],[Comisión]]</f>
        <v>820.75374792000002</v>
      </c>
      <c r="V682" s="15">
        <f>Table3[[#This Row],[PrimaComercial Anual]]-Table3[[#This Row],[PrimaComercial Anual]]*SUM(Table3[[#This Row],[APS]:[IVA]])</f>
        <v>4103.7687396000001</v>
      </c>
      <c r="W682" s="2">
        <v>1.4800000000000001E-2</v>
      </c>
      <c r="X682" s="2">
        <v>8.4501000000000007E-2</v>
      </c>
      <c r="Y682">
        <v>0.03</v>
      </c>
      <c r="Z682">
        <v>0.13</v>
      </c>
      <c r="AA682" s="20">
        <f>Table3[[#This Row],[APS]]*Table3[[#This Row],[PrimaComercial Anual]]</f>
        <v>81.997919999999993</v>
      </c>
      <c r="AB682" s="8">
        <f>Table3[[#This Row],[PrimaComercial Anual]]*Table3[[#This Row],[Recargo adicional]]</f>
        <v>468.16934040000001</v>
      </c>
      <c r="AC682" s="8">
        <f>Table3[[#This Row],[PrimaComercial Anual]]*Table3[[#This Row],[IT]]</f>
        <v>166.21199999999999</v>
      </c>
      <c r="AD682" s="8">
        <f>Table3[[#This Row],[PrimaComercial Anual]]*Table3[[#This Row],[IVA]]</f>
        <v>720.25199999999995</v>
      </c>
      <c r="AE682" s="15">
        <f>Table3[[#This Row],[PrimaComercial Anual Asistencia]]</f>
        <v>5540.4</v>
      </c>
      <c r="AF682">
        <v>2394</v>
      </c>
      <c r="AG682">
        <v>5540.4</v>
      </c>
    </row>
    <row r="683" spans="1:33" x14ac:dyDescent="0.25">
      <c r="A683" t="s">
        <v>19</v>
      </c>
      <c r="B683">
        <v>420000</v>
      </c>
      <c r="C683">
        <v>38</v>
      </c>
      <c r="D683" s="2">
        <f>Table3[[#This Row],[PrimaTécnica]]-Table3[[#This Row],[PrimaTécnica]]*SUM(Table3[[#This Row],[Gastos Adm]:[Cobranza]])</f>
        <v>2403.6150775104002</v>
      </c>
      <c r="E683">
        <v>1077.817104</v>
      </c>
      <c r="F683">
        <v>0.15</v>
      </c>
      <c r="G683">
        <v>0.05</v>
      </c>
      <c r="H683">
        <v>0.01</v>
      </c>
      <c r="I683">
        <v>0.01</v>
      </c>
      <c r="J683" s="8">
        <f>Table3[[#This Row],[PrimaTécnica]]*Table3[[#This Row],[Gastos Adm]]</f>
        <v>462.23366875200003</v>
      </c>
      <c r="K683" s="8">
        <f>Table3[[#This Row],[PrimaTécnica]]*Table3[[#This Row],[Utilidad]]</f>
        <v>154.07788958400002</v>
      </c>
      <c r="L683" s="8">
        <f>Table3[[#This Row],[PrimaTécnica]]*Table3[[#This Row],[Marketing]]</f>
        <v>30.815577916800002</v>
      </c>
      <c r="M683" s="8">
        <f>Table3[[#This Row],[PrimaTécnica]]*Table3[[#This Row],[Cobranza]]</f>
        <v>30.815577916800002</v>
      </c>
      <c r="N68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683">
        <v>21.84</v>
      </c>
      <c r="P683">
        <v>54.6</v>
      </c>
      <c r="Q683">
        <v>80.64</v>
      </c>
      <c r="R683">
        <v>44.377200000000002</v>
      </c>
      <c r="S683">
        <v>0.2</v>
      </c>
      <c r="T683">
        <v>0.02</v>
      </c>
      <c r="U683" s="8">
        <f>Table3[[#This Row],[PrimaNeta]]*Table3[[#This Row],[Comisión]]</f>
        <v>820.75374792000002</v>
      </c>
      <c r="V683" s="15">
        <f>Table3[[#This Row],[PrimaComercial Anual]]-Table3[[#This Row],[PrimaComercial Anual]]*SUM(Table3[[#This Row],[APS]:[IVA]])</f>
        <v>4103.7687396000001</v>
      </c>
      <c r="W683" s="2">
        <v>1.4800000000000001E-2</v>
      </c>
      <c r="X683" s="2">
        <v>8.4501000000000007E-2</v>
      </c>
      <c r="Y683">
        <v>0.03</v>
      </c>
      <c r="Z683">
        <v>0.13</v>
      </c>
      <c r="AA683" s="20">
        <f>Table3[[#This Row],[APS]]*Table3[[#This Row],[PrimaComercial Anual]]</f>
        <v>81.997919999999993</v>
      </c>
      <c r="AB683" s="8">
        <f>Table3[[#This Row],[PrimaComercial Anual]]*Table3[[#This Row],[Recargo adicional]]</f>
        <v>468.16934040000001</v>
      </c>
      <c r="AC683" s="8">
        <f>Table3[[#This Row],[PrimaComercial Anual]]*Table3[[#This Row],[IT]]</f>
        <v>166.21199999999999</v>
      </c>
      <c r="AD683" s="8">
        <f>Table3[[#This Row],[PrimaComercial Anual]]*Table3[[#This Row],[IVA]]</f>
        <v>720.25199999999995</v>
      </c>
      <c r="AE683" s="15">
        <f>Table3[[#This Row],[PrimaComercial Anual Asistencia]]</f>
        <v>5540.4</v>
      </c>
      <c r="AF683">
        <v>2394</v>
      </c>
      <c r="AG683">
        <v>5540.4</v>
      </c>
    </row>
    <row r="684" spans="1:33" x14ac:dyDescent="0.25">
      <c r="A684" t="s">
        <v>19</v>
      </c>
      <c r="B684">
        <v>420000</v>
      </c>
      <c r="C684">
        <v>39</v>
      </c>
      <c r="D684" s="2">
        <f>Table3[[#This Row],[PrimaTécnica]]-Table3[[#This Row],[PrimaTécnica]]*SUM(Table3[[#This Row],[Gastos Adm]:[Cobranza]])</f>
        <v>2403.6150775104002</v>
      </c>
      <c r="E684">
        <v>1077.817104</v>
      </c>
      <c r="F684">
        <v>0.15</v>
      </c>
      <c r="G684">
        <v>0.05</v>
      </c>
      <c r="H684">
        <v>0.01</v>
      </c>
      <c r="I684">
        <v>0.01</v>
      </c>
      <c r="J684" s="8">
        <f>Table3[[#This Row],[PrimaTécnica]]*Table3[[#This Row],[Gastos Adm]]</f>
        <v>462.23366875200003</v>
      </c>
      <c r="K684" s="8">
        <f>Table3[[#This Row],[PrimaTécnica]]*Table3[[#This Row],[Utilidad]]</f>
        <v>154.07788958400002</v>
      </c>
      <c r="L684" s="8">
        <f>Table3[[#This Row],[PrimaTécnica]]*Table3[[#This Row],[Marketing]]</f>
        <v>30.815577916800002</v>
      </c>
      <c r="M684" s="8">
        <f>Table3[[#This Row],[PrimaTécnica]]*Table3[[#This Row],[Cobranza]]</f>
        <v>30.815577916800002</v>
      </c>
      <c r="N68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684">
        <v>21.84</v>
      </c>
      <c r="P684">
        <v>54.6</v>
      </c>
      <c r="Q684">
        <v>80.64</v>
      </c>
      <c r="R684">
        <v>44.377200000000002</v>
      </c>
      <c r="S684">
        <v>0.2</v>
      </c>
      <c r="T684">
        <v>0.02</v>
      </c>
      <c r="U684" s="8">
        <f>Table3[[#This Row],[PrimaNeta]]*Table3[[#This Row],[Comisión]]</f>
        <v>820.75374792000002</v>
      </c>
      <c r="V684" s="15">
        <f>Table3[[#This Row],[PrimaComercial Anual]]-Table3[[#This Row],[PrimaComercial Anual]]*SUM(Table3[[#This Row],[APS]:[IVA]])</f>
        <v>4103.7687396000001</v>
      </c>
      <c r="W684" s="2">
        <v>1.4800000000000001E-2</v>
      </c>
      <c r="X684" s="2">
        <v>8.4501000000000007E-2</v>
      </c>
      <c r="Y684">
        <v>0.03</v>
      </c>
      <c r="Z684">
        <v>0.13</v>
      </c>
      <c r="AA684" s="20">
        <f>Table3[[#This Row],[APS]]*Table3[[#This Row],[PrimaComercial Anual]]</f>
        <v>81.997919999999993</v>
      </c>
      <c r="AB684" s="8">
        <f>Table3[[#This Row],[PrimaComercial Anual]]*Table3[[#This Row],[Recargo adicional]]</f>
        <v>468.16934040000001</v>
      </c>
      <c r="AC684" s="8">
        <f>Table3[[#This Row],[PrimaComercial Anual]]*Table3[[#This Row],[IT]]</f>
        <v>166.21199999999999</v>
      </c>
      <c r="AD684" s="8">
        <f>Table3[[#This Row],[PrimaComercial Anual]]*Table3[[#This Row],[IVA]]</f>
        <v>720.25199999999995</v>
      </c>
      <c r="AE684" s="15">
        <f>Table3[[#This Row],[PrimaComercial Anual Asistencia]]</f>
        <v>5540.4</v>
      </c>
      <c r="AF684">
        <v>2394</v>
      </c>
      <c r="AG684">
        <v>5540.4</v>
      </c>
    </row>
    <row r="685" spans="1:33" x14ac:dyDescent="0.25">
      <c r="A685" t="s">
        <v>19</v>
      </c>
      <c r="B685">
        <v>420000</v>
      </c>
      <c r="C685">
        <v>40</v>
      </c>
      <c r="D685" s="2">
        <f>Table3[[#This Row],[PrimaTécnica]]-Table3[[#This Row],[PrimaTécnica]]*SUM(Table3[[#This Row],[Gastos Adm]:[Cobranza]])</f>
        <v>3436.3462131647993</v>
      </c>
      <c r="E685">
        <v>287.41789439999997</v>
      </c>
      <c r="F685">
        <v>0.15</v>
      </c>
      <c r="G685">
        <v>0.05</v>
      </c>
      <c r="H685">
        <v>0.01</v>
      </c>
      <c r="I685">
        <v>0.01</v>
      </c>
      <c r="J685" s="8">
        <f>Table3[[#This Row],[PrimaTécnica]]*Table3[[#This Row],[Gastos Adm]]</f>
        <v>660.83581022399994</v>
      </c>
      <c r="K685" s="8">
        <f>Table3[[#This Row],[PrimaTécnica]]*Table3[[#This Row],[Utilidad]]</f>
        <v>220.27860340799998</v>
      </c>
      <c r="L685" s="8">
        <f>Table3[[#This Row],[PrimaTécnica]]*Table3[[#This Row],[Marketing]]</f>
        <v>44.0557206816</v>
      </c>
      <c r="M685" s="8">
        <f>Table3[[#This Row],[PrimaTécnica]]*Table3[[#This Row],[Cobranza]]</f>
        <v>44.0557206816</v>
      </c>
      <c r="N68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685">
        <v>21.84</v>
      </c>
      <c r="P685">
        <v>54.6</v>
      </c>
      <c r="Q685">
        <v>80.64</v>
      </c>
      <c r="R685">
        <v>44.377200000000002</v>
      </c>
      <c r="S685">
        <v>0.2</v>
      </c>
      <c r="T685">
        <v>0.02</v>
      </c>
      <c r="U685" s="8">
        <f>Table3[[#This Row],[PrimaNeta]]*Table3[[#This Row],[Comisión]]</f>
        <v>1151.7573170400001</v>
      </c>
      <c r="V685" s="15">
        <f>Table3[[#This Row],[PrimaComercial Anual]]-Table3[[#This Row],[PrimaComercial Anual]]*SUM(Table3[[#This Row],[APS]:[IVA]])</f>
        <v>5758.7865852000004</v>
      </c>
      <c r="W685" s="2">
        <v>1.4800000000000001E-2</v>
      </c>
      <c r="X685" s="2">
        <v>8.4501000000000007E-2</v>
      </c>
      <c r="Y685">
        <v>0.03</v>
      </c>
      <c r="Z685">
        <v>0.13</v>
      </c>
      <c r="AA685" s="20">
        <f>Table3[[#This Row],[APS]]*Table3[[#This Row],[PrimaComercial Anual]]</f>
        <v>115.06704000000002</v>
      </c>
      <c r="AB685" s="8">
        <f>Table3[[#This Row],[PrimaComercial Anual]]*Table3[[#This Row],[Recargo adicional]]</f>
        <v>656.9783748000001</v>
      </c>
      <c r="AC685" s="8">
        <f>Table3[[#This Row],[PrimaComercial Anual]]*Table3[[#This Row],[IT]]</f>
        <v>233.24400000000003</v>
      </c>
      <c r="AD685" s="8">
        <f>Table3[[#This Row],[PrimaComercial Anual]]*Table3[[#This Row],[IVA]]</f>
        <v>1010.7240000000002</v>
      </c>
      <c r="AE685" s="15">
        <f>Table3[[#This Row],[PrimaComercial Anual Asistencia]]</f>
        <v>7774.8000000000011</v>
      </c>
      <c r="AF685">
        <v>638.4</v>
      </c>
      <c r="AG685">
        <v>7774.8000000000011</v>
      </c>
    </row>
    <row r="686" spans="1:33" x14ac:dyDescent="0.25">
      <c r="A686" t="s">
        <v>19</v>
      </c>
      <c r="B686">
        <v>420000</v>
      </c>
      <c r="C686">
        <v>41</v>
      </c>
      <c r="D686" s="2">
        <f>Table3[[#This Row],[PrimaTécnica]]-Table3[[#This Row],[PrimaTécnica]]*SUM(Table3[[#This Row],[Gastos Adm]:[Cobranza]])</f>
        <v>3436.3462131647993</v>
      </c>
      <c r="E686">
        <v>287.41789439999997</v>
      </c>
      <c r="F686">
        <v>0.15</v>
      </c>
      <c r="G686">
        <v>0.05</v>
      </c>
      <c r="H686">
        <v>0.01</v>
      </c>
      <c r="I686">
        <v>0.01</v>
      </c>
      <c r="J686" s="8">
        <f>Table3[[#This Row],[PrimaTécnica]]*Table3[[#This Row],[Gastos Adm]]</f>
        <v>660.83581022399994</v>
      </c>
      <c r="K686" s="8">
        <f>Table3[[#This Row],[PrimaTécnica]]*Table3[[#This Row],[Utilidad]]</f>
        <v>220.27860340799998</v>
      </c>
      <c r="L686" s="8">
        <f>Table3[[#This Row],[PrimaTécnica]]*Table3[[#This Row],[Marketing]]</f>
        <v>44.0557206816</v>
      </c>
      <c r="M686" s="8">
        <f>Table3[[#This Row],[PrimaTécnica]]*Table3[[#This Row],[Cobranza]]</f>
        <v>44.0557206816</v>
      </c>
      <c r="N68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686">
        <v>21.84</v>
      </c>
      <c r="P686">
        <v>54.6</v>
      </c>
      <c r="Q686">
        <v>80.64</v>
      </c>
      <c r="R686">
        <v>44.377200000000002</v>
      </c>
      <c r="S686">
        <v>0.2</v>
      </c>
      <c r="T686">
        <v>0.02</v>
      </c>
      <c r="U686" s="8">
        <f>Table3[[#This Row],[PrimaNeta]]*Table3[[#This Row],[Comisión]]</f>
        <v>1151.7573170400001</v>
      </c>
      <c r="V686" s="15">
        <f>Table3[[#This Row],[PrimaComercial Anual]]-Table3[[#This Row],[PrimaComercial Anual]]*SUM(Table3[[#This Row],[APS]:[IVA]])</f>
        <v>5758.7865852000004</v>
      </c>
      <c r="W686" s="2">
        <v>1.4800000000000001E-2</v>
      </c>
      <c r="X686" s="2">
        <v>8.4501000000000007E-2</v>
      </c>
      <c r="Y686">
        <v>0.03</v>
      </c>
      <c r="Z686">
        <v>0.13</v>
      </c>
      <c r="AA686" s="20">
        <f>Table3[[#This Row],[APS]]*Table3[[#This Row],[PrimaComercial Anual]]</f>
        <v>115.06704000000002</v>
      </c>
      <c r="AB686" s="8">
        <f>Table3[[#This Row],[PrimaComercial Anual]]*Table3[[#This Row],[Recargo adicional]]</f>
        <v>656.9783748000001</v>
      </c>
      <c r="AC686" s="8">
        <f>Table3[[#This Row],[PrimaComercial Anual]]*Table3[[#This Row],[IT]]</f>
        <v>233.24400000000003</v>
      </c>
      <c r="AD686" s="8">
        <f>Table3[[#This Row],[PrimaComercial Anual]]*Table3[[#This Row],[IVA]]</f>
        <v>1010.7240000000002</v>
      </c>
      <c r="AE686" s="15">
        <f>Table3[[#This Row],[PrimaComercial Anual Asistencia]]</f>
        <v>7774.8000000000011</v>
      </c>
      <c r="AF686">
        <v>638.4</v>
      </c>
      <c r="AG686">
        <v>7774.8000000000011</v>
      </c>
    </row>
    <row r="687" spans="1:33" x14ac:dyDescent="0.25">
      <c r="A687" t="s">
        <v>19</v>
      </c>
      <c r="B687">
        <v>420000</v>
      </c>
      <c r="C687">
        <v>42</v>
      </c>
      <c r="D687" s="2">
        <f>Table3[[#This Row],[PrimaTécnica]]-Table3[[#This Row],[PrimaTécnica]]*SUM(Table3[[#This Row],[Gastos Adm]:[Cobranza]])</f>
        <v>3436.3462131647993</v>
      </c>
      <c r="E687">
        <v>287.41789439999997</v>
      </c>
      <c r="F687">
        <v>0.15</v>
      </c>
      <c r="G687">
        <v>0.05</v>
      </c>
      <c r="H687">
        <v>0.01</v>
      </c>
      <c r="I687">
        <v>0.01</v>
      </c>
      <c r="J687" s="8">
        <f>Table3[[#This Row],[PrimaTécnica]]*Table3[[#This Row],[Gastos Adm]]</f>
        <v>660.83581022399994</v>
      </c>
      <c r="K687" s="8">
        <f>Table3[[#This Row],[PrimaTécnica]]*Table3[[#This Row],[Utilidad]]</f>
        <v>220.27860340799998</v>
      </c>
      <c r="L687" s="8">
        <f>Table3[[#This Row],[PrimaTécnica]]*Table3[[#This Row],[Marketing]]</f>
        <v>44.0557206816</v>
      </c>
      <c r="M687" s="8">
        <f>Table3[[#This Row],[PrimaTécnica]]*Table3[[#This Row],[Cobranza]]</f>
        <v>44.0557206816</v>
      </c>
      <c r="N68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687">
        <v>21.84</v>
      </c>
      <c r="P687">
        <v>54.6</v>
      </c>
      <c r="Q687">
        <v>80.64</v>
      </c>
      <c r="R687">
        <v>44.377200000000002</v>
      </c>
      <c r="S687">
        <v>0.2</v>
      </c>
      <c r="T687">
        <v>0.02</v>
      </c>
      <c r="U687" s="8">
        <f>Table3[[#This Row],[PrimaNeta]]*Table3[[#This Row],[Comisión]]</f>
        <v>1151.7573170400001</v>
      </c>
      <c r="V687" s="15">
        <f>Table3[[#This Row],[PrimaComercial Anual]]-Table3[[#This Row],[PrimaComercial Anual]]*SUM(Table3[[#This Row],[APS]:[IVA]])</f>
        <v>5758.7865852000004</v>
      </c>
      <c r="W687" s="2">
        <v>1.4800000000000001E-2</v>
      </c>
      <c r="X687" s="2">
        <v>8.4501000000000007E-2</v>
      </c>
      <c r="Y687">
        <v>0.03</v>
      </c>
      <c r="Z687">
        <v>0.13</v>
      </c>
      <c r="AA687" s="20">
        <f>Table3[[#This Row],[APS]]*Table3[[#This Row],[PrimaComercial Anual]]</f>
        <v>115.06704000000002</v>
      </c>
      <c r="AB687" s="8">
        <f>Table3[[#This Row],[PrimaComercial Anual]]*Table3[[#This Row],[Recargo adicional]]</f>
        <v>656.9783748000001</v>
      </c>
      <c r="AC687" s="8">
        <f>Table3[[#This Row],[PrimaComercial Anual]]*Table3[[#This Row],[IT]]</f>
        <v>233.24400000000003</v>
      </c>
      <c r="AD687" s="8">
        <f>Table3[[#This Row],[PrimaComercial Anual]]*Table3[[#This Row],[IVA]]</f>
        <v>1010.7240000000002</v>
      </c>
      <c r="AE687" s="15">
        <f>Table3[[#This Row],[PrimaComercial Anual Asistencia]]</f>
        <v>7774.8000000000011</v>
      </c>
      <c r="AF687">
        <v>638.4</v>
      </c>
      <c r="AG687">
        <v>7774.8000000000011</v>
      </c>
    </row>
    <row r="688" spans="1:33" x14ac:dyDescent="0.25">
      <c r="A688" t="s">
        <v>19</v>
      </c>
      <c r="B688">
        <v>420000</v>
      </c>
      <c r="C688">
        <v>43</v>
      </c>
      <c r="D688" s="2">
        <f>Table3[[#This Row],[PrimaTécnica]]-Table3[[#This Row],[PrimaTécnica]]*SUM(Table3[[#This Row],[Gastos Adm]:[Cobranza]])</f>
        <v>3436.3462131647993</v>
      </c>
      <c r="E688">
        <v>287.41789439999997</v>
      </c>
      <c r="F688">
        <v>0.15</v>
      </c>
      <c r="G688">
        <v>0.05</v>
      </c>
      <c r="H688">
        <v>0.01</v>
      </c>
      <c r="I688">
        <v>0.01</v>
      </c>
      <c r="J688" s="8">
        <f>Table3[[#This Row],[PrimaTécnica]]*Table3[[#This Row],[Gastos Adm]]</f>
        <v>660.83581022399994</v>
      </c>
      <c r="K688" s="8">
        <f>Table3[[#This Row],[PrimaTécnica]]*Table3[[#This Row],[Utilidad]]</f>
        <v>220.27860340799998</v>
      </c>
      <c r="L688" s="8">
        <f>Table3[[#This Row],[PrimaTécnica]]*Table3[[#This Row],[Marketing]]</f>
        <v>44.0557206816</v>
      </c>
      <c r="M688" s="8">
        <f>Table3[[#This Row],[PrimaTécnica]]*Table3[[#This Row],[Cobranza]]</f>
        <v>44.0557206816</v>
      </c>
      <c r="N68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688">
        <v>21.84</v>
      </c>
      <c r="P688">
        <v>54.6</v>
      </c>
      <c r="Q688">
        <v>80.64</v>
      </c>
      <c r="R688">
        <v>44.377200000000002</v>
      </c>
      <c r="S688">
        <v>0.2</v>
      </c>
      <c r="T688">
        <v>0.02</v>
      </c>
      <c r="U688" s="8">
        <f>Table3[[#This Row],[PrimaNeta]]*Table3[[#This Row],[Comisión]]</f>
        <v>1151.7573170400001</v>
      </c>
      <c r="V688" s="15">
        <f>Table3[[#This Row],[PrimaComercial Anual]]-Table3[[#This Row],[PrimaComercial Anual]]*SUM(Table3[[#This Row],[APS]:[IVA]])</f>
        <v>5758.7865852000004</v>
      </c>
      <c r="W688" s="2">
        <v>1.4800000000000001E-2</v>
      </c>
      <c r="X688" s="2">
        <v>8.4501000000000007E-2</v>
      </c>
      <c r="Y688">
        <v>0.03</v>
      </c>
      <c r="Z688">
        <v>0.13</v>
      </c>
      <c r="AA688" s="20">
        <f>Table3[[#This Row],[APS]]*Table3[[#This Row],[PrimaComercial Anual]]</f>
        <v>115.06704000000002</v>
      </c>
      <c r="AB688" s="8">
        <f>Table3[[#This Row],[PrimaComercial Anual]]*Table3[[#This Row],[Recargo adicional]]</f>
        <v>656.9783748000001</v>
      </c>
      <c r="AC688" s="8">
        <f>Table3[[#This Row],[PrimaComercial Anual]]*Table3[[#This Row],[IT]]</f>
        <v>233.24400000000003</v>
      </c>
      <c r="AD688" s="8">
        <f>Table3[[#This Row],[PrimaComercial Anual]]*Table3[[#This Row],[IVA]]</f>
        <v>1010.7240000000002</v>
      </c>
      <c r="AE688" s="15">
        <f>Table3[[#This Row],[PrimaComercial Anual Asistencia]]</f>
        <v>7774.8000000000011</v>
      </c>
      <c r="AF688">
        <v>638.4</v>
      </c>
      <c r="AG688">
        <v>7774.8000000000011</v>
      </c>
    </row>
    <row r="689" spans="1:33" x14ac:dyDescent="0.25">
      <c r="A689" t="s">
        <v>19</v>
      </c>
      <c r="B689">
        <v>420000</v>
      </c>
      <c r="C689">
        <v>44</v>
      </c>
      <c r="D689" s="2">
        <f>Table3[[#This Row],[PrimaTécnica]]-Table3[[#This Row],[PrimaTécnica]]*SUM(Table3[[#This Row],[Gastos Adm]:[Cobranza]])</f>
        <v>3436.3462131647993</v>
      </c>
      <c r="E689">
        <v>287.41789439999997</v>
      </c>
      <c r="F689">
        <v>0.15</v>
      </c>
      <c r="G689">
        <v>0.05</v>
      </c>
      <c r="H689">
        <v>0.01</v>
      </c>
      <c r="I689">
        <v>0.01</v>
      </c>
      <c r="J689" s="8">
        <f>Table3[[#This Row],[PrimaTécnica]]*Table3[[#This Row],[Gastos Adm]]</f>
        <v>660.83581022399994</v>
      </c>
      <c r="K689" s="8">
        <f>Table3[[#This Row],[PrimaTécnica]]*Table3[[#This Row],[Utilidad]]</f>
        <v>220.27860340799998</v>
      </c>
      <c r="L689" s="8">
        <f>Table3[[#This Row],[PrimaTécnica]]*Table3[[#This Row],[Marketing]]</f>
        <v>44.0557206816</v>
      </c>
      <c r="M689" s="8">
        <f>Table3[[#This Row],[PrimaTécnica]]*Table3[[#This Row],[Cobranza]]</f>
        <v>44.0557206816</v>
      </c>
      <c r="N68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689">
        <v>21.84</v>
      </c>
      <c r="P689">
        <v>54.6</v>
      </c>
      <c r="Q689">
        <v>80.64</v>
      </c>
      <c r="R689">
        <v>44.377200000000002</v>
      </c>
      <c r="S689">
        <v>0.2</v>
      </c>
      <c r="T689">
        <v>0.02</v>
      </c>
      <c r="U689" s="8">
        <f>Table3[[#This Row],[PrimaNeta]]*Table3[[#This Row],[Comisión]]</f>
        <v>1151.7573170400001</v>
      </c>
      <c r="V689" s="15">
        <f>Table3[[#This Row],[PrimaComercial Anual]]-Table3[[#This Row],[PrimaComercial Anual]]*SUM(Table3[[#This Row],[APS]:[IVA]])</f>
        <v>5758.7865852000004</v>
      </c>
      <c r="W689" s="2">
        <v>1.4800000000000001E-2</v>
      </c>
      <c r="X689" s="2">
        <v>8.4501000000000007E-2</v>
      </c>
      <c r="Y689">
        <v>0.03</v>
      </c>
      <c r="Z689">
        <v>0.13</v>
      </c>
      <c r="AA689" s="20">
        <f>Table3[[#This Row],[APS]]*Table3[[#This Row],[PrimaComercial Anual]]</f>
        <v>115.06704000000002</v>
      </c>
      <c r="AB689" s="8">
        <f>Table3[[#This Row],[PrimaComercial Anual]]*Table3[[#This Row],[Recargo adicional]]</f>
        <v>656.9783748000001</v>
      </c>
      <c r="AC689" s="8">
        <f>Table3[[#This Row],[PrimaComercial Anual]]*Table3[[#This Row],[IT]]</f>
        <v>233.24400000000003</v>
      </c>
      <c r="AD689" s="8">
        <f>Table3[[#This Row],[PrimaComercial Anual]]*Table3[[#This Row],[IVA]]</f>
        <v>1010.7240000000002</v>
      </c>
      <c r="AE689" s="15">
        <f>Table3[[#This Row],[PrimaComercial Anual Asistencia]]</f>
        <v>7774.8000000000011</v>
      </c>
      <c r="AF689">
        <v>638.4</v>
      </c>
      <c r="AG689">
        <v>7774.8000000000011</v>
      </c>
    </row>
    <row r="690" spans="1:33" x14ac:dyDescent="0.25">
      <c r="A690" t="s">
        <v>19</v>
      </c>
      <c r="B690">
        <v>420000</v>
      </c>
      <c r="C690">
        <v>45</v>
      </c>
      <c r="D690" s="2">
        <f>Table3[[#This Row],[PrimaTécnica]]-Table3[[#This Row],[PrimaTécnica]]*SUM(Table3[[#This Row],[Gastos Adm]:[Cobranza]])</f>
        <v>3436.3462131647993</v>
      </c>
      <c r="E690">
        <v>287.41789439999997</v>
      </c>
      <c r="F690">
        <v>0.15</v>
      </c>
      <c r="G690">
        <v>0.05</v>
      </c>
      <c r="H690">
        <v>0.01</v>
      </c>
      <c r="I690">
        <v>0.01</v>
      </c>
      <c r="J690" s="8">
        <f>Table3[[#This Row],[PrimaTécnica]]*Table3[[#This Row],[Gastos Adm]]</f>
        <v>660.83581022399994</v>
      </c>
      <c r="K690" s="8">
        <f>Table3[[#This Row],[PrimaTécnica]]*Table3[[#This Row],[Utilidad]]</f>
        <v>220.27860340799998</v>
      </c>
      <c r="L690" s="8">
        <f>Table3[[#This Row],[PrimaTécnica]]*Table3[[#This Row],[Marketing]]</f>
        <v>44.0557206816</v>
      </c>
      <c r="M690" s="8">
        <f>Table3[[#This Row],[PrimaTécnica]]*Table3[[#This Row],[Cobranza]]</f>
        <v>44.0557206816</v>
      </c>
      <c r="N69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690">
        <v>21.84</v>
      </c>
      <c r="P690">
        <v>54.6</v>
      </c>
      <c r="Q690">
        <v>80.64</v>
      </c>
      <c r="R690">
        <v>44.377200000000002</v>
      </c>
      <c r="S690">
        <v>0.2</v>
      </c>
      <c r="T690">
        <v>0.02</v>
      </c>
      <c r="U690" s="8">
        <f>Table3[[#This Row],[PrimaNeta]]*Table3[[#This Row],[Comisión]]</f>
        <v>1151.7573170400001</v>
      </c>
      <c r="V690" s="15">
        <f>Table3[[#This Row],[PrimaComercial Anual]]-Table3[[#This Row],[PrimaComercial Anual]]*SUM(Table3[[#This Row],[APS]:[IVA]])</f>
        <v>5758.7865852000004</v>
      </c>
      <c r="W690" s="2">
        <v>1.4800000000000001E-2</v>
      </c>
      <c r="X690" s="2">
        <v>8.4501000000000007E-2</v>
      </c>
      <c r="Y690">
        <v>0.03</v>
      </c>
      <c r="Z690">
        <v>0.13</v>
      </c>
      <c r="AA690" s="20">
        <f>Table3[[#This Row],[APS]]*Table3[[#This Row],[PrimaComercial Anual]]</f>
        <v>115.06704000000002</v>
      </c>
      <c r="AB690" s="8">
        <f>Table3[[#This Row],[PrimaComercial Anual]]*Table3[[#This Row],[Recargo adicional]]</f>
        <v>656.9783748000001</v>
      </c>
      <c r="AC690" s="8">
        <f>Table3[[#This Row],[PrimaComercial Anual]]*Table3[[#This Row],[IT]]</f>
        <v>233.24400000000003</v>
      </c>
      <c r="AD690" s="8">
        <f>Table3[[#This Row],[PrimaComercial Anual]]*Table3[[#This Row],[IVA]]</f>
        <v>1010.7240000000002</v>
      </c>
      <c r="AE690" s="15">
        <f>Table3[[#This Row],[PrimaComercial Anual Asistencia]]</f>
        <v>7774.8000000000011</v>
      </c>
      <c r="AF690">
        <v>638.4</v>
      </c>
      <c r="AG690">
        <v>7774.8000000000011</v>
      </c>
    </row>
    <row r="691" spans="1:33" x14ac:dyDescent="0.25">
      <c r="A691" t="s">
        <v>19</v>
      </c>
      <c r="B691">
        <v>420000</v>
      </c>
      <c r="C691">
        <v>46</v>
      </c>
      <c r="D691" s="2">
        <f>Table3[[#This Row],[PrimaTécnica]]-Table3[[#This Row],[PrimaTécnica]]*SUM(Table3[[#This Row],[Gastos Adm]:[Cobranza]])</f>
        <v>3436.3462131647993</v>
      </c>
      <c r="E691">
        <v>287.41789439999997</v>
      </c>
      <c r="F691">
        <v>0.15</v>
      </c>
      <c r="G691">
        <v>0.05</v>
      </c>
      <c r="H691">
        <v>0.01</v>
      </c>
      <c r="I691">
        <v>0.01</v>
      </c>
      <c r="J691" s="8">
        <f>Table3[[#This Row],[PrimaTécnica]]*Table3[[#This Row],[Gastos Adm]]</f>
        <v>660.83581022399994</v>
      </c>
      <c r="K691" s="8">
        <f>Table3[[#This Row],[PrimaTécnica]]*Table3[[#This Row],[Utilidad]]</f>
        <v>220.27860340799998</v>
      </c>
      <c r="L691" s="8">
        <f>Table3[[#This Row],[PrimaTécnica]]*Table3[[#This Row],[Marketing]]</f>
        <v>44.0557206816</v>
      </c>
      <c r="M691" s="8">
        <f>Table3[[#This Row],[PrimaTécnica]]*Table3[[#This Row],[Cobranza]]</f>
        <v>44.0557206816</v>
      </c>
      <c r="N69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691">
        <v>21.84</v>
      </c>
      <c r="P691">
        <v>54.6</v>
      </c>
      <c r="Q691">
        <v>80.64</v>
      </c>
      <c r="R691">
        <v>44.377200000000002</v>
      </c>
      <c r="S691">
        <v>0.2</v>
      </c>
      <c r="T691">
        <v>0.02</v>
      </c>
      <c r="U691" s="8">
        <f>Table3[[#This Row],[PrimaNeta]]*Table3[[#This Row],[Comisión]]</f>
        <v>1151.7573170400001</v>
      </c>
      <c r="V691" s="15">
        <f>Table3[[#This Row],[PrimaComercial Anual]]-Table3[[#This Row],[PrimaComercial Anual]]*SUM(Table3[[#This Row],[APS]:[IVA]])</f>
        <v>5758.7865852000004</v>
      </c>
      <c r="W691" s="2">
        <v>1.4800000000000001E-2</v>
      </c>
      <c r="X691" s="2">
        <v>8.4501000000000007E-2</v>
      </c>
      <c r="Y691">
        <v>0.03</v>
      </c>
      <c r="Z691">
        <v>0.13</v>
      </c>
      <c r="AA691" s="20">
        <f>Table3[[#This Row],[APS]]*Table3[[#This Row],[PrimaComercial Anual]]</f>
        <v>115.06704000000002</v>
      </c>
      <c r="AB691" s="8">
        <f>Table3[[#This Row],[PrimaComercial Anual]]*Table3[[#This Row],[Recargo adicional]]</f>
        <v>656.9783748000001</v>
      </c>
      <c r="AC691" s="8">
        <f>Table3[[#This Row],[PrimaComercial Anual]]*Table3[[#This Row],[IT]]</f>
        <v>233.24400000000003</v>
      </c>
      <c r="AD691" s="8">
        <f>Table3[[#This Row],[PrimaComercial Anual]]*Table3[[#This Row],[IVA]]</f>
        <v>1010.7240000000002</v>
      </c>
      <c r="AE691" s="15">
        <f>Table3[[#This Row],[PrimaComercial Anual Asistencia]]</f>
        <v>7774.8000000000011</v>
      </c>
      <c r="AF691">
        <v>638.4</v>
      </c>
      <c r="AG691">
        <v>7774.8000000000011</v>
      </c>
    </row>
    <row r="692" spans="1:33" x14ac:dyDescent="0.25">
      <c r="A692" t="s">
        <v>19</v>
      </c>
      <c r="B692">
        <v>420000</v>
      </c>
      <c r="C692">
        <v>47</v>
      </c>
      <c r="D692" s="2">
        <f>Table3[[#This Row],[PrimaTécnica]]-Table3[[#This Row],[PrimaTécnica]]*SUM(Table3[[#This Row],[Gastos Adm]:[Cobranza]])</f>
        <v>3436.3462131647993</v>
      </c>
      <c r="E692">
        <v>287.41789439999997</v>
      </c>
      <c r="F692">
        <v>0.15</v>
      </c>
      <c r="G692">
        <v>0.05</v>
      </c>
      <c r="H692">
        <v>0.01</v>
      </c>
      <c r="I692">
        <v>0.01</v>
      </c>
      <c r="J692" s="8">
        <f>Table3[[#This Row],[PrimaTécnica]]*Table3[[#This Row],[Gastos Adm]]</f>
        <v>660.83581022399994</v>
      </c>
      <c r="K692" s="8">
        <f>Table3[[#This Row],[PrimaTécnica]]*Table3[[#This Row],[Utilidad]]</f>
        <v>220.27860340799998</v>
      </c>
      <c r="L692" s="8">
        <f>Table3[[#This Row],[PrimaTécnica]]*Table3[[#This Row],[Marketing]]</f>
        <v>44.0557206816</v>
      </c>
      <c r="M692" s="8">
        <f>Table3[[#This Row],[PrimaTécnica]]*Table3[[#This Row],[Cobranza]]</f>
        <v>44.0557206816</v>
      </c>
      <c r="N69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692">
        <v>21.84</v>
      </c>
      <c r="P692">
        <v>54.6</v>
      </c>
      <c r="Q692">
        <v>80.64</v>
      </c>
      <c r="R692">
        <v>44.377200000000002</v>
      </c>
      <c r="S692">
        <v>0.2</v>
      </c>
      <c r="T692">
        <v>0.02</v>
      </c>
      <c r="U692" s="8">
        <f>Table3[[#This Row],[PrimaNeta]]*Table3[[#This Row],[Comisión]]</f>
        <v>1151.7573170400001</v>
      </c>
      <c r="V692" s="15">
        <f>Table3[[#This Row],[PrimaComercial Anual]]-Table3[[#This Row],[PrimaComercial Anual]]*SUM(Table3[[#This Row],[APS]:[IVA]])</f>
        <v>5758.7865852000004</v>
      </c>
      <c r="W692" s="2">
        <v>1.4800000000000001E-2</v>
      </c>
      <c r="X692" s="2">
        <v>8.4501000000000007E-2</v>
      </c>
      <c r="Y692">
        <v>0.03</v>
      </c>
      <c r="Z692">
        <v>0.13</v>
      </c>
      <c r="AA692" s="20">
        <f>Table3[[#This Row],[APS]]*Table3[[#This Row],[PrimaComercial Anual]]</f>
        <v>115.06704000000002</v>
      </c>
      <c r="AB692" s="8">
        <f>Table3[[#This Row],[PrimaComercial Anual]]*Table3[[#This Row],[Recargo adicional]]</f>
        <v>656.9783748000001</v>
      </c>
      <c r="AC692" s="8">
        <f>Table3[[#This Row],[PrimaComercial Anual]]*Table3[[#This Row],[IT]]</f>
        <v>233.24400000000003</v>
      </c>
      <c r="AD692" s="8">
        <f>Table3[[#This Row],[PrimaComercial Anual]]*Table3[[#This Row],[IVA]]</f>
        <v>1010.7240000000002</v>
      </c>
      <c r="AE692" s="15">
        <f>Table3[[#This Row],[PrimaComercial Anual Asistencia]]</f>
        <v>7774.8000000000011</v>
      </c>
      <c r="AF692">
        <v>638.4</v>
      </c>
      <c r="AG692">
        <v>7774.8000000000011</v>
      </c>
    </row>
    <row r="693" spans="1:33" x14ac:dyDescent="0.25">
      <c r="A693" t="s">
        <v>19</v>
      </c>
      <c r="B693">
        <v>420000</v>
      </c>
      <c r="C693">
        <v>48</v>
      </c>
      <c r="D693" s="2">
        <f>Table3[[#This Row],[PrimaTécnica]]-Table3[[#This Row],[PrimaTécnica]]*SUM(Table3[[#This Row],[Gastos Adm]:[Cobranza]])</f>
        <v>3436.3462131647993</v>
      </c>
      <c r="E693">
        <v>287.41789439999997</v>
      </c>
      <c r="F693">
        <v>0.15</v>
      </c>
      <c r="G693">
        <v>0.05</v>
      </c>
      <c r="H693">
        <v>0.01</v>
      </c>
      <c r="I693">
        <v>0.01</v>
      </c>
      <c r="J693" s="8">
        <f>Table3[[#This Row],[PrimaTécnica]]*Table3[[#This Row],[Gastos Adm]]</f>
        <v>660.83581022399994</v>
      </c>
      <c r="K693" s="8">
        <f>Table3[[#This Row],[PrimaTécnica]]*Table3[[#This Row],[Utilidad]]</f>
        <v>220.27860340799998</v>
      </c>
      <c r="L693" s="8">
        <f>Table3[[#This Row],[PrimaTécnica]]*Table3[[#This Row],[Marketing]]</f>
        <v>44.0557206816</v>
      </c>
      <c r="M693" s="8">
        <f>Table3[[#This Row],[PrimaTécnica]]*Table3[[#This Row],[Cobranza]]</f>
        <v>44.0557206816</v>
      </c>
      <c r="N69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693">
        <v>21.84</v>
      </c>
      <c r="P693">
        <v>54.6</v>
      </c>
      <c r="Q693">
        <v>80.64</v>
      </c>
      <c r="R693">
        <v>44.377200000000002</v>
      </c>
      <c r="S693">
        <v>0.2</v>
      </c>
      <c r="T693">
        <v>0.02</v>
      </c>
      <c r="U693" s="8">
        <f>Table3[[#This Row],[PrimaNeta]]*Table3[[#This Row],[Comisión]]</f>
        <v>1151.7573170400001</v>
      </c>
      <c r="V693" s="15">
        <f>Table3[[#This Row],[PrimaComercial Anual]]-Table3[[#This Row],[PrimaComercial Anual]]*SUM(Table3[[#This Row],[APS]:[IVA]])</f>
        <v>5758.7865852000004</v>
      </c>
      <c r="W693" s="2">
        <v>1.4800000000000001E-2</v>
      </c>
      <c r="X693" s="2">
        <v>8.4501000000000007E-2</v>
      </c>
      <c r="Y693">
        <v>0.03</v>
      </c>
      <c r="Z693">
        <v>0.13</v>
      </c>
      <c r="AA693" s="20">
        <f>Table3[[#This Row],[APS]]*Table3[[#This Row],[PrimaComercial Anual]]</f>
        <v>115.06704000000002</v>
      </c>
      <c r="AB693" s="8">
        <f>Table3[[#This Row],[PrimaComercial Anual]]*Table3[[#This Row],[Recargo adicional]]</f>
        <v>656.9783748000001</v>
      </c>
      <c r="AC693" s="8">
        <f>Table3[[#This Row],[PrimaComercial Anual]]*Table3[[#This Row],[IT]]</f>
        <v>233.24400000000003</v>
      </c>
      <c r="AD693" s="8">
        <f>Table3[[#This Row],[PrimaComercial Anual]]*Table3[[#This Row],[IVA]]</f>
        <v>1010.7240000000002</v>
      </c>
      <c r="AE693" s="15">
        <f>Table3[[#This Row],[PrimaComercial Anual Asistencia]]</f>
        <v>7774.8000000000011</v>
      </c>
      <c r="AF693">
        <v>638.4</v>
      </c>
      <c r="AG693">
        <v>7774.8000000000011</v>
      </c>
    </row>
    <row r="694" spans="1:33" x14ac:dyDescent="0.25">
      <c r="A694" t="s">
        <v>19</v>
      </c>
      <c r="B694">
        <v>420000</v>
      </c>
      <c r="C694">
        <v>49</v>
      </c>
      <c r="D694" s="2">
        <f>Table3[[#This Row],[PrimaTécnica]]-Table3[[#This Row],[PrimaTécnica]]*SUM(Table3[[#This Row],[Gastos Adm]:[Cobranza]])</f>
        <v>3436.3462131647993</v>
      </c>
      <c r="E694">
        <v>287.41789439999997</v>
      </c>
      <c r="F694">
        <v>0.15</v>
      </c>
      <c r="G694">
        <v>0.05</v>
      </c>
      <c r="H694">
        <v>0.01</v>
      </c>
      <c r="I694">
        <v>0.01</v>
      </c>
      <c r="J694" s="8">
        <f>Table3[[#This Row],[PrimaTécnica]]*Table3[[#This Row],[Gastos Adm]]</f>
        <v>660.83581022399994</v>
      </c>
      <c r="K694" s="8">
        <f>Table3[[#This Row],[PrimaTécnica]]*Table3[[#This Row],[Utilidad]]</f>
        <v>220.27860340799998</v>
      </c>
      <c r="L694" s="8">
        <f>Table3[[#This Row],[PrimaTécnica]]*Table3[[#This Row],[Marketing]]</f>
        <v>44.0557206816</v>
      </c>
      <c r="M694" s="8">
        <f>Table3[[#This Row],[PrimaTécnica]]*Table3[[#This Row],[Cobranza]]</f>
        <v>44.0557206816</v>
      </c>
      <c r="N69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694">
        <v>21.84</v>
      </c>
      <c r="P694">
        <v>54.6</v>
      </c>
      <c r="Q694">
        <v>80.64</v>
      </c>
      <c r="R694">
        <v>44.377200000000002</v>
      </c>
      <c r="S694">
        <v>0.2</v>
      </c>
      <c r="T694">
        <v>0.02</v>
      </c>
      <c r="U694" s="8">
        <f>Table3[[#This Row],[PrimaNeta]]*Table3[[#This Row],[Comisión]]</f>
        <v>1151.7573170400001</v>
      </c>
      <c r="V694" s="15">
        <f>Table3[[#This Row],[PrimaComercial Anual]]-Table3[[#This Row],[PrimaComercial Anual]]*SUM(Table3[[#This Row],[APS]:[IVA]])</f>
        <v>5758.7865852000004</v>
      </c>
      <c r="W694" s="2">
        <v>1.4800000000000001E-2</v>
      </c>
      <c r="X694" s="2">
        <v>8.4501000000000007E-2</v>
      </c>
      <c r="Y694">
        <v>0.03</v>
      </c>
      <c r="Z694">
        <v>0.13</v>
      </c>
      <c r="AA694" s="20">
        <f>Table3[[#This Row],[APS]]*Table3[[#This Row],[PrimaComercial Anual]]</f>
        <v>115.06704000000002</v>
      </c>
      <c r="AB694" s="8">
        <f>Table3[[#This Row],[PrimaComercial Anual]]*Table3[[#This Row],[Recargo adicional]]</f>
        <v>656.9783748000001</v>
      </c>
      <c r="AC694" s="8">
        <f>Table3[[#This Row],[PrimaComercial Anual]]*Table3[[#This Row],[IT]]</f>
        <v>233.24400000000003</v>
      </c>
      <c r="AD694" s="8">
        <f>Table3[[#This Row],[PrimaComercial Anual]]*Table3[[#This Row],[IVA]]</f>
        <v>1010.7240000000002</v>
      </c>
      <c r="AE694" s="15">
        <f>Table3[[#This Row],[PrimaComercial Anual Asistencia]]</f>
        <v>7774.8000000000011</v>
      </c>
      <c r="AF694">
        <v>638.4</v>
      </c>
      <c r="AG694">
        <v>7774.8000000000011</v>
      </c>
    </row>
    <row r="695" spans="1:33" x14ac:dyDescent="0.25">
      <c r="A695" t="s">
        <v>17</v>
      </c>
      <c r="B695">
        <v>700001</v>
      </c>
      <c r="C695">
        <v>0</v>
      </c>
      <c r="D695" s="2">
        <f>Table3[[#This Row],[PrimaTécnica]]-Table3[[#This Row],[PrimaTécnica]]*SUM(Table3[[#This Row],[Gastos Adm]:[Cobranza]])</f>
        <v>3178.163429251199</v>
      </c>
      <c r="E695">
        <v>0</v>
      </c>
      <c r="F695">
        <v>0.15</v>
      </c>
      <c r="G695">
        <v>0.05</v>
      </c>
      <c r="H695">
        <v>0.01</v>
      </c>
      <c r="I695">
        <v>0.01</v>
      </c>
      <c r="J695" s="8">
        <f>Table3[[#This Row],[PrimaTécnica]]*Table3[[#This Row],[Gastos Adm]]</f>
        <v>611.18527485599975</v>
      </c>
      <c r="K695" s="8">
        <f>Table3[[#This Row],[PrimaTécnica]]*Table3[[#This Row],[Utilidad]]</f>
        <v>203.72842495199995</v>
      </c>
      <c r="L695" s="8">
        <f>Table3[[#This Row],[PrimaTécnica]]*Table3[[#This Row],[Marketing]]</f>
        <v>40.745684990399987</v>
      </c>
      <c r="M695" s="8">
        <f>Table3[[#This Row],[PrimaTécnica]]*Table3[[#This Row],[Cobranza]]</f>
        <v>40.745684990399987</v>
      </c>
      <c r="N69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4074.5684990399986</v>
      </c>
      <c r="O695">
        <v>21.84</v>
      </c>
      <c r="P695">
        <v>54.6</v>
      </c>
      <c r="Q695">
        <v>80.64</v>
      </c>
      <c r="R695">
        <v>44.377200000000002</v>
      </c>
      <c r="S695">
        <v>0.2</v>
      </c>
      <c r="T695">
        <v>0.02</v>
      </c>
      <c r="U695" s="8">
        <f>Table3[[#This Row],[PrimaNeta]]*Table3[[#This Row],[Comisión]]</f>
        <v>1069.0064247600001</v>
      </c>
      <c r="V695" s="15">
        <f>Table3[[#This Row],[PrimaComercial Anual]]-Table3[[#This Row],[PrimaComercial Anual]]*SUM(Table3[[#This Row],[APS]:[IVA]])</f>
        <v>5345.0321237999997</v>
      </c>
      <c r="W695" s="2">
        <v>1.4800000000000001E-2</v>
      </c>
      <c r="X695" s="2">
        <v>8.4501000000000007E-2</v>
      </c>
      <c r="Y695">
        <v>0.03</v>
      </c>
      <c r="Z695">
        <v>0.13</v>
      </c>
      <c r="AA695" s="20">
        <f>Table3[[#This Row],[APS]]*Table3[[#This Row],[PrimaComercial Anual]]</f>
        <v>106.79976000000001</v>
      </c>
      <c r="AB695" s="8">
        <f>Table3[[#This Row],[PrimaComercial Anual]]*Table3[[#This Row],[Recargo adicional]]</f>
        <v>609.77611620000005</v>
      </c>
      <c r="AC695" s="8">
        <f>Table3[[#This Row],[PrimaComercial Anual]]*Table3[[#This Row],[IT]]</f>
        <v>216.48599999999999</v>
      </c>
      <c r="AD695" s="8">
        <f>Table3[[#This Row],[PrimaComercial Anual]]*Table3[[#This Row],[IVA]]</f>
        <v>938.10599999999999</v>
      </c>
      <c r="AE695" s="15">
        <f>Table3[[#This Row],[PrimaComercial Anual Asistencia]]</f>
        <v>7216.2</v>
      </c>
      <c r="AG695">
        <v>7216.2</v>
      </c>
    </row>
    <row r="696" spans="1:33" x14ac:dyDescent="0.25">
      <c r="A696" t="s">
        <v>17</v>
      </c>
      <c r="B696">
        <v>700001</v>
      </c>
      <c r="C696">
        <v>1</v>
      </c>
      <c r="D696" s="2">
        <f>Table3[[#This Row],[PrimaTécnica]]-Table3[[#This Row],[PrimaTécnica]]*SUM(Table3[[#This Row],[Gastos Adm]:[Cobranza]])</f>
        <v>3178.163429251199</v>
      </c>
      <c r="E696">
        <v>0</v>
      </c>
      <c r="F696">
        <v>0.15</v>
      </c>
      <c r="G696">
        <v>0.05</v>
      </c>
      <c r="H696">
        <v>0.01</v>
      </c>
      <c r="I696">
        <v>0.01</v>
      </c>
      <c r="J696" s="8">
        <f>Table3[[#This Row],[PrimaTécnica]]*Table3[[#This Row],[Gastos Adm]]</f>
        <v>611.18527485599975</v>
      </c>
      <c r="K696" s="8">
        <f>Table3[[#This Row],[PrimaTécnica]]*Table3[[#This Row],[Utilidad]]</f>
        <v>203.72842495199995</v>
      </c>
      <c r="L696" s="8">
        <f>Table3[[#This Row],[PrimaTécnica]]*Table3[[#This Row],[Marketing]]</f>
        <v>40.745684990399987</v>
      </c>
      <c r="M696" s="8">
        <f>Table3[[#This Row],[PrimaTécnica]]*Table3[[#This Row],[Cobranza]]</f>
        <v>40.745684990399987</v>
      </c>
      <c r="N69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4074.5684990399986</v>
      </c>
      <c r="O696">
        <v>21.84</v>
      </c>
      <c r="P696">
        <v>54.6</v>
      </c>
      <c r="Q696">
        <v>80.64</v>
      </c>
      <c r="R696">
        <v>44.377200000000002</v>
      </c>
      <c r="S696">
        <v>0.2</v>
      </c>
      <c r="T696">
        <v>0.02</v>
      </c>
      <c r="U696" s="8">
        <f>Table3[[#This Row],[PrimaNeta]]*Table3[[#This Row],[Comisión]]</f>
        <v>1069.0064247600001</v>
      </c>
      <c r="V696" s="15">
        <f>Table3[[#This Row],[PrimaComercial Anual]]-Table3[[#This Row],[PrimaComercial Anual]]*SUM(Table3[[#This Row],[APS]:[IVA]])</f>
        <v>5345.0321237999997</v>
      </c>
      <c r="W696" s="2">
        <v>1.4800000000000001E-2</v>
      </c>
      <c r="X696" s="2">
        <v>8.4501000000000007E-2</v>
      </c>
      <c r="Y696">
        <v>0.03</v>
      </c>
      <c r="Z696">
        <v>0.13</v>
      </c>
      <c r="AA696" s="20">
        <f>Table3[[#This Row],[APS]]*Table3[[#This Row],[PrimaComercial Anual]]</f>
        <v>106.79976000000001</v>
      </c>
      <c r="AB696" s="8">
        <f>Table3[[#This Row],[PrimaComercial Anual]]*Table3[[#This Row],[Recargo adicional]]</f>
        <v>609.77611620000005</v>
      </c>
      <c r="AC696" s="8">
        <f>Table3[[#This Row],[PrimaComercial Anual]]*Table3[[#This Row],[IT]]</f>
        <v>216.48599999999999</v>
      </c>
      <c r="AD696" s="8">
        <f>Table3[[#This Row],[PrimaComercial Anual]]*Table3[[#This Row],[IVA]]</f>
        <v>938.10599999999999</v>
      </c>
      <c r="AE696" s="15">
        <f>Table3[[#This Row],[PrimaComercial Anual Asistencia]]</f>
        <v>7216.2</v>
      </c>
      <c r="AG696">
        <v>7216.2</v>
      </c>
    </row>
    <row r="697" spans="1:33" x14ac:dyDescent="0.25">
      <c r="A697" t="s">
        <v>17</v>
      </c>
      <c r="B697">
        <v>700001</v>
      </c>
      <c r="C697">
        <v>2</v>
      </c>
      <c r="D697" s="2">
        <f>Table3[[#This Row],[PrimaTécnica]]-Table3[[#This Row],[PrimaTécnica]]*SUM(Table3[[#This Row],[Gastos Adm]:[Cobranza]])</f>
        <v>3178.163429251199</v>
      </c>
      <c r="E697">
        <v>0</v>
      </c>
      <c r="F697">
        <v>0.15</v>
      </c>
      <c r="G697">
        <v>0.05</v>
      </c>
      <c r="H697">
        <v>0.01</v>
      </c>
      <c r="I697">
        <v>0.01</v>
      </c>
      <c r="J697" s="8">
        <f>Table3[[#This Row],[PrimaTécnica]]*Table3[[#This Row],[Gastos Adm]]</f>
        <v>611.18527485599975</v>
      </c>
      <c r="K697" s="8">
        <f>Table3[[#This Row],[PrimaTécnica]]*Table3[[#This Row],[Utilidad]]</f>
        <v>203.72842495199995</v>
      </c>
      <c r="L697" s="8">
        <f>Table3[[#This Row],[PrimaTécnica]]*Table3[[#This Row],[Marketing]]</f>
        <v>40.745684990399987</v>
      </c>
      <c r="M697" s="8">
        <f>Table3[[#This Row],[PrimaTécnica]]*Table3[[#This Row],[Cobranza]]</f>
        <v>40.745684990399987</v>
      </c>
      <c r="N69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4074.5684990399986</v>
      </c>
      <c r="O697">
        <v>21.84</v>
      </c>
      <c r="P697">
        <v>54.6</v>
      </c>
      <c r="Q697">
        <v>80.64</v>
      </c>
      <c r="R697">
        <v>44.377200000000002</v>
      </c>
      <c r="S697">
        <v>0.2</v>
      </c>
      <c r="T697">
        <v>0.02</v>
      </c>
      <c r="U697" s="8">
        <f>Table3[[#This Row],[PrimaNeta]]*Table3[[#This Row],[Comisión]]</f>
        <v>1069.0064247600001</v>
      </c>
      <c r="V697" s="15">
        <f>Table3[[#This Row],[PrimaComercial Anual]]-Table3[[#This Row],[PrimaComercial Anual]]*SUM(Table3[[#This Row],[APS]:[IVA]])</f>
        <v>5345.0321237999997</v>
      </c>
      <c r="W697" s="2">
        <v>1.4800000000000001E-2</v>
      </c>
      <c r="X697" s="2">
        <v>8.4501000000000007E-2</v>
      </c>
      <c r="Y697">
        <v>0.03</v>
      </c>
      <c r="Z697">
        <v>0.13</v>
      </c>
      <c r="AA697" s="20">
        <f>Table3[[#This Row],[APS]]*Table3[[#This Row],[PrimaComercial Anual]]</f>
        <v>106.79976000000001</v>
      </c>
      <c r="AB697" s="8">
        <f>Table3[[#This Row],[PrimaComercial Anual]]*Table3[[#This Row],[Recargo adicional]]</f>
        <v>609.77611620000005</v>
      </c>
      <c r="AC697" s="8">
        <f>Table3[[#This Row],[PrimaComercial Anual]]*Table3[[#This Row],[IT]]</f>
        <v>216.48599999999999</v>
      </c>
      <c r="AD697" s="8">
        <f>Table3[[#This Row],[PrimaComercial Anual]]*Table3[[#This Row],[IVA]]</f>
        <v>938.10599999999999</v>
      </c>
      <c r="AE697" s="15">
        <f>Table3[[#This Row],[PrimaComercial Anual Asistencia]]</f>
        <v>7216.2</v>
      </c>
      <c r="AG697">
        <v>7216.2</v>
      </c>
    </row>
    <row r="698" spans="1:33" x14ac:dyDescent="0.25">
      <c r="A698" t="s">
        <v>17</v>
      </c>
      <c r="B698">
        <v>700001</v>
      </c>
      <c r="C698">
        <v>3</v>
      </c>
      <c r="D698" s="2">
        <f>Table3[[#This Row],[PrimaTécnica]]-Table3[[#This Row],[PrimaTécnica]]*SUM(Table3[[#This Row],[Gastos Adm]:[Cobranza]])</f>
        <v>2256.0820581312</v>
      </c>
      <c r="E698">
        <v>0</v>
      </c>
      <c r="F698">
        <v>0.15</v>
      </c>
      <c r="G698">
        <v>0.05</v>
      </c>
      <c r="H698">
        <v>0.01</v>
      </c>
      <c r="I698">
        <v>0.01</v>
      </c>
      <c r="J698" s="8">
        <f>Table3[[#This Row],[PrimaTécnica]]*Table3[[#This Row],[Gastos Adm]]</f>
        <v>433.86193425599998</v>
      </c>
      <c r="K698" s="8">
        <f>Table3[[#This Row],[PrimaTécnica]]*Table3[[#This Row],[Utilidad]]</f>
        <v>144.620644752</v>
      </c>
      <c r="L698" s="8">
        <f>Table3[[#This Row],[PrimaTécnica]]*Table3[[#This Row],[Marketing]]</f>
        <v>28.9241289504</v>
      </c>
      <c r="M698" s="8">
        <f>Table3[[#This Row],[PrimaTécnica]]*Table3[[#This Row],[Cobranza]]</f>
        <v>28.9241289504</v>
      </c>
      <c r="N69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698">
        <v>21.84</v>
      </c>
      <c r="P698">
        <v>54.6</v>
      </c>
      <c r="Q698">
        <v>80.64</v>
      </c>
      <c r="R698">
        <v>44.377200000000002</v>
      </c>
      <c r="S698">
        <v>0.2</v>
      </c>
      <c r="T698">
        <v>0.02</v>
      </c>
      <c r="U698" s="8">
        <f>Table3[[#This Row],[PrimaNeta]]*Table3[[#This Row],[Comisión]]</f>
        <v>773.46752375999995</v>
      </c>
      <c r="V698" s="15">
        <f>Table3[[#This Row],[PrimaComercial Anual]]-Table3[[#This Row],[PrimaComercial Anual]]*SUM(Table3[[#This Row],[APS]:[IVA]])</f>
        <v>3867.3376187999997</v>
      </c>
      <c r="W698" s="2">
        <v>1.4800000000000001E-2</v>
      </c>
      <c r="X698" s="2">
        <v>8.4501000000000007E-2</v>
      </c>
      <c r="Y698">
        <v>0.03</v>
      </c>
      <c r="Z698">
        <v>0.13</v>
      </c>
      <c r="AA698" s="20">
        <f>Table3[[#This Row],[APS]]*Table3[[#This Row],[PrimaComercial Anual]]</f>
        <v>77.273759999999996</v>
      </c>
      <c r="AB698" s="8">
        <f>Table3[[#This Row],[PrimaComercial Anual]]*Table3[[#This Row],[Recargo adicional]]</f>
        <v>441.19662120000004</v>
      </c>
      <c r="AC698" s="8">
        <f>Table3[[#This Row],[PrimaComercial Anual]]*Table3[[#This Row],[IT]]</f>
        <v>156.636</v>
      </c>
      <c r="AD698" s="8">
        <f>Table3[[#This Row],[PrimaComercial Anual]]*Table3[[#This Row],[IVA]]</f>
        <v>678.75599999999997</v>
      </c>
      <c r="AE698" s="15">
        <f>Table3[[#This Row],[PrimaComercial Anual Asistencia]]</f>
        <v>5221.2</v>
      </c>
      <c r="AG698">
        <v>5221.2</v>
      </c>
    </row>
    <row r="699" spans="1:33" x14ac:dyDescent="0.25">
      <c r="A699" t="s">
        <v>17</v>
      </c>
      <c r="B699">
        <v>700001</v>
      </c>
      <c r="C699">
        <v>4</v>
      </c>
      <c r="D699" s="2">
        <f>Table3[[#This Row],[PrimaTécnica]]-Table3[[#This Row],[PrimaTécnica]]*SUM(Table3[[#This Row],[Gastos Adm]:[Cobranza]])</f>
        <v>2256.0820581312</v>
      </c>
      <c r="E699">
        <v>0</v>
      </c>
      <c r="F699">
        <v>0.15</v>
      </c>
      <c r="G699">
        <v>0.05</v>
      </c>
      <c r="H699">
        <v>0.01</v>
      </c>
      <c r="I699">
        <v>0.01</v>
      </c>
      <c r="J699" s="8">
        <f>Table3[[#This Row],[PrimaTécnica]]*Table3[[#This Row],[Gastos Adm]]</f>
        <v>433.86193425599998</v>
      </c>
      <c r="K699" s="8">
        <f>Table3[[#This Row],[PrimaTécnica]]*Table3[[#This Row],[Utilidad]]</f>
        <v>144.620644752</v>
      </c>
      <c r="L699" s="8">
        <f>Table3[[#This Row],[PrimaTécnica]]*Table3[[#This Row],[Marketing]]</f>
        <v>28.9241289504</v>
      </c>
      <c r="M699" s="8">
        <f>Table3[[#This Row],[PrimaTécnica]]*Table3[[#This Row],[Cobranza]]</f>
        <v>28.9241289504</v>
      </c>
      <c r="N69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699">
        <v>21.84</v>
      </c>
      <c r="P699">
        <v>54.6</v>
      </c>
      <c r="Q699">
        <v>80.64</v>
      </c>
      <c r="R699">
        <v>44.377200000000002</v>
      </c>
      <c r="S699">
        <v>0.2</v>
      </c>
      <c r="T699">
        <v>0.02</v>
      </c>
      <c r="U699" s="8">
        <f>Table3[[#This Row],[PrimaNeta]]*Table3[[#This Row],[Comisión]]</f>
        <v>773.46752375999995</v>
      </c>
      <c r="V699" s="15">
        <f>Table3[[#This Row],[PrimaComercial Anual]]-Table3[[#This Row],[PrimaComercial Anual]]*SUM(Table3[[#This Row],[APS]:[IVA]])</f>
        <v>3867.3376187999997</v>
      </c>
      <c r="W699" s="2">
        <v>1.4800000000000001E-2</v>
      </c>
      <c r="X699" s="2">
        <v>8.4501000000000007E-2</v>
      </c>
      <c r="Y699">
        <v>0.03</v>
      </c>
      <c r="Z699">
        <v>0.13</v>
      </c>
      <c r="AA699" s="20">
        <f>Table3[[#This Row],[APS]]*Table3[[#This Row],[PrimaComercial Anual]]</f>
        <v>77.273759999999996</v>
      </c>
      <c r="AB699" s="8">
        <f>Table3[[#This Row],[PrimaComercial Anual]]*Table3[[#This Row],[Recargo adicional]]</f>
        <v>441.19662120000004</v>
      </c>
      <c r="AC699" s="8">
        <f>Table3[[#This Row],[PrimaComercial Anual]]*Table3[[#This Row],[IT]]</f>
        <v>156.636</v>
      </c>
      <c r="AD699" s="8">
        <f>Table3[[#This Row],[PrimaComercial Anual]]*Table3[[#This Row],[IVA]]</f>
        <v>678.75599999999997</v>
      </c>
      <c r="AE699" s="15">
        <f>Table3[[#This Row],[PrimaComercial Anual Asistencia]]</f>
        <v>5221.2</v>
      </c>
      <c r="AG699">
        <v>5221.2</v>
      </c>
    </row>
    <row r="700" spans="1:33" x14ac:dyDescent="0.25">
      <c r="A700" t="s">
        <v>17</v>
      </c>
      <c r="B700">
        <v>700001</v>
      </c>
      <c r="C700">
        <v>5</v>
      </c>
      <c r="D700" s="2">
        <f>Table3[[#This Row],[PrimaTécnica]]-Table3[[#This Row],[PrimaTécnica]]*SUM(Table3[[#This Row],[Gastos Adm]:[Cobranza]])</f>
        <v>2256.0820581312</v>
      </c>
      <c r="E700">
        <v>0</v>
      </c>
      <c r="F700">
        <v>0.15</v>
      </c>
      <c r="G700">
        <v>0.05</v>
      </c>
      <c r="H700">
        <v>0.01</v>
      </c>
      <c r="I700">
        <v>0.01</v>
      </c>
      <c r="J700" s="8">
        <f>Table3[[#This Row],[PrimaTécnica]]*Table3[[#This Row],[Gastos Adm]]</f>
        <v>433.86193425599998</v>
      </c>
      <c r="K700" s="8">
        <f>Table3[[#This Row],[PrimaTécnica]]*Table3[[#This Row],[Utilidad]]</f>
        <v>144.620644752</v>
      </c>
      <c r="L700" s="8">
        <f>Table3[[#This Row],[PrimaTécnica]]*Table3[[#This Row],[Marketing]]</f>
        <v>28.9241289504</v>
      </c>
      <c r="M700" s="8">
        <f>Table3[[#This Row],[PrimaTécnica]]*Table3[[#This Row],[Cobranza]]</f>
        <v>28.9241289504</v>
      </c>
      <c r="N70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700">
        <v>21.84</v>
      </c>
      <c r="P700">
        <v>54.6</v>
      </c>
      <c r="Q700">
        <v>80.64</v>
      </c>
      <c r="R700">
        <v>44.377200000000002</v>
      </c>
      <c r="S700">
        <v>0.2</v>
      </c>
      <c r="T700">
        <v>0.02</v>
      </c>
      <c r="U700" s="8">
        <f>Table3[[#This Row],[PrimaNeta]]*Table3[[#This Row],[Comisión]]</f>
        <v>773.46752375999995</v>
      </c>
      <c r="V700" s="15">
        <f>Table3[[#This Row],[PrimaComercial Anual]]-Table3[[#This Row],[PrimaComercial Anual]]*SUM(Table3[[#This Row],[APS]:[IVA]])</f>
        <v>3867.3376187999997</v>
      </c>
      <c r="W700" s="2">
        <v>1.4800000000000001E-2</v>
      </c>
      <c r="X700" s="2">
        <v>8.4501000000000007E-2</v>
      </c>
      <c r="Y700">
        <v>0.03</v>
      </c>
      <c r="Z700">
        <v>0.13</v>
      </c>
      <c r="AA700" s="20">
        <f>Table3[[#This Row],[APS]]*Table3[[#This Row],[PrimaComercial Anual]]</f>
        <v>77.273759999999996</v>
      </c>
      <c r="AB700" s="8">
        <f>Table3[[#This Row],[PrimaComercial Anual]]*Table3[[#This Row],[Recargo adicional]]</f>
        <v>441.19662120000004</v>
      </c>
      <c r="AC700" s="8">
        <f>Table3[[#This Row],[PrimaComercial Anual]]*Table3[[#This Row],[IT]]</f>
        <v>156.636</v>
      </c>
      <c r="AD700" s="8">
        <f>Table3[[#This Row],[PrimaComercial Anual]]*Table3[[#This Row],[IVA]]</f>
        <v>678.75599999999997</v>
      </c>
      <c r="AE700" s="15">
        <f>Table3[[#This Row],[PrimaComercial Anual Asistencia]]</f>
        <v>5221.2</v>
      </c>
      <c r="AG700">
        <v>5221.2</v>
      </c>
    </row>
    <row r="701" spans="1:33" x14ac:dyDescent="0.25">
      <c r="A701" t="s">
        <v>17</v>
      </c>
      <c r="B701">
        <v>700001</v>
      </c>
      <c r="C701">
        <v>6</v>
      </c>
      <c r="D701" s="2">
        <f>Table3[[#This Row],[PrimaTécnica]]-Table3[[#This Row],[PrimaTécnica]]*SUM(Table3[[#This Row],[Gastos Adm]:[Cobranza]])</f>
        <v>2108.5490387520003</v>
      </c>
      <c r="E701">
        <v>0</v>
      </c>
      <c r="F701">
        <v>0.15</v>
      </c>
      <c r="G701">
        <v>0.05</v>
      </c>
      <c r="H701">
        <v>0.01</v>
      </c>
      <c r="I701">
        <v>0.01</v>
      </c>
      <c r="J701" s="8">
        <f>Table3[[#This Row],[PrimaTécnica]]*Table3[[#This Row],[Gastos Adm]]</f>
        <v>405.49019976000005</v>
      </c>
      <c r="K701" s="8">
        <f>Table3[[#This Row],[PrimaTécnica]]*Table3[[#This Row],[Utilidad]]</f>
        <v>135.16339992000005</v>
      </c>
      <c r="L701" s="8">
        <f>Table3[[#This Row],[PrimaTécnica]]*Table3[[#This Row],[Marketing]]</f>
        <v>27.032679984000005</v>
      </c>
      <c r="M701" s="8">
        <f>Table3[[#This Row],[PrimaTécnica]]*Table3[[#This Row],[Cobranza]]</f>
        <v>27.032679984000005</v>
      </c>
      <c r="N70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701">
        <v>21.84</v>
      </c>
      <c r="P701">
        <v>54.6</v>
      </c>
      <c r="Q701">
        <v>80.64</v>
      </c>
      <c r="R701">
        <v>44.377200000000002</v>
      </c>
      <c r="S701">
        <v>0.2</v>
      </c>
      <c r="T701">
        <v>0.02</v>
      </c>
      <c r="U701" s="8">
        <f>Table3[[#This Row],[PrimaNeta]]*Table3[[#This Row],[Comisión]]</f>
        <v>726.1812996000001</v>
      </c>
      <c r="V701" s="15">
        <f>Table3[[#This Row],[PrimaComercial Anual]]-Table3[[#This Row],[PrimaComercial Anual]]*SUM(Table3[[#This Row],[APS]:[IVA]])</f>
        <v>3630.9064980000003</v>
      </c>
      <c r="W701" s="2">
        <v>1.4800000000000001E-2</v>
      </c>
      <c r="X701" s="2">
        <v>8.4501000000000007E-2</v>
      </c>
      <c r="Y701">
        <v>0.03</v>
      </c>
      <c r="Z701">
        <v>0.13</v>
      </c>
      <c r="AA701" s="20">
        <f>Table3[[#This Row],[APS]]*Table3[[#This Row],[PrimaComercial Anual]]</f>
        <v>72.549599999999998</v>
      </c>
      <c r="AB701" s="8">
        <f>Table3[[#This Row],[PrimaComercial Anual]]*Table3[[#This Row],[Recargo adicional]]</f>
        <v>414.22390200000001</v>
      </c>
      <c r="AC701" s="8">
        <f>Table3[[#This Row],[PrimaComercial Anual]]*Table3[[#This Row],[IT]]</f>
        <v>147.06</v>
      </c>
      <c r="AD701" s="8">
        <f>Table3[[#This Row],[PrimaComercial Anual]]*Table3[[#This Row],[IVA]]</f>
        <v>637.26</v>
      </c>
      <c r="AE701" s="15">
        <f>Table3[[#This Row],[PrimaComercial Anual Asistencia]]</f>
        <v>4902</v>
      </c>
      <c r="AG701">
        <v>4902</v>
      </c>
    </row>
    <row r="702" spans="1:33" x14ac:dyDescent="0.25">
      <c r="A702" t="s">
        <v>17</v>
      </c>
      <c r="B702">
        <v>700001</v>
      </c>
      <c r="C702">
        <v>7</v>
      </c>
      <c r="D702" s="2">
        <f>Table3[[#This Row],[PrimaTécnica]]-Table3[[#This Row],[PrimaTécnica]]*SUM(Table3[[#This Row],[Gastos Adm]:[Cobranza]])</f>
        <v>2108.5490387520003</v>
      </c>
      <c r="E702">
        <v>0</v>
      </c>
      <c r="F702">
        <v>0.15</v>
      </c>
      <c r="G702">
        <v>0.05</v>
      </c>
      <c r="H702">
        <v>0.01</v>
      </c>
      <c r="I702">
        <v>0.01</v>
      </c>
      <c r="J702" s="8">
        <f>Table3[[#This Row],[PrimaTécnica]]*Table3[[#This Row],[Gastos Adm]]</f>
        <v>405.49019976000005</v>
      </c>
      <c r="K702" s="8">
        <f>Table3[[#This Row],[PrimaTécnica]]*Table3[[#This Row],[Utilidad]]</f>
        <v>135.16339992000005</v>
      </c>
      <c r="L702" s="8">
        <f>Table3[[#This Row],[PrimaTécnica]]*Table3[[#This Row],[Marketing]]</f>
        <v>27.032679984000005</v>
      </c>
      <c r="M702" s="8">
        <f>Table3[[#This Row],[PrimaTécnica]]*Table3[[#This Row],[Cobranza]]</f>
        <v>27.032679984000005</v>
      </c>
      <c r="N70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702">
        <v>21.84</v>
      </c>
      <c r="P702">
        <v>54.6</v>
      </c>
      <c r="Q702">
        <v>80.64</v>
      </c>
      <c r="R702">
        <v>44.377200000000002</v>
      </c>
      <c r="S702">
        <v>0.2</v>
      </c>
      <c r="T702">
        <v>0.02</v>
      </c>
      <c r="U702" s="8">
        <f>Table3[[#This Row],[PrimaNeta]]*Table3[[#This Row],[Comisión]]</f>
        <v>726.1812996000001</v>
      </c>
      <c r="V702" s="15">
        <f>Table3[[#This Row],[PrimaComercial Anual]]-Table3[[#This Row],[PrimaComercial Anual]]*SUM(Table3[[#This Row],[APS]:[IVA]])</f>
        <v>3630.9064980000003</v>
      </c>
      <c r="W702" s="2">
        <v>1.4800000000000001E-2</v>
      </c>
      <c r="X702" s="2">
        <v>8.4501000000000007E-2</v>
      </c>
      <c r="Y702">
        <v>0.03</v>
      </c>
      <c r="Z702">
        <v>0.13</v>
      </c>
      <c r="AA702" s="20">
        <f>Table3[[#This Row],[APS]]*Table3[[#This Row],[PrimaComercial Anual]]</f>
        <v>72.549599999999998</v>
      </c>
      <c r="AB702" s="8">
        <f>Table3[[#This Row],[PrimaComercial Anual]]*Table3[[#This Row],[Recargo adicional]]</f>
        <v>414.22390200000001</v>
      </c>
      <c r="AC702" s="8">
        <f>Table3[[#This Row],[PrimaComercial Anual]]*Table3[[#This Row],[IT]]</f>
        <v>147.06</v>
      </c>
      <c r="AD702" s="8">
        <f>Table3[[#This Row],[PrimaComercial Anual]]*Table3[[#This Row],[IVA]]</f>
        <v>637.26</v>
      </c>
      <c r="AE702" s="15">
        <f>Table3[[#This Row],[PrimaComercial Anual Asistencia]]</f>
        <v>4902</v>
      </c>
      <c r="AG702">
        <v>4902</v>
      </c>
    </row>
    <row r="703" spans="1:33" x14ac:dyDescent="0.25">
      <c r="A703" t="s">
        <v>17</v>
      </c>
      <c r="B703">
        <v>700001</v>
      </c>
      <c r="C703">
        <v>8</v>
      </c>
      <c r="D703" s="2">
        <f>Table3[[#This Row],[PrimaTécnica]]-Table3[[#This Row],[PrimaTécnica]]*SUM(Table3[[#This Row],[Gastos Adm]:[Cobranza]])</f>
        <v>2108.5490387520003</v>
      </c>
      <c r="E703">
        <v>0</v>
      </c>
      <c r="F703">
        <v>0.15</v>
      </c>
      <c r="G703">
        <v>0.05</v>
      </c>
      <c r="H703">
        <v>0.01</v>
      </c>
      <c r="I703">
        <v>0.01</v>
      </c>
      <c r="J703" s="8">
        <f>Table3[[#This Row],[PrimaTécnica]]*Table3[[#This Row],[Gastos Adm]]</f>
        <v>405.49019976000005</v>
      </c>
      <c r="K703" s="8">
        <f>Table3[[#This Row],[PrimaTécnica]]*Table3[[#This Row],[Utilidad]]</f>
        <v>135.16339992000005</v>
      </c>
      <c r="L703" s="8">
        <f>Table3[[#This Row],[PrimaTécnica]]*Table3[[#This Row],[Marketing]]</f>
        <v>27.032679984000005</v>
      </c>
      <c r="M703" s="8">
        <f>Table3[[#This Row],[PrimaTécnica]]*Table3[[#This Row],[Cobranza]]</f>
        <v>27.032679984000005</v>
      </c>
      <c r="N70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703">
        <v>21.84</v>
      </c>
      <c r="P703">
        <v>54.6</v>
      </c>
      <c r="Q703">
        <v>80.64</v>
      </c>
      <c r="R703">
        <v>44.377200000000002</v>
      </c>
      <c r="S703">
        <v>0.2</v>
      </c>
      <c r="T703">
        <v>0.02</v>
      </c>
      <c r="U703" s="8">
        <f>Table3[[#This Row],[PrimaNeta]]*Table3[[#This Row],[Comisión]]</f>
        <v>726.1812996000001</v>
      </c>
      <c r="V703" s="15">
        <f>Table3[[#This Row],[PrimaComercial Anual]]-Table3[[#This Row],[PrimaComercial Anual]]*SUM(Table3[[#This Row],[APS]:[IVA]])</f>
        <v>3630.9064980000003</v>
      </c>
      <c r="W703" s="2">
        <v>1.4800000000000001E-2</v>
      </c>
      <c r="X703" s="2">
        <v>8.4501000000000007E-2</v>
      </c>
      <c r="Y703">
        <v>0.03</v>
      </c>
      <c r="Z703">
        <v>0.13</v>
      </c>
      <c r="AA703" s="20">
        <f>Table3[[#This Row],[APS]]*Table3[[#This Row],[PrimaComercial Anual]]</f>
        <v>72.549599999999998</v>
      </c>
      <c r="AB703" s="8">
        <f>Table3[[#This Row],[PrimaComercial Anual]]*Table3[[#This Row],[Recargo adicional]]</f>
        <v>414.22390200000001</v>
      </c>
      <c r="AC703" s="8">
        <f>Table3[[#This Row],[PrimaComercial Anual]]*Table3[[#This Row],[IT]]</f>
        <v>147.06</v>
      </c>
      <c r="AD703" s="8">
        <f>Table3[[#This Row],[PrimaComercial Anual]]*Table3[[#This Row],[IVA]]</f>
        <v>637.26</v>
      </c>
      <c r="AE703" s="15">
        <f>Table3[[#This Row],[PrimaComercial Anual Asistencia]]</f>
        <v>4902</v>
      </c>
      <c r="AG703">
        <v>4902</v>
      </c>
    </row>
    <row r="704" spans="1:33" x14ac:dyDescent="0.25">
      <c r="A704" t="s">
        <v>17</v>
      </c>
      <c r="B704">
        <v>700001</v>
      </c>
      <c r="C704">
        <v>9</v>
      </c>
      <c r="D704" s="2">
        <f>Table3[[#This Row],[PrimaTécnica]]-Table3[[#This Row],[PrimaTécnica]]*SUM(Table3[[#This Row],[Gastos Adm]:[Cobranza]])</f>
        <v>2108.5490387520003</v>
      </c>
      <c r="E704">
        <v>0</v>
      </c>
      <c r="F704">
        <v>0.15</v>
      </c>
      <c r="G704">
        <v>0.05</v>
      </c>
      <c r="H704">
        <v>0.01</v>
      </c>
      <c r="I704">
        <v>0.01</v>
      </c>
      <c r="J704" s="8">
        <f>Table3[[#This Row],[PrimaTécnica]]*Table3[[#This Row],[Gastos Adm]]</f>
        <v>405.49019976000005</v>
      </c>
      <c r="K704" s="8">
        <f>Table3[[#This Row],[PrimaTécnica]]*Table3[[#This Row],[Utilidad]]</f>
        <v>135.16339992000005</v>
      </c>
      <c r="L704" s="8">
        <f>Table3[[#This Row],[PrimaTécnica]]*Table3[[#This Row],[Marketing]]</f>
        <v>27.032679984000005</v>
      </c>
      <c r="M704" s="8">
        <f>Table3[[#This Row],[PrimaTécnica]]*Table3[[#This Row],[Cobranza]]</f>
        <v>27.032679984000005</v>
      </c>
      <c r="N70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704">
        <v>21.84</v>
      </c>
      <c r="P704">
        <v>54.6</v>
      </c>
      <c r="Q704">
        <v>80.64</v>
      </c>
      <c r="R704">
        <v>44.377200000000002</v>
      </c>
      <c r="S704">
        <v>0.2</v>
      </c>
      <c r="T704">
        <v>0.02</v>
      </c>
      <c r="U704" s="8">
        <f>Table3[[#This Row],[PrimaNeta]]*Table3[[#This Row],[Comisión]]</f>
        <v>726.1812996000001</v>
      </c>
      <c r="V704" s="15">
        <f>Table3[[#This Row],[PrimaComercial Anual]]-Table3[[#This Row],[PrimaComercial Anual]]*SUM(Table3[[#This Row],[APS]:[IVA]])</f>
        <v>3630.9064980000003</v>
      </c>
      <c r="W704" s="2">
        <v>1.4800000000000001E-2</v>
      </c>
      <c r="X704" s="2">
        <v>8.4501000000000007E-2</v>
      </c>
      <c r="Y704">
        <v>0.03</v>
      </c>
      <c r="Z704">
        <v>0.13</v>
      </c>
      <c r="AA704" s="20">
        <f>Table3[[#This Row],[APS]]*Table3[[#This Row],[PrimaComercial Anual]]</f>
        <v>72.549599999999998</v>
      </c>
      <c r="AB704" s="8">
        <f>Table3[[#This Row],[PrimaComercial Anual]]*Table3[[#This Row],[Recargo adicional]]</f>
        <v>414.22390200000001</v>
      </c>
      <c r="AC704" s="8">
        <f>Table3[[#This Row],[PrimaComercial Anual]]*Table3[[#This Row],[IT]]</f>
        <v>147.06</v>
      </c>
      <c r="AD704" s="8">
        <f>Table3[[#This Row],[PrimaComercial Anual]]*Table3[[#This Row],[IVA]]</f>
        <v>637.26</v>
      </c>
      <c r="AE704" s="15">
        <f>Table3[[#This Row],[PrimaComercial Anual Asistencia]]</f>
        <v>4902</v>
      </c>
      <c r="AG704">
        <v>4902</v>
      </c>
    </row>
    <row r="705" spans="1:33" x14ac:dyDescent="0.25">
      <c r="A705" t="s">
        <v>17</v>
      </c>
      <c r="B705">
        <v>700001</v>
      </c>
      <c r="C705">
        <v>10</v>
      </c>
      <c r="D705" s="2">
        <f>Table3[[#This Row],[PrimaTécnica]]-Table3[[#This Row],[PrimaTécnica]]*SUM(Table3[[#This Row],[Gastos Adm]:[Cobranza]])</f>
        <v>2108.5490387520003</v>
      </c>
      <c r="E705">
        <v>0</v>
      </c>
      <c r="F705">
        <v>0.15</v>
      </c>
      <c r="G705">
        <v>0.05</v>
      </c>
      <c r="H705">
        <v>0.01</v>
      </c>
      <c r="I705">
        <v>0.01</v>
      </c>
      <c r="J705" s="8">
        <f>Table3[[#This Row],[PrimaTécnica]]*Table3[[#This Row],[Gastos Adm]]</f>
        <v>405.49019976000005</v>
      </c>
      <c r="K705" s="8">
        <f>Table3[[#This Row],[PrimaTécnica]]*Table3[[#This Row],[Utilidad]]</f>
        <v>135.16339992000005</v>
      </c>
      <c r="L705" s="8">
        <f>Table3[[#This Row],[PrimaTécnica]]*Table3[[#This Row],[Marketing]]</f>
        <v>27.032679984000005</v>
      </c>
      <c r="M705" s="8">
        <f>Table3[[#This Row],[PrimaTécnica]]*Table3[[#This Row],[Cobranza]]</f>
        <v>27.032679984000005</v>
      </c>
      <c r="N70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705">
        <v>21.84</v>
      </c>
      <c r="P705">
        <v>54.6</v>
      </c>
      <c r="Q705">
        <v>80.64</v>
      </c>
      <c r="R705">
        <v>44.377200000000002</v>
      </c>
      <c r="S705">
        <v>0.2</v>
      </c>
      <c r="T705">
        <v>0.02</v>
      </c>
      <c r="U705" s="8">
        <f>Table3[[#This Row],[PrimaNeta]]*Table3[[#This Row],[Comisión]]</f>
        <v>726.1812996000001</v>
      </c>
      <c r="V705" s="15">
        <f>Table3[[#This Row],[PrimaComercial Anual]]-Table3[[#This Row],[PrimaComercial Anual]]*SUM(Table3[[#This Row],[APS]:[IVA]])</f>
        <v>3630.9064980000003</v>
      </c>
      <c r="W705" s="2">
        <v>1.4800000000000001E-2</v>
      </c>
      <c r="X705" s="2">
        <v>8.4501000000000007E-2</v>
      </c>
      <c r="Y705">
        <v>0.03</v>
      </c>
      <c r="Z705">
        <v>0.13</v>
      </c>
      <c r="AA705" s="20">
        <f>Table3[[#This Row],[APS]]*Table3[[#This Row],[PrimaComercial Anual]]</f>
        <v>72.549599999999998</v>
      </c>
      <c r="AB705" s="8">
        <f>Table3[[#This Row],[PrimaComercial Anual]]*Table3[[#This Row],[Recargo adicional]]</f>
        <v>414.22390200000001</v>
      </c>
      <c r="AC705" s="8">
        <f>Table3[[#This Row],[PrimaComercial Anual]]*Table3[[#This Row],[IT]]</f>
        <v>147.06</v>
      </c>
      <c r="AD705" s="8">
        <f>Table3[[#This Row],[PrimaComercial Anual]]*Table3[[#This Row],[IVA]]</f>
        <v>637.26</v>
      </c>
      <c r="AE705" s="15">
        <f>Table3[[#This Row],[PrimaComercial Anual Asistencia]]</f>
        <v>4902</v>
      </c>
      <c r="AG705">
        <v>4902</v>
      </c>
    </row>
    <row r="706" spans="1:33" x14ac:dyDescent="0.25">
      <c r="A706" t="s">
        <v>17</v>
      </c>
      <c r="B706">
        <v>700001</v>
      </c>
      <c r="C706">
        <v>11</v>
      </c>
      <c r="D706" s="2">
        <f>Table3[[#This Row],[PrimaTécnica]]-Table3[[#This Row],[PrimaTécnica]]*SUM(Table3[[#This Row],[Gastos Adm]:[Cobranza]])</f>
        <v>2108.5490387520003</v>
      </c>
      <c r="E706">
        <v>0</v>
      </c>
      <c r="F706">
        <v>0.15</v>
      </c>
      <c r="G706">
        <v>0.05</v>
      </c>
      <c r="H706">
        <v>0.01</v>
      </c>
      <c r="I706">
        <v>0.01</v>
      </c>
      <c r="J706" s="8">
        <f>Table3[[#This Row],[PrimaTécnica]]*Table3[[#This Row],[Gastos Adm]]</f>
        <v>405.49019976000005</v>
      </c>
      <c r="K706" s="8">
        <f>Table3[[#This Row],[PrimaTécnica]]*Table3[[#This Row],[Utilidad]]</f>
        <v>135.16339992000005</v>
      </c>
      <c r="L706" s="8">
        <f>Table3[[#This Row],[PrimaTécnica]]*Table3[[#This Row],[Marketing]]</f>
        <v>27.032679984000005</v>
      </c>
      <c r="M706" s="8">
        <f>Table3[[#This Row],[PrimaTécnica]]*Table3[[#This Row],[Cobranza]]</f>
        <v>27.032679984000005</v>
      </c>
      <c r="N70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706">
        <v>21.84</v>
      </c>
      <c r="P706">
        <v>54.6</v>
      </c>
      <c r="Q706">
        <v>80.64</v>
      </c>
      <c r="R706">
        <v>44.377200000000002</v>
      </c>
      <c r="S706">
        <v>0.2</v>
      </c>
      <c r="T706">
        <v>0.02</v>
      </c>
      <c r="U706" s="8">
        <f>Table3[[#This Row],[PrimaNeta]]*Table3[[#This Row],[Comisión]]</f>
        <v>726.1812996000001</v>
      </c>
      <c r="V706" s="15">
        <f>Table3[[#This Row],[PrimaComercial Anual]]-Table3[[#This Row],[PrimaComercial Anual]]*SUM(Table3[[#This Row],[APS]:[IVA]])</f>
        <v>3630.9064980000003</v>
      </c>
      <c r="W706" s="2">
        <v>1.4800000000000001E-2</v>
      </c>
      <c r="X706" s="2">
        <v>8.4501000000000007E-2</v>
      </c>
      <c r="Y706">
        <v>0.03</v>
      </c>
      <c r="Z706">
        <v>0.13</v>
      </c>
      <c r="AA706" s="20">
        <f>Table3[[#This Row],[APS]]*Table3[[#This Row],[PrimaComercial Anual]]</f>
        <v>72.549599999999998</v>
      </c>
      <c r="AB706" s="8">
        <f>Table3[[#This Row],[PrimaComercial Anual]]*Table3[[#This Row],[Recargo adicional]]</f>
        <v>414.22390200000001</v>
      </c>
      <c r="AC706" s="8">
        <f>Table3[[#This Row],[PrimaComercial Anual]]*Table3[[#This Row],[IT]]</f>
        <v>147.06</v>
      </c>
      <c r="AD706" s="8">
        <f>Table3[[#This Row],[PrimaComercial Anual]]*Table3[[#This Row],[IVA]]</f>
        <v>637.26</v>
      </c>
      <c r="AE706" s="15">
        <f>Table3[[#This Row],[PrimaComercial Anual Asistencia]]</f>
        <v>4902</v>
      </c>
      <c r="AG706">
        <v>4902</v>
      </c>
    </row>
    <row r="707" spans="1:33" x14ac:dyDescent="0.25">
      <c r="A707" t="s">
        <v>17</v>
      </c>
      <c r="B707">
        <v>700001</v>
      </c>
      <c r="C707">
        <v>12</v>
      </c>
      <c r="D707" s="2">
        <f>Table3[[#This Row],[PrimaTécnica]]-Table3[[#This Row],[PrimaTécnica]]*SUM(Table3[[#This Row],[Gastos Adm]:[Cobranza]])</f>
        <v>2108.5490387520003</v>
      </c>
      <c r="E707">
        <v>0</v>
      </c>
      <c r="F707">
        <v>0.15</v>
      </c>
      <c r="G707">
        <v>0.05</v>
      </c>
      <c r="H707">
        <v>0.01</v>
      </c>
      <c r="I707">
        <v>0.01</v>
      </c>
      <c r="J707" s="8">
        <f>Table3[[#This Row],[PrimaTécnica]]*Table3[[#This Row],[Gastos Adm]]</f>
        <v>405.49019976000005</v>
      </c>
      <c r="K707" s="8">
        <f>Table3[[#This Row],[PrimaTécnica]]*Table3[[#This Row],[Utilidad]]</f>
        <v>135.16339992000005</v>
      </c>
      <c r="L707" s="8">
        <f>Table3[[#This Row],[PrimaTécnica]]*Table3[[#This Row],[Marketing]]</f>
        <v>27.032679984000005</v>
      </c>
      <c r="M707" s="8">
        <f>Table3[[#This Row],[PrimaTécnica]]*Table3[[#This Row],[Cobranza]]</f>
        <v>27.032679984000005</v>
      </c>
      <c r="N70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707">
        <v>21.84</v>
      </c>
      <c r="P707">
        <v>54.6</v>
      </c>
      <c r="Q707">
        <v>80.64</v>
      </c>
      <c r="R707">
        <v>44.377200000000002</v>
      </c>
      <c r="S707">
        <v>0.2</v>
      </c>
      <c r="T707">
        <v>0.02</v>
      </c>
      <c r="U707" s="8">
        <f>Table3[[#This Row],[PrimaNeta]]*Table3[[#This Row],[Comisión]]</f>
        <v>726.1812996000001</v>
      </c>
      <c r="V707" s="15">
        <f>Table3[[#This Row],[PrimaComercial Anual]]-Table3[[#This Row],[PrimaComercial Anual]]*SUM(Table3[[#This Row],[APS]:[IVA]])</f>
        <v>3630.9064980000003</v>
      </c>
      <c r="W707" s="2">
        <v>1.4800000000000001E-2</v>
      </c>
      <c r="X707" s="2">
        <v>8.4501000000000007E-2</v>
      </c>
      <c r="Y707">
        <v>0.03</v>
      </c>
      <c r="Z707">
        <v>0.13</v>
      </c>
      <c r="AA707" s="20">
        <f>Table3[[#This Row],[APS]]*Table3[[#This Row],[PrimaComercial Anual]]</f>
        <v>72.549599999999998</v>
      </c>
      <c r="AB707" s="8">
        <f>Table3[[#This Row],[PrimaComercial Anual]]*Table3[[#This Row],[Recargo adicional]]</f>
        <v>414.22390200000001</v>
      </c>
      <c r="AC707" s="8">
        <f>Table3[[#This Row],[PrimaComercial Anual]]*Table3[[#This Row],[IT]]</f>
        <v>147.06</v>
      </c>
      <c r="AD707" s="8">
        <f>Table3[[#This Row],[PrimaComercial Anual]]*Table3[[#This Row],[IVA]]</f>
        <v>637.26</v>
      </c>
      <c r="AE707" s="15">
        <f>Table3[[#This Row],[PrimaComercial Anual Asistencia]]</f>
        <v>4902</v>
      </c>
      <c r="AG707">
        <v>4902</v>
      </c>
    </row>
    <row r="708" spans="1:33" x14ac:dyDescent="0.25">
      <c r="A708" t="s">
        <v>17</v>
      </c>
      <c r="B708">
        <v>700001</v>
      </c>
      <c r="C708">
        <v>13</v>
      </c>
      <c r="D708" s="2">
        <f>Table3[[#This Row],[PrimaTécnica]]-Table3[[#This Row],[PrimaTécnica]]*SUM(Table3[[#This Row],[Gastos Adm]:[Cobranza]])</f>
        <v>2108.5490387520003</v>
      </c>
      <c r="E708">
        <v>0</v>
      </c>
      <c r="F708">
        <v>0.15</v>
      </c>
      <c r="G708">
        <v>0.05</v>
      </c>
      <c r="H708">
        <v>0.01</v>
      </c>
      <c r="I708">
        <v>0.01</v>
      </c>
      <c r="J708" s="8">
        <f>Table3[[#This Row],[PrimaTécnica]]*Table3[[#This Row],[Gastos Adm]]</f>
        <v>405.49019976000005</v>
      </c>
      <c r="K708" s="8">
        <f>Table3[[#This Row],[PrimaTécnica]]*Table3[[#This Row],[Utilidad]]</f>
        <v>135.16339992000005</v>
      </c>
      <c r="L708" s="8">
        <f>Table3[[#This Row],[PrimaTécnica]]*Table3[[#This Row],[Marketing]]</f>
        <v>27.032679984000005</v>
      </c>
      <c r="M708" s="8">
        <f>Table3[[#This Row],[PrimaTécnica]]*Table3[[#This Row],[Cobranza]]</f>
        <v>27.032679984000005</v>
      </c>
      <c r="N70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708">
        <v>21.84</v>
      </c>
      <c r="P708">
        <v>54.6</v>
      </c>
      <c r="Q708">
        <v>80.64</v>
      </c>
      <c r="R708">
        <v>44.377200000000002</v>
      </c>
      <c r="S708">
        <v>0.2</v>
      </c>
      <c r="T708">
        <v>0.02</v>
      </c>
      <c r="U708" s="8">
        <f>Table3[[#This Row],[PrimaNeta]]*Table3[[#This Row],[Comisión]]</f>
        <v>726.1812996000001</v>
      </c>
      <c r="V708" s="15">
        <f>Table3[[#This Row],[PrimaComercial Anual]]-Table3[[#This Row],[PrimaComercial Anual]]*SUM(Table3[[#This Row],[APS]:[IVA]])</f>
        <v>3630.9064980000003</v>
      </c>
      <c r="W708" s="2">
        <v>1.4800000000000001E-2</v>
      </c>
      <c r="X708" s="2">
        <v>8.4501000000000007E-2</v>
      </c>
      <c r="Y708">
        <v>0.03</v>
      </c>
      <c r="Z708">
        <v>0.13</v>
      </c>
      <c r="AA708" s="20">
        <f>Table3[[#This Row],[APS]]*Table3[[#This Row],[PrimaComercial Anual]]</f>
        <v>72.549599999999998</v>
      </c>
      <c r="AB708" s="8">
        <f>Table3[[#This Row],[PrimaComercial Anual]]*Table3[[#This Row],[Recargo adicional]]</f>
        <v>414.22390200000001</v>
      </c>
      <c r="AC708" s="8">
        <f>Table3[[#This Row],[PrimaComercial Anual]]*Table3[[#This Row],[IT]]</f>
        <v>147.06</v>
      </c>
      <c r="AD708" s="8">
        <f>Table3[[#This Row],[PrimaComercial Anual]]*Table3[[#This Row],[IVA]]</f>
        <v>637.26</v>
      </c>
      <c r="AE708" s="15">
        <f>Table3[[#This Row],[PrimaComercial Anual Asistencia]]</f>
        <v>4902</v>
      </c>
      <c r="AG708">
        <v>4902</v>
      </c>
    </row>
    <row r="709" spans="1:33" x14ac:dyDescent="0.25">
      <c r="A709" t="s">
        <v>17</v>
      </c>
      <c r="B709">
        <v>700001</v>
      </c>
      <c r="C709">
        <v>14</v>
      </c>
      <c r="D709" s="2">
        <f>Table3[[#This Row],[PrimaTécnica]]-Table3[[#This Row],[PrimaTécnica]]*SUM(Table3[[#This Row],[Gastos Adm]:[Cobranza]])</f>
        <v>2108.5490387520003</v>
      </c>
      <c r="E709">
        <v>0</v>
      </c>
      <c r="F709">
        <v>0.15</v>
      </c>
      <c r="G709">
        <v>0.05</v>
      </c>
      <c r="H709">
        <v>0.01</v>
      </c>
      <c r="I709">
        <v>0.01</v>
      </c>
      <c r="J709" s="8">
        <f>Table3[[#This Row],[PrimaTécnica]]*Table3[[#This Row],[Gastos Adm]]</f>
        <v>405.49019976000005</v>
      </c>
      <c r="K709" s="8">
        <f>Table3[[#This Row],[PrimaTécnica]]*Table3[[#This Row],[Utilidad]]</f>
        <v>135.16339992000005</v>
      </c>
      <c r="L709" s="8">
        <f>Table3[[#This Row],[PrimaTécnica]]*Table3[[#This Row],[Marketing]]</f>
        <v>27.032679984000005</v>
      </c>
      <c r="M709" s="8">
        <f>Table3[[#This Row],[PrimaTécnica]]*Table3[[#This Row],[Cobranza]]</f>
        <v>27.032679984000005</v>
      </c>
      <c r="N70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709">
        <v>21.84</v>
      </c>
      <c r="P709">
        <v>54.6</v>
      </c>
      <c r="Q709">
        <v>80.64</v>
      </c>
      <c r="R709">
        <v>44.377200000000002</v>
      </c>
      <c r="S709">
        <v>0.2</v>
      </c>
      <c r="T709">
        <v>0.02</v>
      </c>
      <c r="U709" s="8">
        <f>Table3[[#This Row],[PrimaNeta]]*Table3[[#This Row],[Comisión]]</f>
        <v>726.1812996000001</v>
      </c>
      <c r="V709" s="15">
        <f>Table3[[#This Row],[PrimaComercial Anual]]-Table3[[#This Row],[PrimaComercial Anual]]*SUM(Table3[[#This Row],[APS]:[IVA]])</f>
        <v>3630.9064980000003</v>
      </c>
      <c r="W709" s="2">
        <v>1.4800000000000001E-2</v>
      </c>
      <c r="X709" s="2">
        <v>8.4501000000000007E-2</v>
      </c>
      <c r="Y709">
        <v>0.03</v>
      </c>
      <c r="Z709">
        <v>0.13</v>
      </c>
      <c r="AA709" s="20">
        <f>Table3[[#This Row],[APS]]*Table3[[#This Row],[PrimaComercial Anual]]</f>
        <v>72.549599999999998</v>
      </c>
      <c r="AB709" s="8">
        <f>Table3[[#This Row],[PrimaComercial Anual]]*Table3[[#This Row],[Recargo adicional]]</f>
        <v>414.22390200000001</v>
      </c>
      <c r="AC709" s="8">
        <f>Table3[[#This Row],[PrimaComercial Anual]]*Table3[[#This Row],[IT]]</f>
        <v>147.06</v>
      </c>
      <c r="AD709" s="8">
        <f>Table3[[#This Row],[PrimaComercial Anual]]*Table3[[#This Row],[IVA]]</f>
        <v>637.26</v>
      </c>
      <c r="AE709" s="15">
        <f>Table3[[#This Row],[PrimaComercial Anual Asistencia]]</f>
        <v>4902</v>
      </c>
      <c r="AG709">
        <v>4902</v>
      </c>
    </row>
    <row r="710" spans="1:33" x14ac:dyDescent="0.25">
      <c r="A710" t="s">
        <v>17</v>
      </c>
      <c r="B710">
        <v>700001</v>
      </c>
      <c r="C710">
        <v>15</v>
      </c>
      <c r="D710" s="2">
        <f>Table3[[#This Row],[PrimaTécnica]]-Table3[[#This Row],[PrimaTécnica]]*SUM(Table3[[#This Row],[Gastos Adm]:[Cobranza]])</f>
        <v>2108.5490387520003</v>
      </c>
      <c r="E710">
        <v>0</v>
      </c>
      <c r="F710">
        <v>0.15</v>
      </c>
      <c r="G710">
        <v>0.05</v>
      </c>
      <c r="H710">
        <v>0.01</v>
      </c>
      <c r="I710">
        <v>0.01</v>
      </c>
      <c r="J710" s="8">
        <f>Table3[[#This Row],[PrimaTécnica]]*Table3[[#This Row],[Gastos Adm]]</f>
        <v>405.49019976000005</v>
      </c>
      <c r="K710" s="8">
        <f>Table3[[#This Row],[PrimaTécnica]]*Table3[[#This Row],[Utilidad]]</f>
        <v>135.16339992000005</v>
      </c>
      <c r="L710" s="8">
        <f>Table3[[#This Row],[PrimaTécnica]]*Table3[[#This Row],[Marketing]]</f>
        <v>27.032679984000005</v>
      </c>
      <c r="M710" s="8">
        <f>Table3[[#This Row],[PrimaTécnica]]*Table3[[#This Row],[Cobranza]]</f>
        <v>27.032679984000005</v>
      </c>
      <c r="N71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710">
        <v>21.84</v>
      </c>
      <c r="P710">
        <v>54.6</v>
      </c>
      <c r="Q710">
        <v>80.64</v>
      </c>
      <c r="R710">
        <v>44.377200000000002</v>
      </c>
      <c r="S710">
        <v>0.2</v>
      </c>
      <c r="T710">
        <v>0.02</v>
      </c>
      <c r="U710" s="8">
        <f>Table3[[#This Row],[PrimaNeta]]*Table3[[#This Row],[Comisión]]</f>
        <v>726.1812996000001</v>
      </c>
      <c r="V710" s="15">
        <f>Table3[[#This Row],[PrimaComercial Anual]]-Table3[[#This Row],[PrimaComercial Anual]]*SUM(Table3[[#This Row],[APS]:[IVA]])</f>
        <v>3630.9064980000003</v>
      </c>
      <c r="W710" s="2">
        <v>1.4800000000000001E-2</v>
      </c>
      <c r="X710" s="2">
        <v>8.4501000000000007E-2</v>
      </c>
      <c r="Y710">
        <v>0.03</v>
      </c>
      <c r="Z710">
        <v>0.13</v>
      </c>
      <c r="AA710" s="20">
        <f>Table3[[#This Row],[APS]]*Table3[[#This Row],[PrimaComercial Anual]]</f>
        <v>72.549599999999998</v>
      </c>
      <c r="AB710" s="8">
        <f>Table3[[#This Row],[PrimaComercial Anual]]*Table3[[#This Row],[Recargo adicional]]</f>
        <v>414.22390200000001</v>
      </c>
      <c r="AC710" s="8">
        <f>Table3[[#This Row],[PrimaComercial Anual]]*Table3[[#This Row],[IT]]</f>
        <v>147.06</v>
      </c>
      <c r="AD710" s="8">
        <f>Table3[[#This Row],[PrimaComercial Anual]]*Table3[[#This Row],[IVA]]</f>
        <v>637.26</v>
      </c>
      <c r="AE710" s="15">
        <f>Table3[[#This Row],[PrimaComercial Anual Asistencia]]</f>
        <v>4902</v>
      </c>
      <c r="AG710">
        <v>4902</v>
      </c>
    </row>
    <row r="711" spans="1:33" x14ac:dyDescent="0.25">
      <c r="A711" t="s">
        <v>17</v>
      </c>
      <c r="B711">
        <v>700001</v>
      </c>
      <c r="C711">
        <v>16</v>
      </c>
      <c r="D711" s="2">
        <f>Table3[[#This Row],[PrimaTécnica]]-Table3[[#This Row],[PrimaTécnica]]*SUM(Table3[[#This Row],[Gastos Adm]:[Cobranza]])</f>
        <v>2108.5490387520003</v>
      </c>
      <c r="E711">
        <v>0</v>
      </c>
      <c r="F711">
        <v>0.15</v>
      </c>
      <c r="G711">
        <v>0.05</v>
      </c>
      <c r="H711">
        <v>0.01</v>
      </c>
      <c r="I711">
        <v>0.01</v>
      </c>
      <c r="J711" s="8">
        <f>Table3[[#This Row],[PrimaTécnica]]*Table3[[#This Row],[Gastos Adm]]</f>
        <v>405.49019976000005</v>
      </c>
      <c r="K711" s="8">
        <f>Table3[[#This Row],[PrimaTécnica]]*Table3[[#This Row],[Utilidad]]</f>
        <v>135.16339992000005</v>
      </c>
      <c r="L711" s="8">
        <f>Table3[[#This Row],[PrimaTécnica]]*Table3[[#This Row],[Marketing]]</f>
        <v>27.032679984000005</v>
      </c>
      <c r="M711" s="8">
        <f>Table3[[#This Row],[PrimaTécnica]]*Table3[[#This Row],[Cobranza]]</f>
        <v>27.032679984000005</v>
      </c>
      <c r="N71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711">
        <v>21.84</v>
      </c>
      <c r="P711">
        <v>54.6</v>
      </c>
      <c r="Q711">
        <v>80.64</v>
      </c>
      <c r="R711">
        <v>44.377200000000002</v>
      </c>
      <c r="S711">
        <v>0.2</v>
      </c>
      <c r="T711">
        <v>0.02</v>
      </c>
      <c r="U711" s="8">
        <f>Table3[[#This Row],[PrimaNeta]]*Table3[[#This Row],[Comisión]]</f>
        <v>726.1812996000001</v>
      </c>
      <c r="V711" s="15">
        <f>Table3[[#This Row],[PrimaComercial Anual]]-Table3[[#This Row],[PrimaComercial Anual]]*SUM(Table3[[#This Row],[APS]:[IVA]])</f>
        <v>3630.9064980000003</v>
      </c>
      <c r="W711" s="2">
        <v>1.4800000000000001E-2</v>
      </c>
      <c r="X711" s="2">
        <v>8.4501000000000007E-2</v>
      </c>
      <c r="Y711">
        <v>0.03</v>
      </c>
      <c r="Z711">
        <v>0.13</v>
      </c>
      <c r="AA711" s="20">
        <f>Table3[[#This Row],[APS]]*Table3[[#This Row],[PrimaComercial Anual]]</f>
        <v>72.549599999999998</v>
      </c>
      <c r="AB711" s="8">
        <f>Table3[[#This Row],[PrimaComercial Anual]]*Table3[[#This Row],[Recargo adicional]]</f>
        <v>414.22390200000001</v>
      </c>
      <c r="AC711" s="8">
        <f>Table3[[#This Row],[PrimaComercial Anual]]*Table3[[#This Row],[IT]]</f>
        <v>147.06</v>
      </c>
      <c r="AD711" s="8">
        <f>Table3[[#This Row],[PrimaComercial Anual]]*Table3[[#This Row],[IVA]]</f>
        <v>637.26</v>
      </c>
      <c r="AE711" s="15">
        <f>Table3[[#This Row],[PrimaComercial Anual Asistencia]]</f>
        <v>4902</v>
      </c>
      <c r="AG711">
        <v>4902</v>
      </c>
    </row>
    <row r="712" spans="1:33" x14ac:dyDescent="0.25">
      <c r="A712" t="s">
        <v>17</v>
      </c>
      <c r="B712">
        <v>700001</v>
      </c>
      <c r="C712">
        <v>17</v>
      </c>
      <c r="D712" s="2">
        <f>Table3[[#This Row],[PrimaTécnica]]-Table3[[#This Row],[PrimaTécnica]]*SUM(Table3[[#This Row],[Gastos Adm]:[Cobranza]])</f>
        <v>2108.5490387520003</v>
      </c>
      <c r="E712">
        <v>0</v>
      </c>
      <c r="F712">
        <v>0.15</v>
      </c>
      <c r="G712">
        <v>0.05</v>
      </c>
      <c r="H712">
        <v>0.01</v>
      </c>
      <c r="I712">
        <v>0.01</v>
      </c>
      <c r="J712" s="8">
        <f>Table3[[#This Row],[PrimaTécnica]]*Table3[[#This Row],[Gastos Adm]]</f>
        <v>405.49019976000005</v>
      </c>
      <c r="K712" s="8">
        <f>Table3[[#This Row],[PrimaTécnica]]*Table3[[#This Row],[Utilidad]]</f>
        <v>135.16339992000005</v>
      </c>
      <c r="L712" s="8">
        <f>Table3[[#This Row],[PrimaTécnica]]*Table3[[#This Row],[Marketing]]</f>
        <v>27.032679984000005</v>
      </c>
      <c r="M712" s="8">
        <f>Table3[[#This Row],[PrimaTécnica]]*Table3[[#This Row],[Cobranza]]</f>
        <v>27.032679984000005</v>
      </c>
      <c r="N71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712">
        <v>21.84</v>
      </c>
      <c r="P712">
        <v>54.6</v>
      </c>
      <c r="Q712">
        <v>80.64</v>
      </c>
      <c r="R712">
        <v>44.377200000000002</v>
      </c>
      <c r="S712">
        <v>0.2</v>
      </c>
      <c r="T712">
        <v>0.02</v>
      </c>
      <c r="U712" s="8">
        <f>Table3[[#This Row],[PrimaNeta]]*Table3[[#This Row],[Comisión]]</f>
        <v>726.1812996000001</v>
      </c>
      <c r="V712" s="15">
        <f>Table3[[#This Row],[PrimaComercial Anual]]-Table3[[#This Row],[PrimaComercial Anual]]*SUM(Table3[[#This Row],[APS]:[IVA]])</f>
        <v>3630.9064980000003</v>
      </c>
      <c r="W712" s="2">
        <v>1.4800000000000001E-2</v>
      </c>
      <c r="X712" s="2">
        <v>8.4501000000000007E-2</v>
      </c>
      <c r="Y712">
        <v>0.03</v>
      </c>
      <c r="Z712">
        <v>0.13</v>
      </c>
      <c r="AA712" s="20">
        <f>Table3[[#This Row],[APS]]*Table3[[#This Row],[PrimaComercial Anual]]</f>
        <v>72.549599999999998</v>
      </c>
      <c r="AB712" s="8">
        <f>Table3[[#This Row],[PrimaComercial Anual]]*Table3[[#This Row],[Recargo adicional]]</f>
        <v>414.22390200000001</v>
      </c>
      <c r="AC712" s="8">
        <f>Table3[[#This Row],[PrimaComercial Anual]]*Table3[[#This Row],[IT]]</f>
        <v>147.06</v>
      </c>
      <c r="AD712" s="8">
        <f>Table3[[#This Row],[PrimaComercial Anual]]*Table3[[#This Row],[IVA]]</f>
        <v>637.26</v>
      </c>
      <c r="AE712" s="15">
        <f>Table3[[#This Row],[PrimaComercial Anual Asistencia]]</f>
        <v>4902</v>
      </c>
      <c r="AG712">
        <v>4902</v>
      </c>
    </row>
    <row r="713" spans="1:33" x14ac:dyDescent="0.25">
      <c r="A713" t="s">
        <v>17</v>
      </c>
      <c r="B713">
        <v>700001</v>
      </c>
      <c r="C713">
        <v>18</v>
      </c>
      <c r="D713" s="2">
        <f>Table3[[#This Row],[PrimaTécnica]]-Table3[[#This Row],[PrimaTécnica]]*SUM(Table3[[#This Row],[Gastos Adm]:[Cobranza]])</f>
        <v>2108.5490387520003</v>
      </c>
      <c r="E713">
        <v>0</v>
      </c>
      <c r="F713">
        <v>0.15</v>
      </c>
      <c r="G713">
        <v>0.05</v>
      </c>
      <c r="H713">
        <v>0.01</v>
      </c>
      <c r="I713">
        <v>0.01</v>
      </c>
      <c r="J713" s="8">
        <f>Table3[[#This Row],[PrimaTécnica]]*Table3[[#This Row],[Gastos Adm]]</f>
        <v>405.49019976000005</v>
      </c>
      <c r="K713" s="8">
        <f>Table3[[#This Row],[PrimaTécnica]]*Table3[[#This Row],[Utilidad]]</f>
        <v>135.16339992000005</v>
      </c>
      <c r="L713" s="8">
        <f>Table3[[#This Row],[PrimaTécnica]]*Table3[[#This Row],[Marketing]]</f>
        <v>27.032679984000005</v>
      </c>
      <c r="M713" s="8">
        <f>Table3[[#This Row],[PrimaTécnica]]*Table3[[#This Row],[Cobranza]]</f>
        <v>27.032679984000005</v>
      </c>
      <c r="N71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2703.2679984000006</v>
      </c>
      <c r="O713">
        <v>21.84</v>
      </c>
      <c r="P713">
        <v>54.6</v>
      </c>
      <c r="Q713">
        <v>80.64</v>
      </c>
      <c r="R713">
        <v>44.377200000000002</v>
      </c>
      <c r="S713">
        <v>0.2</v>
      </c>
      <c r="T713">
        <v>0.02</v>
      </c>
      <c r="U713" s="8">
        <f>Table3[[#This Row],[PrimaNeta]]*Table3[[#This Row],[Comisión]]</f>
        <v>726.1812996000001</v>
      </c>
      <c r="V713" s="15">
        <f>Table3[[#This Row],[PrimaComercial Anual]]-Table3[[#This Row],[PrimaComercial Anual]]*SUM(Table3[[#This Row],[APS]:[IVA]])</f>
        <v>3630.9064980000003</v>
      </c>
      <c r="W713" s="2">
        <v>1.4800000000000001E-2</v>
      </c>
      <c r="X713" s="2">
        <v>8.4501000000000007E-2</v>
      </c>
      <c r="Y713">
        <v>0.03</v>
      </c>
      <c r="Z713">
        <v>0.13</v>
      </c>
      <c r="AA713" s="20">
        <f>Table3[[#This Row],[APS]]*Table3[[#This Row],[PrimaComercial Anual]]</f>
        <v>72.549599999999998</v>
      </c>
      <c r="AB713" s="8">
        <f>Table3[[#This Row],[PrimaComercial Anual]]*Table3[[#This Row],[Recargo adicional]]</f>
        <v>414.22390200000001</v>
      </c>
      <c r="AC713" s="8">
        <f>Table3[[#This Row],[PrimaComercial Anual]]*Table3[[#This Row],[IT]]</f>
        <v>147.06</v>
      </c>
      <c r="AD713" s="8">
        <f>Table3[[#This Row],[PrimaComercial Anual]]*Table3[[#This Row],[IVA]]</f>
        <v>637.26</v>
      </c>
      <c r="AE713" s="15">
        <f>Table3[[#This Row],[PrimaComercial Anual Asistencia]]</f>
        <v>4902</v>
      </c>
      <c r="AG713">
        <v>4902</v>
      </c>
    </row>
    <row r="714" spans="1:33" x14ac:dyDescent="0.25">
      <c r="A714" t="s">
        <v>17</v>
      </c>
      <c r="B714">
        <v>700001</v>
      </c>
      <c r="C714">
        <v>19</v>
      </c>
      <c r="D714" s="2">
        <f>Table3[[#This Row],[PrimaTécnica]]-Table3[[#This Row],[PrimaTécnica]]*SUM(Table3[[#This Row],[Gastos Adm]:[Cobranza]])</f>
        <v>1997.8992742176001</v>
      </c>
      <c r="E714">
        <v>0</v>
      </c>
      <c r="F714">
        <v>0.15</v>
      </c>
      <c r="G714">
        <v>0.05</v>
      </c>
      <c r="H714">
        <v>0.01</v>
      </c>
      <c r="I714">
        <v>0.01</v>
      </c>
      <c r="J714" s="8">
        <f>Table3[[#This Row],[PrimaTécnica]]*Table3[[#This Row],[Gastos Adm]]</f>
        <v>384.21139888800002</v>
      </c>
      <c r="K714" s="8">
        <f>Table3[[#This Row],[PrimaTécnica]]*Table3[[#This Row],[Utilidad]]</f>
        <v>128.07046629600003</v>
      </c>
      <c r="L714" s="8">
        <f>Table3[[#This Row],[PrimaTécnica]]*Table3[[#This Row],[Marketing]]</f>
        <v>25.614093259200004</v>
      </c>
      <c r="M714" s="8">
        <f>Table3[[#This Row],[PrimaTécnica]]*Table3[[#This Row],[Cobranza]]</f>
        <v>25.614093259200004</v>
      </c>
      <c r="N71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714">
        <v>21.84</v>
      </c>
      <c r="P714">
        <v>54.6</v>
      </c>
      <c r="Q714">
        <v>80.64</v>
      </c>
      <c r="R714">
        <v>44.377200000000002</v>
      </c>
      <c r="S714">
        <v>0.2</v>
      </c>
      <c r="T714">
        <v>0.02</v>
      </c>
      <c r="U714" s="8">
        <f>Table3[[#This Row],[PrimaNeta]]*Table3[[#This Row],[Comisión]]</f>
        <v>690.71663148000016</v>
      </c>
      <c r="V714" s="15">
        <f>Table3[[#This Row],[PrimaComercial Anual]]-Table3[[#This Row],[PrimaComercial Anual]]*SUM(Table3[[#This Row],[APS]:[IVA]])</f>
        <v>3453.5831574000003</v>
      </c>
      <c r="W714" s="2">
        <v>1.4800000000000001E-2</v>
      </c>
      <c r="X714" s="2">
        <v>8.4501000000000007E-2</v>
      </c>
      <c r="Y714">
        <v>0.03</v>
      </c>
      <c r="Z714">
        <v>0.13</v>
      </c>
      <c r="AA714" s="20">
        <f>Table3[[#This Row],[APS]]*Table3[[#This Row],[PrimaComercial Anual]]</f>
        <v>69.00648000000001</v>
      </c>
      <c r="AB714" s="8">
        <f>Table3[[#This Row],[PrimaComercial Anual]]*Table3[[#This Row],[Recargo adicional]]</f>
        <v>393.99436260000004</v>
      </c>
      <c r="AC714" s="8">
        <f>Table3[[#This Row],[PrimaComercial Anual]]*Table3[[#This Row],[IT]]</f>
        <v>139.87800000000001</v>
      </c>
      <c r="AD714" s="8">
        <f>Table3[[#This Row],[PrimaComercial Anual]]*Table3[[#This Row],[IVA]]</f>
        <v>606.13800000000003</v>
      </c>
      <c r="AE714" s="15">
        <f>Table3[[#This Row],[PrimaComercial Anual Asistencia]]</f>
        <v>4662.6000000000004</v>
      </c>
      <c r="AG714">
        <v>4662.6000000000004</v>
      </c>
    </row>
    <row r="715" spans="1:33" x14ac:dyDescent="0.25">
      <c r="A715" t="s">
        <v>17</v>
      </c>
      <c r="B715">
        <v>700001</v>
      </c>
      <c r="C715">
        <v>20</v>
      </c>
      <c r="D715" s="2">
        <f>Table3[[#This Row],[PrimaTécnica]]-Table3[[#This Row],[PrimaTécnica]]*SUM(Table3[[#This Row],[Gastos Adm]:[Cobranza]])</f>
        <v>1997.8992742176001</v>
      </c>
      <c r="E715">
        <v>0</v>
      </c>
      <c r="F715">
        <v>0.15</v>
      </c>
      <c r="G715">
        <v>0.05</v>
      </c>
      <c r="H715">
        <v>0.01</v>
      </c>
      <c r="I715">
        <v>0.01</v>
      </c>
      <c r="J715" s="8">
        <f>Table3[[#This Row],[PrimaTécnica]]*Table3[[#This Row],[Gastos Adm]]</f>
        <v>384.21139888800002</v>
      </c>
      <c r="K715" s="8">
        <f>Table3[[#This Row],[PrimaTécnica]]*Table3[[#This Row],[Utilidad]]</f>
        <v>128.07046629600003</v>
      </c>
      <c r="L715" s="8">
        <f>Table3[[#This Row],[PrimaTécnica]]*Table3[[#This Row],[Marketing]]</f>
        <v>25.614093259200004</v>
      </c>
      <c r="M715" s="8">
        <f>Table3[[#This Row],[PrimaTécnica]]*Table3[[#This Row],[Cobranza]]</f>
        <v>25.614093259200004</v>
      </c>
      <c r="N71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715">
        <v>21.84</v>
      </c>
      <c r="P715">
        <v>54.6</v>
      </c>
      <c r="Q715">
        <v>80.64</v>
      </c>
      <c r="R715">
        <v>44.377200000000002</v>
      </c>
      <c r="S715">
        <v>0.2</v>
      </c>
      <c r="T715">
        <v>0.02</v>
      </c>
      <c r="U715" s="8">
        <f>Table3[[#This Row],[PrimaNeta]]*Table3[[#This Row],[Comisión]]</f>
        <v>690.71663148000016</v>
      </c>
      <c r="V715" s="15">
        <f>Table3[[#This Row],[PrimaComercial Anual]]-Table3[[#This Row],[PrimaComercial Anual]]*SUM(Table3[[#This Row],[APS]:[IVA]])</f>
        <v>3453.5831574000003</v>
      </c>
      <c r="W715" s="2">
        <v>1.4800000000000001E-2</v>
      </c>
      <c r="X715" s="2">
        <v>8.4501000000000007E-2</v>
      </c>
      <c r="Y715">
        <v>0.03</v>
      </c>
      <c r="Z715">
        <v>0.13</v>
      </c>
      <c r="AA715" s="20">
        <f>Table3[[#This Row],[APS]]*Table3[[#This Row],[PrimaComercial Anual]]</f>
        <v>69.00648000000001</v>
      </c>
      <c r="AB715" s="8">
        <f>Table3[[#This Row],[PrimaComercial Anual]]*Table3[[#This Row],[Recargo adicional]]</f>
        <v>393.99436260000004</v>
      </c>
      <c r="AC715" s="8">
        <f>Table3[[#This Row],[PrimaComercial Anual]]*Table3[[#This Row],[IT]]</f>
        <v>139.87800000000001</v>
      </c>
      <c r="AD715" s="8">
        <f>Table3[[#This Row],[PrimaComercial Anual]]*Table3[[#This Row],[IVA]]</f>
        <v>606.13800000000003</v>
      </c>
      <c r="AE715" s="15">
        <f>Table3[[#This Row],[PrimaComercial Anual Asistencia]]</f>
        <v>4662.6000000000004</v>
      </c>
      <c r="AG715">
        <v>4662.6000000000004</v>
      </c>
    </row>
    <row r="716" spans="1:33" x14ac:dyDescent="0.25">
      <c r="A716" t="s">
        <v>17</v>
      </c>
      <c r="B716">
        <v>700001</v>
      </c>
      <c r="C716">
        <v>21</v>
      </c>
      <c r="D716" s="2">
        <f>Table3[[#This Row],[PrimaTécnica]]-Table3[[#This Row],[PrimaTécnica]]*SUM(Table3[[#This Row],[Gastos Adm]:[Cobranza]])</f>
        <v>1997.8992742176001</v>
      </c>
      <c r="E716">
        <v>0</v>
      </c>
      <c r="F716">
        <v>0.15</v>
      </c>
      <c r="G716">
        <v>0.05</v>
      </c>
      <c r="H716">
        <v>0.01</v>
      </c>
      <c r="I716">
        <v>0.01</v>
      </c>
      <c r="J716" s="8">
        <f>Table3[[#This Row],[PrimaTécnica]]*Table3[[#This Row],[Gastos Adm]]</f>
        <v>384.21139888800002</v>
      </c>
      <c r="K716" s="8">
        <f>Table3[[#This Row],[PrimaTécnica]]*Table3[[#This Row],[Utilidad]]</f>
        <v>128.07046629600003</v>
      </c>
      <c r="L716" s="8">
        <f>Table3[[#This Row],[PrimaTécnica]]*Table3[[#This Row],[Marketing]]</f>
        <v>25.614093259200004</v>
      </c>
      <c r="M716" s="8">
        <f>Table3[[#This Row],[PrimaTécnica]]*Table3[[#This Row],[Cobranza]]</f>
        <v>25.614093259200004</v>
      </c>
      <c r="N71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716">
        <v>21.84</v>
      </c>
      <c r="P716">
        <v>54.6</v>
      </c>
      <c r="Q716">
        <v>80.64</v>
      </c>
      <c r="R716">
        <v>44.377200000000002</v>
      </c>
      <c r="S716">
        <v>0.2</v>
      </c>
      <c r="T716">
        <v>0.02</v>
      </c>
      <c r="U716" s="8">
        <f>Table3[[#This Row],[PrimaNeta]]*Table3[[#This Row],[Comisión]]</f>
        <v>690.71663148000016</v>
      </c>
      <c r="V716" s="15">
        <f>Table3[[#This Row],[PrimaComercial Anual]]-Table3[[#This Row],[PrimaComercial Anual]]*SUM(Table3[[#This Row],[APS]:[IVA]])</f>
        <v>3453.5831574000003</v>
      </c>
      <c r="W716" s="2">
        <v>1.4800000000000001E-2</v>
      </c>
      <c r="X716" s="2">
        <v>8.4501000000000007E-2</v>
      </c>
      <c r="Y716">
        <v>0.03</v>
      </c>
      <c r="Z716">
        <v>0.13</v>
      </c>
      <c r="AA716" s="20">
        <f>Table3[[#This Row],[APS]]*Table3[[#This Row],[PrimaComercial Anual]]</f>
        <v>69.00648000000001</v>
      </c>
      <c r="AB716" s="8">
        <f>Table3[[#This Row],[PrimaComercial Anual]]*Table3[[#This Row],[Recargo adicional]]</f>
        <v>393.99436260000004</v>
      </c>
      <c r="AC716" s="8">
        <f>Table3[[#This Row],[PrimaComercial Anual]]*Table3[[#This Row],[IT]]</f>
        <v>139.87800000000001</v>
      </c>
      <c r="AD716" s="8">
        <f>Table3[[#This Row],[PrimaComercial Anual]]*Table3[[#This Row],[IVA]]</f>
        <v>606.13800000000003</v>
      </c>
      <c r="AE716" s="15">
        <f>Table3[[#This Row],[PrimaComercial Anual Asistencia]]</f>
        <v>4662.6000000000004</v>
      </c>
      <c r="AG716">
        <v>4662.6000000000004</v>
      </c>
    </row>
    <row r="717" spans="1:33" x14ac:dyDescent="0.25">
      <c r="A717" t="s">
        <v>17</v>
      </c>
      <c r="B717">
        <v>700001</v>
      </c>
      <c r="C717">
        <v>22</v>
      </c>
      <c r="D717" s="2">
        <f>Table3[[#This Row],[PrimaTécnica]]-Table3[[#This Row],[PrimaTécnica]]*SUM(Table3[[#This Row],[Gastos Adm]:[Cobranza]])</f>
        <v>1997.8992742176001</v>
      </c>
      <c r="E717">
        <v>0</v>
      </c>
      <c r="F717">
        <v>0.15</v>
      </c>
      <c r="G717">
        <v>0.05</v>
      </c>
      <c r="H717">
        <v>0.01</v>
      </c>
      <c r="I717">
        <v>0.01</v>
      </c>
      <c r="J717" s="8">
        <f>Table3[[#This Row],[PrimaTécnica]]*Table3[[#This Row],[Gastos Adm]]</f>
        <v>384.21139888800002</v>
      </c>
      <c r="K717" s="8">
        <f>Table3[[#This Row],[PrimaTécnica]]*Table3[[#This Row],[Utilidad]]</f>
        <v>128.07046629600003</v>
      </c>
      <c r="L717" s="8">
        <f>Table3[[#This Row],[PrimaTécnica]]*Table3[[#This Row],[Marketing]]</f>
        <v>25.614093259200004</v>
      </c>
      <c r="M717" s="8">
        <f>Table3[[#This Row],[PrimaTécnica]]*Table3[[#This Row],[Cobranza]]</f>
        <v>25.614093259200004</v>
      </c>
      <c r="N71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717">
        <v>21.84</v>
      </c>
      <c r="P717">
        <v>54.6</v>
      </c>
      <c r="Q717">
        <v>80.64</v>
      </c>
      <c r="R717">
        <v>44.377200000000002</v>
      </c>
      <c r="S717">
        <v>0.2</v>
      </c>
      <c r="T717">
        <v>0.02</v>
      </c>
      <c r="U717" s="8">
        <f>Table3[[#This Row],[PrimaNeta]]*Table3[[#This Row],[Comisión]]</f>
        <v>690.71663148000016</v>
      </c>
      <c r="V717" s="15">
        <f>Table3[[#This Row],[PrimaComercial Anual]]-Table3[[#This Row],[PrimaComercial Anual]]*SUM(Table3[[#This Row],[APS]:[IVA]])</f>
        <v>3453.5831574000003</v>
      </c>
      <c r="W717" s="2">
        <v>1.4800000000000001E-2</v>
      </c>
      <c r="X717" s="2">
        <v>8.4501000000000007E-2</v>
      </c>
      <c r="Y717">
        <v>0.03</v>
      </c>
      <c r="Z717">
        <v>0.13</v>
      </c>
      <c r="AA717" s="20">
        <f>Table3[[#This Row],[APS]]*Table3[[#This Row],[PrimaComercial Anual]]</f>
        <v>69.00648000000001</v>
      </c>
      <c r="AB717" s="8">
        <f>Table3[[#This Row],[PrimaComercial Anual]]*Table3[[#This Row],[Recargo adicional]]</f>
        <v>393.99436260000004</v>
      </c>
      <c r="AC717" s="8">
        <f>Table3[[#This Row],[PrimaComercial Anual]]*Table3[[#This Row],[IT]]</f>
        <v>139.87800000000001</v>
      </c>
      <c r="AD717" s="8">
        <f>Table3[[#This Row],[PrimaComercial Anual]]*Table3[[#This Row],[IVA]]</f>
        <v>606.13800000000003</v>
      </c>
      <c r="AE717" s="15">
        <f>Table3[[#This Row],[PrimaComercial Anual Asistencia]]</f>
        <v>4662.6000000000004</v>
      </c>
      <c r="AG717">
        <v>4662.6000000000004</v>
      </c>
    </row>
    <row r="718" spans="1:33" x14ac:dyDescent="0.25">
      <c r="A718" t="s">
        <v>17</v>
      </c>
      <c r="B718">
        <v>700001</v>
      </c>
      <c r="C718">
        <v>23</v>
      </c>
      <c r="D718" s="2">
        <f>Table3[[#This Row],[PrimaTécnica]]-Table3[[#This Row],[PrimaTécnica]]*SUM(Table3[[#This Row],[Gastos Adm]:[Cobranza]])</f>
        <v>1997.8992742176001</v>
      </c>
      <c r="E718">
        <v>0</v>
      </c>
      <c r="F718">
        <v>0.15</v>
      </c>
      <c r="G718">
        <v>0.05</v>
      </c>
      <c r="H718">
        <v>0.01</v>
      </c>
      <c r="I718">
        <v>0.01</v>
      </c>
      <c r="J718" s="8">
        <f>Table3[[#This Row],[PrimaTécnica]]*Table3[[#This Row],[Gastos Adm]]</f>
        <v>384.21139888800002</v>
      </c>
      <c r="K718" s="8">
        <f>Table3[[#This Row],[PrimaTécnica]]*Table3[[#This Row],[Utilidad]]</f>
        <v>128.07046629600003</v>
      </c>
      <c r="L718" s="8">
        <f>Table3[[#This Row],[PrimaTécnica]]*Table3[[#This Row],[Marketing]]</f>
        <v>25.614093259200004</v>
      </c>
      <c r="M718" s="8">
        <f>Table3[[#This Row],[PrimaTécnica]]*Table3[[#This Row],[Cobranza]]</f>
        <v>25.614093259200004</v>
      </c>
      <c r="N71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718">
        <v>21.84</v>
      </c>
      <c r="P718">
        <v>54.6</v>
      </c>
      <c r="Q718">
        <v>80.64</v>
      </c>
      <c r="R718">
        <v>44.377200000000002</v>
      </c>
      <c r="S718">
        <v>0.2</v>
      </c>
      <c r="T718">
        <v>0.02</v>
      </c>
      <c r="U718" s="8">
        <f>Table3[[#This Row],[PrimaNeta]]*Table3[[#This Row],[Comisión]]</f>
        <v>690.71663148000016</v>
      </c>
      <c r="V718" s="15">
        <f>Table3[[#This Row],[PrimaComercial Anual]]-Table3[[#This Row],[PrimaComercial Anual]]*SUM(Table3[[#This Row],[APS]:[IVA]])</f>
        <v>3453.5831574000003</v>
      </c>
      <c r="W718" s="2">
        <v>1.4800000000000001E-2</v>
      </c>
      <c r="X718" s="2">
        <v>8.4501000000000007E-2</v>
      </c>
      <c r="Y718">
        <v>0.03</v>
      </c>
      <c r="Z718">
        <v>0.13</v>
      </c>
      <c r="AA718" s="20">
        <f>Table3[[#This Row],[APS]]*Table3[[#This Row],[PrimaComercial Anual]]</f>
        <v>69.00648000000001</v>
      </c>
      <c r="AB718" s="8">
        <f>Table3[[#This Row],[PrimaComercial Anual]]*Table3[[#This Row],[Recargo adicional]]</f>
        <v>393.99436260000004</v>
      </c>
      <c r="AC718" s="8">
        <f>Table3[[#This Row],[PrimaComercial Anual]]*Table3[[#This Row],[IT]]</f>
        <v>139.87800000000001</v>
      </c>
      <c r="AD718" s="8">
        <f>Table3[[#This Row],[PrimaComercial Anual]]*Table3[[#This Row],[IVA]]</f>
        <v>606.13800000000003</v>
      </c>
      <c r="AE718" s="15">
        <f>Table3[[#This Row],[PrimaComercial Anual Asistencia]]</f>
        <v>4662.6000000000004</v>
      </c>
      <c r="AG718">
        <v>4662.6000000000004</v>
      </c>
    </row>
    <row r="719" spans="1:33" x14ac:dyDescent="0.25">
      <c r="A719" t="s">
        <v>17</v>
      </c>
      <c r="B719">
        <v>700001</v>
      </c>
      <c r="C719">
        <v>24</v>
      </c>
      <c r="D719" s="2">
        <f>Table3[[#This Row],[PrimaTécnica]]-Table3[[#This Row],[PrimaTécnica]]*SUM(Table3[[#This Row],[Gastos Adm]:[Cobranza]])</f>
        <v>1997.8992742176001</v>
      </c>
      <c r="E719">
        <v>0</v>
      </c>
      <c r="F719">
        <v>0.15</v>
      </c>
      <c r="G719">
        <v>0.05</v>
      </c>
      <c r="H719">
        <v>0.01</v>
      </c>
      <c r="I719">
        <v>0.01</v>
      </c>
      <c r="J719" s="8">
        <f>Table3[[#This Row],[PrimaTécnica]]*Table3[[#This Row],[Gastos Adm]]</f>
        <v>384.21139888800002</v>
      </c>
      <c r="K719" s="8">
        <f>Table3[[#This Row],[PrimaTécnica]]*Table3[[#This Row],[Utilidad]]</f>
        <v>128.07046629600003</v>
      </c>
      <c r="L719" s="8">
        <f>Table3[[#This Row],[PrimaTécnica]]*Table3[[#This Row],[Marketing]]</f>
        <v>25.614093259200004</v>
      </c>
      <c r="M719" s="8">
        <f>Table3[[#This Row],[PrimaTécnica]]*Table3[[#This Row],[Cobranza]]</f>
        <v>25.614093259200004</v>
      </c>
      <c r="N71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719">
        <v>21.84</v>
      </c>
      <c r="P719">
        <v>54.6</v>
      </c>
      <c r="Q719">
        <v>80.64</v>
      </c>
      <c r="R719">
        <v>44.377200000000002</v>
      </c>
      <c r="S719">
        <v>0.2</v>
      </c>
      <c r="T719">
        <v>0.02</v>
      </c>
      <c r="U719" s="8">
        <f>Table3[[#This Row],[PrimaNeta]]*Table3[[#This Row],[Comisión]]</f>
        <v>690.71663148000016</v>
      </c>
      <c r="V719" s="15">
        <f>Table3[[#This Row],[PrimaComercial Anual]]-Table3[[#This Row],[PrimaComercial Anual]]*SUM(Table3[[#This Row],[APS]:[IVA]])</f>
        <v>3453.5831574000003</v>
      </c>
      <c r="W719" s="2">
        <v>1.4800000000000001E-2</v>
      </c>
      <c r="X719" s="2">
        <v>8.4501000000000007E-2</v>
      </c>
      <c r="Y719">
        <v>0.03</v>
      </c>
      <c r="Z719">
        <v>0.13</v>
      </c>
      <c r="AA719" s="20">
        <f>Table3[[#This Row],[APS]]*Table3[[#This Row],[PrimaComercial Anual]]</f>
        <v>69.00648000000001</v>
      </c>
      <c r="AB719" s="8">
        <f>Table3[[#This Row],[PrimaComercial Anual]]*Table3[[#This Row],[Recargo adicional]]</f>
        <v>393.99436260000004</v>
      </c>
      <c r="AC719" s="8">
        <f>Table3[[#This Row],[PrimaComercial Anual]]*Table3[[#This Row],[IT]]</f>
        <v>139.87800000000001</v>
      </c>
      <c r="AD719" s="8">
        <f>Table3[[#This Row],[PrimaComercial Anual]]*Table3[[#This Row],[IVA]]</f>
        <v>606.13800000000003</v>
      </c>
      <c r="AE719" s="15">
        <f>Table3[[#This Row],[PrimaComercial Anual Asistencia]]</f>
        <v>4662.6000000000004</v>
      </c>
      <c r="AG719">
        <v>4662.6000000000004</v>
      </c>
    </row>
    <row r="720" spans="1:33" x14ac:dyDescent="0.25">
      <c r="A720" t="s">
        <v>17</v>
      </c>
      <c r="B720">
        <v>700001</v>
      </c>
      <c r="C720">
        <v>25</v>
      </c>
      <c r="D720" s="2">
        <f>Table3[[#This Row],[PrimaTécnica]]-Table3[[#This Row],[PrimaTécnica]]*SUM(Table3[[#This Row],[Gastos Adm]:[Cobranza]])</f>
        <v>1997.8992742176001</v>
      </c>
      <c r="E720">
        <v>0</v>
      </c>
      <c r="F720">
        <v>0.15</v>
      </c>
      <c r="G720">
        <v>0.05</v>
      </c>
      <c r="H720">
        <v>0.01</v>
      </c>
      <c r="I720">
        <v>0.01</v>
      </c>
      <c r="J720" s="8">
        <f>Table3[[#This Row],[PrimaTécnica]]*Table3[[#This Row],[Gastos Adm]]</f>
        <v>384.21139888800002</v>
      </c>
      <c r="K720" s="8">
        <f>Table3[[#This Row],[PrimaTécnica]]*Table3[[#This Row],[Utilidad]]</f>
        <v>128.07046629600003</v>
      </c>
      <c r="L720" s="8">
        <f>Table3[[#This Row],[PrimaTécnica]]*Table3[[#This Row],[Marketing]]</f>
        <v>25.614093259200004</v>
      </c>
      <c r="M720" s="8">
        <f>Table3[[#This Row],[PrimaTécnica]]*Table3[[#This Row],[Cobranza]]</f>
        <v>25.614093259200004</v>
      </c>
      <c r="N72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720">
        <v>21.84</v>
      </c>
      <c r="P720">
        <v>54.6</v>
      </c>
      <c r="Q720">
        <v>80.64</v>
      </c>
      <c r="R720">
        <v>44.377200000000002</v>
      </c>
      <c r="S720">
        <v>0.2</v>
      </c>
      <c r="T720">
        <v>0.02</v>
      </c>
      <c r="U720" s="8">
        <f>Table3[[#This Row],[PrimaNeta]]*Table3[[#This Row],[Comisión]]</f>
        <v>690.71663148000016</v>
      </c>
      <c r="V720" s="15">
        <f>Table3[[#This Row],[PrimaComercial Anual]]-Table3[[#This Row],[PrimaComercial Anual]]*SUM(Table3[[#This Row],[APS]:[IVA]])</f>
        <v>3453.5831574000003</v>
      </c>
      <c r="W720" s="2">
        <v>1.4800000000000001E-2</v>
      </c>
      <c r="X720" s="2">
        <v>8.4501000000000007E-2</v>
      </c>
      <c r="Y720">
        <v>0.03</v>
      </c>
      <c r="Z720">
        <v>0.13</v>
      </c>
      <c r="AA720" s="20">
        <f>Table3[[#This Row],[APS]]*Table3[[#This Row],[PrimaComercial Anual]]</f>
        <v>69.00648000000001</v>
      </c>
      <c r="AB720" s="8">
        <f>Table3[[#This Row],[PrimaComercial Anual]]*Table3[[#This Row],[Recargo adicional]]</f>
        <v>393.99436260000004</v>
      </c>
      <c r="AC720" s="8">
        <f>Table3[[#This Row],[PrimaComercial Anual]]*Table3[[#This Row],[IT]]</f>
        <v>139.87800000000001</v>
      </c>
      <c r="AD720" s="8">
        <f>Table3[[#This Row],[PrimaComercial Anual]]*Table3[[#This Row],[IVA]]</f>
        <v>606.13800000000003</v>
      </c>
      <c r="AE720" s="15">
        <f>Table3[[#This Row],[PrimaComercial Anual Asistencia]]</f>
        <v>4662.6000000000004</v>
      </c>
      <c r="AG720">
        <v>4662.6000000000004</v>
      </c>
    </row>
    <row r="721" spans="1:33" x14ac:dyDescent="0.25">
      <c r="A721" t="s">
        <v>17</v>
      </c>
      <c r="B721">
        <v>700001</v>
      </c>
      <c r="C721">
        <v>26</v>
      </c>
      <c r="D721" s="2">
        <f>Table3[[#This Row],[PrimaTécnica]]-Table3[[#This Row],[PrimaTécnica]]*SUM(Table3[[#This Row],[Gastos Adm]:[Cobranza]])</f>
        <v>1997.8992742176001</v>
      </c>
      <c r="E721">
        <v>0</v>
      </c>
      <c r="F721">
        <v>0.15</v>
      </c>
      <c r="G721">
        <v>0.05</v>
      </c>
      <c r="H721">
        <v>0.01</v>
      </c>
      <c r="I721">
        <v>0.01</v>
      </c>
      <c r="J721" s="8">
        <f>Table3[[#This Row],[PrimaTécnica]]*Table3[[#This Row],[Gastos Adm]]</f>
        <v>384.21139888800002</v>
      </c>
      <c r="K721" s="8">
        <f>Table3[[#This Row],[PrimaTécnica]]*Table3[[#This Row],[Utilidad]]</f>
        <v>128.07046629600003</v>
      </c>
      <c r="L721" s="8">
        <f>Table3[[#This Row],[PrimaTécnica]]*Table3[[#This Row],[Marketing]]</f>
        <v>25.614093259200004</v>
      </c>
      <c r="M721" s="8">
        <f>Table3[[#This Row],[PrimaTécnica]]*Table3[[#This Row],[Cobranza]]</f>
        <v>25.614093259200004</v>
      </c>
      <c r="N72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721">
        <v>21.84</v>
      </c>
      <c r="P721">
        <v>54.6</v>
      </c>
      <c r="Q721">
        <v>80.64</v>
      </c>
      <c r="R721">
        <v>44.377200000000002</v>
      </c>
      <c r="S721">
        <v>0.2</v>
      </c>
      <c r="T721">
        <v>0.02</v>
      </c>
      <c r="U721" s="8">
        <f>Table3[[#This Row],[PrimaNeta]]*Table3[[#This Row],[Comisión]]</f>
        <v>690.71663148000016</v>
      </c>
      <c r="V721" s="15">
        <f>Table3[[#This Row],[PrimaComercial Anual]]-Table3[[#This Row],[PrimaComercial Anual]]*SUM(Table3[[#This Row],[APS]:[IVA]])</f>
        <v>3453.5831574000003</v>
      </c>
      <c r="W721" s="2">
        <v>1.4800000000000001E-2</v>
      </c>
      <c r="X721" s="2">
        <v>8.4501000000000007E-2</v>
      </c>
      <c r="Y721">
        <v>0.03</v>
      </c>
      <c r="Z721">
        <v>0.13</v>
      </c>
      <c r="AA721" s="20">
        <f>Table3[[#This Row],[APS]]*Table3[[#This Row],[PrimaComercial Anual]]</f>
        <v>69.00648000000001</v>
      </c>
      <c r="AB721" s="8">
        <f>Table3[[#This Row],[PrimaComercial Anual]]*Table3[[#This Row],[Recargo adicional]]</f>
        <v>393.99436260000004</v>
      </c>
      <c r="AC721" s="8">
        <f>Table3[[#This Row],[PrimaComercial Anual]]*Table3[[#This Row],[IT]]</f>
        <v>139.87800000000001</v>
      </c>
      <c r="AD721" s="8">
        <f>Table3[[#This Row],[PrimaComercial Anual]]*Table3[[#This Row],[IVA]]</f>
        <v>606.13800000000003</v>
      </c>
      <c r="AE721" s="15">
        <f>Table3[[#This Row],[PrimaComercial Anual Asistencia]]</f>
        <v>4662.6000000000004</v>
      </c>
      <c r="AG721">
        <v>4662.6000000000004</v>
      </c>
    </row>
    <row r="722" spans="1:33" x14ac:dyDescent="0.25">
      <c r="A722" t="s">
        <v>17</v>
      </c>
      <c r="B722">
        <v>700001</v>
      </c>
      <c r="C722">
        <v>27</v>
      </c>
      <c r="D722" s="2">
        <f>Table3[[#This Row],[PrimaTécnica]]-Table3[[#This Row],[PrimaTécnica]]*SUM(Table3[[#This Row],[Gastos Adm]:[Cobranza]])</f>
        <v>1997.8992742176001</v>
      </c>
      <c r="E722">
        <v>0</v>
      </c>
      <c r="F722">
        <v>0.15</v>
      </c>
      <c r="G722">
        <v>0.05</v>
      </c>
      <c r="H722">
        <v>0.01</v>
      </c>
      <c r="I722">
        <v>0.01</v>
      </c>
      <c r="J722" s="8">
        <f>Table3[[#This Row],[PrimaTécnica]]*Table3[[#This Row],[Gastos Adm]]</f>
        <v>384.21139888800002</v>
      </c>
      <c r="K722" s="8">
        <f>Table3[[#This Row],[PrimaTécnica]]*Table3[[#This Row],[Utilidad]]</f>
        <v>128.07046629600003</v>
      </c>
      <c r="L722" s="8">
        <f>Table3[[#This Row],[PrimaTécnica]]*Table3[[#This Row],[Marketing]]</f>
        <v>25.614093259200004</v>
      </c>
      <c r="M722" s="8">
        <f>Table3[[#This Row],[PrimaTécnica]]*Table3[[#This Row],[Cobranza]]</f>
        <v>25.614093259200004</v>
      </c>
      <c r="N72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722">
        <v>21.84</v>
      </c>
      <c r="P722">
        <v>54.6</v>
      </c>
      <c r="Q722">
        <v>80.64</v>
      </c>
      <c r="R722">
        <v>44.377200000000002</v>
      </c>
      <c r="S722">
        <v>0.2</v>
      </c>
      <c r="T722">
        <v>0.02</v>
      </c>
      <c r="U722" s="8">
        <f>Table3[[#This Row],[PrimaNeta]]*Table3[[#This Row],[Comisión]]</f>
        <v>690.71663148000016</v>
      </c>
      <c r="V722" s="15">
        <f>Table3[[#This Row],[PrimaComercial Anual]]-Table3[[#This Row],[PrimaComercial Anual]]*SUM(Table3[[#This Row],[APS]:[IVA]])</f>
        <v>3453.5831574000003</v>
      </c>
      <c r="W722" s="2">
        <v>1.4800000000000001E-2</v>
      </c>
      <c r="X722" s="2">
        <v>8.4501000000000007E-2</v>
      </c>
      <c r="Y722">
        <v>0.03</v>
      </c>
      <c r="Z722">
        <v>0.13</v>
      </c>
      <c r="AA722" s="20">
        <f>Table3[[#This Row],[APS]]*Table3[[#This Row],[PrimaComercial Anual]]</f>
        <v>69.00648000000001</v>
      </c>
      <c r="AB722" s="8">
        <f>Table3[[#This Row],[PrimaComercial Anual]]*Table3[[#This Row],[Recargo adicional]]</f>
        <v>393.99436260000004</v>
      </c>
      <c r="AC722" s="8">
        <f>Table3[[#This Row],[PrimaComercial Anual]]*Table3[[#This Row],[IT]]</f>
        <v>139.87800000000001</v>
      </c>
      <c r="AD722" s="8">
        <f>Table3[[#This Row],[PrimaComercial Anual]]*Table3[[#This Row],[IVA]]</f>
        <v>606.13800000000003</v>
      </c>
      <c r="AE722" s="15">
        <f>Table3[[#This Row],[PrimaComercial Anual Asistencia]]</f>
        <v>4662.6000000000004</v>
      </c>
      <c r="AG722">
        <v>4662.6000000000004</v>
      </c>
    </row>
    <row r="723" spans="1:33" x14ac:dyDescent="0.25">
      <c r="A723" t="s">
        <v>17</v>
      </c>
      <c r="B723">
        <v>700001</v>
      </c>
      <c r="C723">
        <v>28</v>
      </c>
      <c r="D723" s="2">
        <f>Table3[[#This Row],[PrimaTécnica]]-Table3[[#This Row],[PrimaTécnica]]*SUM(Table3[[#This Row],[Gastos Adm]:[Cobranza]])</f>
        <v>1997.8992742176001</v>
      </c>
      <c r="E723">
        <v>0</v>
      </c>
      <c r="F723">
        <v>0.15</v>
      </c>
      <c r="G723">
        <v>0.05</v>
      </c>
      <c r="H723">
        <v>0.01</v>
      </c>
      <c r="I723">
        <v>0.01</v>
      </c>
      <c r="J723" s="8">
        <f>Table3[[#This Row],[PrimaTécnica]]*Table3[[#This Row],[Gastos Adm]]</f>
        <v>384.21139888800002</v>
      </c>
      <c r="K723" s="8">
        <f>Table3[[#This Row],[PrimaTécnica]]*Table3[[#This Row],[Utilidad]]</f>
        <v>128.07046629600003</v>
      </c>
      <c r="L723" s="8">
        <f>Table3[[#This Row],[PrimaTécnica]]*Table3[[#This Row],[Marketing]]</f>
        <v>25.614093259200004</v>
      </c>
      <c r="M723" s="8">
        <f>Table3[[#This Row],[PrimaTécnica]]*Table3[[#This Row],[Cobranza]]</f>
        <v>25.614093259200004</v>
      </c>
      <c r="N72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723">
        <v>21.84</v>
      </c>
      <c r="P723">
        <v>54.6</v>
      </c>
      <c r="Q723">
        <v>80.64</v>
      </c>
      <c r="R723">
        <v>44.377200000000002</v>
      </c>
      <c r="S723">
        <v>0.2</v>
      </c>
      <c r="T723">
        <v>0.02</v>
      </c>
      <c r="U723" s="8">
        <f>Table3[[#This Row],[PrimaNeta]]*Table3[[#This Row],[Comisión]]</f>
        <v>690.71663148000016</v>
      </c>
      <c r="V723" s="15">
        <f>Table3[[#This Row],[PrimaComercial Anual]]-Table3[[#This Row],[PrimaComercial Anual]]*SUM(Table3[[#This Row],[APS]:[IVA]])</f>
        <v>3453.5831574000003</v>
      </c>
      <c r="W723" s="2">
        <v>1.4800000000000001E-2</v>
      </c>
      <c r="X723" s="2">
        <v>8.4501000000000007E-2</v>
      </c>
      <c r="Y723">
        <v>0.03</v>
      </c>
      <c r="Z723">
        <v>0.13</v>
      </c>
      <c r="AA723" s="20">
        <f>Table3[[#This Row],[APS]]*Table3[[#This Row],[PrimaComercial Anual]]</f>
        <v>69.00648000000001</v>
      </c>
      <c r="AB723" s="8">
        <f>Table3[[#This Row],[PrimaComercial Anual]]*Table3[[#This Row],[Recargo adicional]]</f>
        <v>393.99436260000004</v>
      </c>
      <c r="AC723" s="8">
        <f>Table3[[#This Row],[PrimaComercial Anual]]*Table3[[#This Row],[IT]]</f>
        <v>139.87800000000001</v>
      </c>
      <c r="AD723" s="8">
        <f>Table3[[#This Row],[PrimaComercial Anual]]*Table3[[#This Row],[IVA]]</f>
        <v>606.13800000000003</v>
      </c>
      <c r="AE723" s="15">
        <f>Table3[[#This Row],[PrimaComercial Anual Asistencia]]</f>
        <v>4662.6000000000004</v>
      </c>
      <c r="AG723">
        <v>4662.6000000000004</v>
      </c>
    </row>
    <row r="724" spans="1:33" x14ac:dyDescent="0.25">
      <c r="A724" t="s">
        <v>17</v>
      </c>
      <c r="B724">
        <v>700001</v>
      </c>
      <c r="C724">
        <v>29</v>
      </c>
      <c r="D724" s="2">
        <f>Table3[[#This Row],[PrimaTécnica]]-Table3[[#This Row],[PrimaTécnica]]*SUM(Table3[[#This Row],[Gastos Adm]:[Cobranza]])</f>
        <v>1997.8992742176001</v>
      </c>
      <c r="E724">
        <v>0</v>
      </c>
      <c r="F724">
        <v>0.15</v>
      </c>
      <c r="G724">
        <v>0.05</v>
      </c>
      <c r="H724">
        <v>0.01</v>
      </c>
      <c r="I724">
        <v>0.01</v>
      </c>
      <c r="J724" s="8">
        <f>Table3[[#This Row],[PrimaTécnica]]*Table3[[#This Row],[Gastos Adm]]</f>
        <v>384.21139888800002</v>
      </c>
      <c r="K724" s="8">
        <f>Table3[[#This Row],[PrimaTécnica]]*Table3[[#This Row],[Utilidad]]</f>
        <v>128.07046629600003</v>
      </c>
      <c r="L724" s="8">
        <f>Table3[[#This Row],[PrimaTécnica]]*Table3[[#This Row],[Marketing]]</f>
        <v>25.614093259200004</v>
      </c>
      <c r="M724" s="8">
        <f>Table3[[#This Row],[PrimaTécnica]]*Table3[[#This Row],[Cobranza]]</f>
        <v>25.614093259200004</v>
      </c>
      <c r="N72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2561.4093259200004</v>
      </c>
      <c r="O724">
        <v>21.84</v>
      </c>
      <c r="P724">
        <v>54.6</v>
      </c>
      <c r="Q724">
        <v>80.64</v>
      </c>
      <c r="R724">
        <v>44.377200000000002</v>
      </c>
      <c r="S724">
        <v>0.2</v>
      </c>
      <c r="T724">
        <v>0.02</v>
      </c>
      <c r="U724" s="8">
        <f>Table3[[#This Row],[PrimaNeta]]*Table3[[#This Row],[Comisión]]</f>
        <v>690.71663148000016</v>
      </c>
      <c r="V724" s="15">
        <f>Table3[[#This Row],[PrimaComercial Anual]]-Table3[[#This Row],[PrimaComercial Anual]]*SUM(Table3[[#This Row],[APS]:[IVA]])</f>
        <v>3453.5831574000003</v>
      </c>
      <c r="W724" s="2">
        <v>1.4800000000000001E-2</v>
      </c>
      <c r="X724" s="2">
        <v>8.4501000000000007E-2</v>
      </c>
      <c r="Y724">
        <v>0.03</v>
      </c>
      <c r="Z724">
        <v>0.13</v>
      </c>
      <c r="AA724" s="20">
        <f>Table3[[#This Row],[APS]]*Table3[[#This Row],[PrimaComercial Anual]]</f>
        <v>69.00648000000001</v>
      </c>
      <c r="AB724" s="8">
        <f>Table3[[#This Row],[PrimaComercial Anual]]*Table3[[#This Row],[Recargo adicional]]</f>
        <v>393.99436260000004</v>
      </c>
      <c r="AC724" s="8">
        <f>Table3[[#This Row],[PrimaComercial Anual]]*Table3[[#This Row],[IT]]</f>
        <v>139.87800000000001</v>
      </c>
      <c r="AD724" s="8">
        <f>Table3[[#This Row],[PrimaComercial Anual]]*Table3[[#This Row],[IVA]]</f>
        <v>606.13800000000003</v>
      </c>
      <c r="AE724" s="15">
        <f>Table3[[#This Row],[PrimaComercial Anual Asistencia]]</f>
        <v>4662.6000000000004</v>
      </c>
      <c r="AG724">
        <v>4662.6000000000004</v>
      </c>
    </row>
    <row r="725" spans="1:33" x14ac:dyDescent="0.25">
      <c r="A725" t="s">
        <v>17</v>
      </c>
      <c r="B725">
        <v>700001</v>
      </c>
      <c r="C725">
        <v>30</v>
      </c>
      <c r="D725" s="2">
        <f>Table3[[#This Row],[PrimaTécnica]]-Table3[[#This Row],[PrimaTécnica]]*SUM(Table3[[#This Row],[Gastos Adm]:[Cobranza]])</f>
        <v>2145.4322935968003</v>
      </c>
      <c r="E725">
        <v>0</v>
      </c>
      <c r="F725">
        <v>0.15</v>
      </c>
      <c r="G725">
        <v>0.05</v>
      </c>
      <c r="H725">
        <v>0.01</v>
      </c>
      <c r="I725">
        <v>0.01</v>
      </c>
      <c r="J725" s="8">
        <f>Table3[[#This Row],[PrimaTécnica]]*Table3[[#This Row],[Gastos Adm]]</f>
        <v>412.58313338400001</v>
      </c>
      <c r="K725" s="8">
        <f>Table3[[#This Row],[PrimaTécnica]]*Table3[[#This Row],[Utilidad]]</f>
        <v>137.52771112800002</v>
      </c>
      <c r="L725" s="8">
        <f>Table3[[#This Row],[PrimaTécnica]]*Table3[[#This Row],[Marketing]]</f>
        <v>27.505542225600003</v>
      </c>
      <c r="M725" s="8">
        <f>Table3[[#This Row],[PrimaTécnica]]*Table3[[#This Row],[Cobranza]]</f>
        <v>27.505542225600003</v>
      </c>
      <c r="N72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725">
        <v>21.84</v>
      </c>
      <c r="P725">
        <v>54.6</v>
      </c>
      <c r="Q725">
        <v>80.64</v>
      </c>
      <c r="R725">
        <v>44.377200000000002</v>
      </c>
      <c r="S725">
        <v>0.2</v>
      </c>
      <c r="T725">
        <v>0.02</v>
      </c>
      <c r="U725" s="8">
        <f>Table3[[#This Row],[PrimaNeta]]*Table3[[#This Row],[Comisión]]</f>
        <v>738.00285564000012</v>
      </c>
      <c r="V725" s="15">
        <f>Table3[[#This Row],[PrimaComercial Anual]]-Table3[[#This Row],[PrimaComercial Anual]]*SUM(Table3[[#This Row],[APS]:[IVA]])</f>
        <v>3690.0142782000003</v>
      </c>
      <c r="W725" s="2">
        <v>1.4800000000000001E-2</v>
      </c>
      <c r="X725" s="2">
        <v>8.4501000000000007E-2</v>
      </c>
      <c r="Y725">
        <v>0.03</v>
      </c>
      <c r="Z725">
        <v>0.13</v>
      </c>
      <c r="AA725" s="20">
        <f>Table3[[#This Row],[APS]]*Table3[[#This Row],[PrimaComercial Anual]]</f>
        <v>73.730640000000008</v>
      </c>
      <c r="AB725" s="8">
        <f>Table3[[#This Row],[PrimaComercial Anual]]*Table3[[#This Row],[Recargo adicional]]</f>
        <v>420.96708180000007</v>
      </c>
      <c r="AC725" s="8">
        <f>Table3[[#This Row],[PrimaComercial Anual]]*Table3[[#This Row],[IT]]</f>
        <v>149.45400000000001</v>
      </c>
      <c r="AD725" s="8">
        <f>Table3[[#This Row],[PrimaComercial Anual]]*Table3[[#This Row],[IVA]]</f>
        <v>647.63400000000001</v>
      </c>
      <c r="AE725" s="15">
        <f>Table3[[#This Row],[PrimaComercial Anual Asistencia]]</f>
        <v>4981.8</v>
      </c>
      <c r="AG725">
        <v>4981.8</v>
      </c>
    </row>
    <row r="726" spans="1:33" x14ac:dyDescent="0.25">
      <c r="A726" t="s">
        <v>17</v>
      </c>
      <c r="B726">
        <v>700001</v>
      </c>
      <c r="C726">
        <v>31</v>
      </c>
      <c r="D726" s="2">
        <f>Table3[[#This Row],[PrimaTécnica]]-Table3[[#This Row],[PrimaTécnica]]*SUM(Table3[[#This Row],[Gastos Adm]:[Cobranza]])</f>
        <v>2145.4322935968003</v>
      </c>
      <c r="E726">
        <v>0</v>
      </c>
      <c r="F726">
        <v>0.15</v>
      </c>
      <c r="G726">
        <v>0.05</v>
      </c>
      <c r="H726">
        <v>0.01</v>
      </c>
      <c r="I726">
        <v>0.01</v>
      </c>
      <c r="J726" s="8">
        <f>Table3[[#This Row],[PrimaTécnica]]*Table3[[#This Row],[Gastos Adm]]</f>
        <v>412.58313338400001</v>
      </c>
      <c r="K726" s="8">
        <f>Table3[[#This Row],[PrimaTécnica]]*Table3[[#This Row],[Utilidad]]</f>
        <v>137.52771112800002</v>
      </c>
      <c r="L726" s="8">
        <f>Table3[[#This Row],[PrimaTécnica]]*Table3[[#This Row],[Marketing]]</f>
        <v>27.505542225600003</v>
      </c>
      <c r="M726" s="8">
        <f>Table3[[#This Row],[PrimaTécnica]]*Table3[[#This Row],[Cobranza]]</f>
        <v>27.505542225600003</v>
      </c>
      <c r="N72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726">
        <v>21.84</v>
      </c>
      <c r="P726">
        <v>54.6</v>
      </c>
      <c r="Q726">
        <v>80.64</v>
      </c>
      <c r="R726">
        <v>44.377200000000002</v>
      </c>
      <c r="S726">
        <v>0.2</v>
      </c>
      <c r="T726">
        <v>0.02</v>
      </c>
      <c r="U726" s="8">
        <f>Table3[[#This Row],[PrimaNeta]]*Table3[[#This Row],[Comisión]]</f>
        <v>738.00285564000012</v>
      </c>
      <c r="V726" s="15">
        <f>Table3[[#This Row],[PrimaComercial Anual]]-Table3[[#This Row],[PrimaComercial Anual]]*SUM(Table3[[#This Row],[APS]:[IVA]])</f>
        <v>3690.0142782000003</v>
      </c>
      <c r="W726" s="2">
        <v>1.4800000000000001E-2</v>
      </c>
      <c r="X726" s="2">
        <v>8.4501000000000007E-2</v>
      </c>
      <c r="Y726">
        <v>0.03</v>
      </c>
      <c r="Z726">
        <v>0.13</v>
      </c>
      <c r="AA726" s="20">
        <f>Table3[[#This Row],[APS]]*Table3[[#This Row],[PrimaComercial Anual]]</f>
        <v>73.730640000000008</v>
      </c>
      <c r="AB726" s="8">
        <f>Table3[[#This Row],[PrimaComercial Anual]]*Table3[[#This Row],[Recargo adicional]]</f>
        <v>420.96708180000007</v>
      </c>
      <c r="AC726" s="8">
        <f>Table3[[#This Row],[PrimaComercial Anual]]*Table3[[#This Row],[IT]]</f>
        <v>149.45400000000001</v>
      </c>
      <c r="AD726" s="8">
        <f>Table3[[#This Row],[PrimaComercial Anual]]*Table3[[#This Row],[IVA]]</f>
        <v>647.63400000000001</v>
      </c>
      <c r="AE726" s="15">
        <f>Table3[[#This Row],[PrimaComercial Anual Asistencia]]</f>
        <v>4981.8</v>
      </c>
      <c r="AG726">
        <v>4981.8</v>
      </c>
    </row>
    <row r="727" spans="1:33" x14ac:dyDescent="0.25">
      <c r="A727" t="s">
        <v>17</v>
      </c>
      <c r="B727">
        <v>700001</v>
      </c>
      <c r="C727">
        <v>32</v>
      </c>
      <c r="D727" s="2">
        <f>Table3[[#This Row],[PrimaTécnica]]-Table3[[#This Row],[PrimaTécnica]]*SUM(Table3[[#This Row],[Gastos Adm]:[Cobranza]])</f>
        <v>2145.4322935968003</v>
      </c>
      <c r="E727">
        <v>0</v>
      </c>
      <c r="F727">
        <v>0.15</v>
      </c>
      <c r="G727">
        <v>0.05</v>
      </c>
      <c r="H727">
        <v>0.01</v>
      </c>
      <c r="I727">
        <v>0.01</v>
      </c>
      <c r="J727" s="8">
        <f>Table3[[#This Row],[PrimaTécnica]]*Table3[[#This Row],[Gastos Adm]]</f>
        <v>412.58313338400001</v>
      </c>
      <c r="K727" s="8">
        <f>Table3[[#This Row],[PrimaTécnica]]*Table3[[#This Row],[Utilidad]]</f>
        <v>137.52771112800002</v>
      </c>
      <c r="L727" s="8">
        <f>Table3[[#This Row],[PrimaTécnica]]*Table3[[#This Row],[Marketing]]</f>
        <v>27.505542225600003</v>
      </c>
      <c r="M727" s="8">
        <f>Table3[[#This Row],[PrimaTécnica]]*Table3[[#This Row],[Cobranza]]</f>
        <v>27.505542225600003</v>
      </c>
      <c r="N72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727">
        <v>21.84</v>
      </c>
      <c r="P727">
        <v>54.6</v>
      </c>
      <c r="Q727">
        <v>80.64</v>
      </c>
      <c r="R727">
        <v>44.377200000000002</v>
      </c>
      <c r="S727">
        <v>0.2</v>
      </c>
      <c r="T727">
        <v>0.02</v>
      </c>
      <c r="U727" s="8">
        <f>Table3[[#This Row],[PrimaNeta]]*Table3[[#This Row],[Comisión]]</f>
        <v>738.00285564000012</v>
      </c>
      <c r="V727" s="15">
        <f>Table3[[#This Row],[PrimaComercial Anual]]-Table3[[#This Row],[PrimaComercial Anual]]*SUM(Table3[[#This Row],[APS]:[IVA]])</f>
        <v>3690.0142782000003</v>
      </c>
      <c r="W727" s="2">
        <v>1.4800000000000001E-2</v>
      </c>
      <c r="X727" s="2">
        <v>8.4501000000000007E-2</v>
      </c>
      <c r="Y727">
        <v>0.03</v>
      </c>
      <c r="Z727">
        <v>0.13</v>
      </c>
      <c r="AA727" s="20">
        <f>Table3[[#This Row],[APS]]*Table3[[#This Row],[PrimaComercial Anual]]</f>
        <v>73.730640000000008</v>
      </c>
      <c r="AB727" s="8">
        <f>Table3[[#This Row],[PrimaComercial Anual]]*Table3[[#This Row],[Recargo adicional]]</f>
        <v>420.96708180000007</v>
      </c>
      <c r="AC727" s="8">
        <f>Table3[[#This Row],[PrimaComercial Anual]]*Table3[[#This Row],[IT]]</f>
        <v>149.45400000000001</v>
      </c>
      <c r="AD727" s="8">
        <f>Table3[[#This Row],[PrimaComercial Anual]]*Table3[[#This Row],[IVA]]</f>
        <v>647.63400000000001</v>
      </c>
      <c r="AE727" s="15">
        <f>Table3[[#This Row],[PrimaComercial Anual Asistencia]]</f>
        <v>4981.8</v>
      </c>
      <c r="AG727">
        <v>4981.8</v>
      </c>
    </row>
    <row r="728" spans="1:33" x14ac:dyDescent="0.25">
      <c r="A728" t="s">
        <v>17</v>
      </c>
      <c r="B728">
        <v>700001</v>
      </c>
      <c r="C728">
        <v>33</v>
      </c>
      <c r="D728" s="2">
        <f>Table3[[#This Row],[PrimaTécnica]]-Table3[[#This Row],[PrimaTécnica]]*SUM(Table3[[#This Row],[Gastos Adm]:[Cobranza]])</f>
        <v>2145.4322935968003</v>
      </c>
      <c r="E728">
        <v>0</v>
      </c>
      <c r="F728">
        <v>0.15</v>
      </c>
      <c r="G728">
        <v>0.05</v>
      </c>
      <c r="H728">
        <v>0.01</v>
      </c>
      <c r="I728">
        <v>0.01</v>
      </c>
      <c r="J728" s="8">
        <f>Table3[[#This Row],[PrimaTécnica]]*Table3[[#This Row],[Gastos Adm]]</f>
        <v>412.58313338400001</v>
      </c>
      <c r="K728" s="8">
        <f>Table3[[#This Row],[PrimaTécnica]]*Table3[[#This Row],[Utilidad]]</f>
        <v>137.52771112800002</v>
      </c>
      <c r="L728" s="8">
        <f>Table3[[#This Row],[PrimaTécnica]]*Table3[[#This Row],[Marketing]]</f>
        <v>27.505542225600003</v>
      </c>
      <c r="M728" s="8">
        <f>Table3[[#This Row],[PrimaTécnica]]*Table3[[#This Row],[Cobranza]]</f>
        <v>27.505542225600003</v>
      </c>
      <c r="N72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728">
        <v>21.84</v>
      </c>
      <c r="P728">
        <v>54.6</v>
      </c>
      <c r="Q728">
        <v>80.64</v>
      </c>
      <c r="R728">
        <v>44.377200000000002</v>
      </c>
      <c r="S728">
        <v>0.2</v>
      </c>
      <c r="T728">
        <v>0.02</v>
      </c>
      <c r="U728" s="8">
        <f>Table3[[#This Row],[PrimaNeta]]*Table3[[#This Row],[Comisión]]</f>
        <v>738.00285564000012</v>
      </c>
      <c r="V728" s="15">
        <f>Table3[[#This Row],[PrimaComercial Anual]]-Table3[[#This Row],[PrimaComercial Anual]]*SUM(Table3[[#This Row],[APS]:[IVA]])</f>
        <v>3690.0142782000003</v>
      </c>
      <c r="W728" s="2">
        <v>1.4800000000000001E-2</v>
      </c>
      <c r="X728" s="2">
        <v>8.4501000000000007E-2</v>
      </c>
      <c r="Y728">
        <v>0.03</v>
      </c>
      <c r="Z728">
        <v>0.13</v>
      </c>
      <c r="AA728" s="20">
        <f>Table3[[#This Row],[APS]]*Table3[[#This Row],[PrimaComercial Anual]]</f>
        <v>73.730640000000008</v>
      </c>
      <c r="AB728" s="8">
        <f>Table3[[#This Row],[PrimaComercial Anual]]*Table3[[#This Row],[Recargo adicional]]</f>
        <v>420.96708180000007</v>
      </c>
      <c r="AC728" s="8">
        <f>Table3[[#This Row],[PrimaComercial Anual]]*Table3[[#This Row],[IT]]</f>
        <v>149.45400000000001</v>
      </c>
      <c r="AD728" s="8">
        <f>Table3[[#This Row],[PrimaComercial Anual]]*Table3[[#This Row],[IVA]]</f>
        <v>647.63400000000001</v>
      </c>
      <c r="AE728" s="15">
        <f>Table3[[#This Row],[PrimaComercial Anual Asistencia]]</f>
        <v>4981.8</v>
      </c>
      <c r="AG728">
        <v>4981.8</v>
      </c>
    </row>
    <row r="729" spans="1:33" x14ac:dyDescent="0.25">
      <c r="A729" t="s">
        <v>17</v>
      </c>
      <c r="B729">
        <v>700001</v>
      </c>
      <c r="C729">
        <v>34</v>
      </c>
      <c r="D729" s="2">
        <f>Table3[[#This Row],[PrimaTécnica]]-Table3[[#This Row],[PrimaTécnica]]*SUM(Table3[[#This Row],[Gastos Adm]:[Cobranza]])</f>
        <v>2145.4322935968003</v>
      </c>
      <c r="E729">
        <v>0</v>
      </c>
      <c r="F729">
        <v>0.15</v>
      </c>
      <c r="G729">
        <v>0.05</v>
      </c>
      <c r="H729">
        <v>0.01</v>
      </c>
      <c r="I729">
        <v>0.01</v>
      </c>
      <c r="J729" s="8">
        <f>Table3[[#This Row],[PrimaTécnica]]*Table3[[#This Row],[Gastos Adm]]</f>
        <v>412.58313338400001</v>
      </c>
      <c r="K729" s="8">
        <f>Table3[[#This Row],[PrimaTécnica]]*Table3[[#This Row],[Utilidad]]</f>
        <v>137.52771112800002</v>
      </c>
      <c r="L729" s="8">
        <f>Table3[[#This Row],[PrimaTécnica]]*Table3[[#This Row],[Marketing]]</f>
        <v>27.505542225600003</v>
      </c>
      <c r="M729" s="8">
        <f>Table3[[#This Row],[PrimaTécnica]]*Table3[[#This Row],[Cobranza]]</f>
        <v>27.505542225600003</v>
      </c>
      <c r="N72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729">
        <v>21.84</v>
      </c>
      <c r="P729">
        <v>54.6</v>
      </c>
      <c r="Q729">
        <v>80.64</v>
      </c>
      <c r="R729">
        <v>44.377200000000002</v>
      </c>
      <c r="S729">
        <v>0.2</v>
      </c>
      <c r="T729">
        <v>0.02</v>
      </c>
      <c r="U729" s="8">
        <f>Table3[[#This Row],[PrimaNeta]]*Table3[[#This Row],[Comisión]]</f>
        <v>738.00285564000012</v>
      </c>
      <c r="V729" s="15">
        <f>Table3[[#This Row],[PrimaComercial Anual]]-Table3[[#This Row],[PrimaComercial Anual]]*SUM(Table3[[#This Row],[APS]:[IVA]])</f>
        <v>3690.0142782000003</v>
      </c>
      <c r="W729" s="2">
        <v>1.4800000000000001E-2</v>
      </c>
      <c r="X729" s="2">
        <v>8.4501000000000007E-2</v>
      </c>
      <c r="Y729">
        <v>0.03</v>
      </c>
      <c r="Z729">
        <v>0.13</v>
      </c>
      <c r="AA729" s="20">
        <f>Table3[[#This Row],[APS]]*Table3[[#This Row],[PrimaComercial Anual]]</f>
        <v>73.730640000000008</v>
      </c>
      <c r="AB729" s="8">
        <f>Table3[[#This Row],[PrimaComercial Anual]]*Table3[[#This Row],[Recargo adicional]]</f>
        <v>420.96708180000007</v>
      </c>
      <c r="AC729" s="8">
        <f>Table3[[#This Row],[PrimaComercial Anual]]*Table3[[#This Row],[IT]]</f>
        <v>149.45400000000001</v>
      </c>
      <c r="AD729" s="8">
        <f>Table3[[#This Row],[PrimaComercial Anual]]*Table3[[#This Row],[IVA]]</f>
        <v>647.63400000000001</v>
      </c>
      <c r="AE729" s="15">
        <f>Table3[[#This Row],[PrimaComercial Anual Asistencia]]</f>
        <v>4981.8</v>
      </c>
      <c r="AG729">
        <v>4981.8</v>
      </c>
    </row>
    <row r="730" spans="1:33" x14ac:dyDescent="0.25">
      <c r="A730" t="s">
        <v>17</v>
      </c>
      <c r="B730">
        <v>700001</v>
      </c>
      <c r="C730">
        <v>35</v>
      </c>
      <c r="D730" s="2">
        <f>Table3[[#This Row],[PrimaTécnica]]-Table3[[#This Row],[PrimaTécnica]]*SUM(Table3[[#This Row],[Gastos Adm]:[Cobranza]])</f>
        <v>2145.4322935968003</v>
      </c>
      <c r="E730">
        <v>0</v>
      </c>
      <c r="F730">
        <v>0.15</v>
      </c>
      <c r="G730">
        <v>0.05</v>
      </c>
      <c r="H730">
        <v>0.01</v>
      </c>
      <c r="I730">
        <v>0.01</v>
      </c>
      <c r="J730" s="8">
        <f>Table3[[#This Row],[PrimaTécnica]]*Table3[[#This Row],[Gastos Adm]]</f>
        <v>412.58313338400001</v>
      </c>
      <c r="K730" s="8">
        <f>Table3[[#This Row],[PrimaTécnica]]*Table3[[#This Row],[Utilidad]]</f>
        <v>137.52771112800002</v>
      </c>
      <c r="L730" s="8">
        <f>Table3[[#This Row],[PrimaTécnica]]*Table3[[#This Row],[Marketing]]</f>
        <v>27.505542225600003</v>
      </c>
      <c r="M730" s="8">
        <f>Table3[[#This Row],[PrimaTécnica]]*Table3[[#This Row],[Cobranza]]</f>
        <v>27.505542225600003</v>
      </c>
      <c r="N73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730">
        <v>21.84</v>
      </c>
      <c r="P730">
        <v>54.6</v>
      </c>
      <c r="Q730">
        <v>80.64</v>
      </c>
      <c r="R730">
        <v>44.377200000000002</v>
      </c>
      <c r="S730">
        <v>0.2</v>
      </c>
      <c r="T730">
        <v>0.02</v>
      </c>
      <c r="U730" s="8">
        <f>Table3[[#This Row],[PrimaNeta]]*Table3[[#This Row],[Comisión]]</f>
        <v>738.00285564000012</v>
      </c>
      <c r="V730" s="15">
        <f>Table3[[#This Row],[PrimaComercial Anual]]-Table3[[#This Row],[PrimaComercial Anual]]*SUM(Table3[[#This Row],[APS]:[IVA]])</f>
        <v>3690.0142782000003</v>
      </c>
      <c r="W730" s="2">
        <v>1.4800000000000001E-2</v>
      </c>
      <c r="X730" s="2">
        <v>8.4501000000000007E-2</v>
      </c>
      <c r="Y730">
        <v>0.03</v>
      </c>
      <c r="Z730">
        <v>0.13</v>
      </c>
      <c r="AA730" s="20">
        <f>Table3[[#This Row],[APS]]*Table3[[#This Row],[PrimaComercial Anual]]</f>
        <v>73.730640000000008</v>
      </c>
      <c r="AB730" s="8">
        <f>Table3[[#This Row],[PrimaComercial Anual]]*Table3[[#This Row],[Recargo adicional]]</f>
        <v>420.96708180000007</v>
      </c>
      <c r="AC730" s="8">
        <f>Table3[[#This Row],[PrimaComercial Anual]]*Table3[[#This Row],[IT]]</f>
        <v>149.45400000000001</v>
      </c>
      <c r="AD730" s="8">
        <f>Table3[[#This Row],[PrimaComercial Anual]]*Table3[[#This Row],[IVA]]</f>
        <v>647.63400000000001</v>
      </c>
      <c r="AE730" s="15">
        <f>Table3[[#This Row],[PrimaComercial Anual Asistencia]]</f>
        <v>4981.8</v>
      </c>
      <c r="AG730">
        <v>4981.8</v>
      </c>
    </row>
    <row r="731" spans="1:33" x14ac:dyDescent="0.25">
      <c r="A731" t="s">
        <v>17</v>
      </c>
      <c r="B731">
        <v>700001</v>
      </c>
      <c r="C731">
        <v>36</v>
      </c>
      <c r="D731" s="2">
        <f>Table3[[#This Row],[PrimaTécnica]]-Table3[[#This Row],[PrimaTécnica]]*SUM(Table3[[#This Row],[Gastos Adm]:[Cobranza]])</f>
        <v>2145.4322935968003</v>
      </c>
      <c r="E731">
        <v>0</v>
      </c>
      <c r="F731">
        <v>0.15</v>
      </c>
      <c r="G731">
        <v>0.05</v>
      </c>
      <c r="H731">
        <v>0.01</v>
      </c>
      <c r="I731">
        <v>0.01</v>
      </c>
      <c r="J731" s="8">
        <f>Table3[[#This Row],[PrimaTécnica]]*Table3[[#This Row],[Gastos Adm]]</f>
        <v>412.58313338400001</v>
      </c>
      <c r="K731" s="8">
        <f>Table3[[#This Row],[PrimaTécnica]]*Table3[[#This Row],[Utilidad]]</f>
        <v>137.52771112800002</v>
      </c>
      <c r="L731" s="8">
        <f>Table3[[#This Row],[PrimaTécnica]]*Table3[[#This Row],[Marketing]]</f>
        <v>27.505542225600003</v>
      </c>
      <c r="M731" s="8">
        <f>Table3[[#This Row],[PrimaTécnica]]*Table3[[#This Row],[Cobranza]]</f>
        <v>27.505542225600003</v>
      </c>
      <c r="N73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731">
        <v>21.84</v>
      </c>
      <c r="P731">
        <v>54.6</v>
      </c>
      <c r="Q731">
        <v>80.64</v>
      </c>
      <c r="R731">
        <v>44.377200000000002</v>
      </c>
      <c r="S731">
        <v>0.2</v>
      </c>
      <c r="T731">
        <v>0.02</v>
      </c>
      <c r="U731" s="8">
        <f>Table3[[#This Row],[PrimaNeta]]*Table3[[#This Row],[Comisión]]</f>
        <v>738.00285564000012</v>
      </c>
      <c r="V731" s="15">
        <f>Table3[[#This Row],[PrimaComercial Anual]]-Table3[[#This Row],[PrimaComercial Anual]]*SUM(Table3[[#This Row],[APS]:[IVA]])</f>
        <v>3690.0142782000003</v>
      </c>
      <c r="W731" s="2">
        <v>1.4800000000000001E-2</v>
      </c>
      <c r="X731" s="2">
        <v>8.4501000000000007E-2</v>
      </c>
      <c r="Y731">
        <v>0.03</v>
      </c>
      <c r="Z731">
        <v>0.13</v>
      </c>
      <c r="AA731" s="20">
        <f>Table3[[#This Row],[APS]]*Table3[[#This Row],[PrimaComercial Anual]]</f>
        <v>73.730640000000008</v>
      </c>
      <c r="AB731" s="8">
        <f>Table3[[#This Row],[PrimaComercial Anual]]*Table3[[#This Row],[Recargo adicional]]</f>
        <v>420.96708180000007</v>
      </c>
      <c r="AC731" s="8">
        <f>Table3[[#This Row],[PrimaComercial Anual]]*Table3[[#This Row],[IT]]</f>
        <v>149.45400000000001</v>
      </c>
      <c r="AD731" s="8">
        <f>Table3[[#This Row],[PrimaComercial Anual]]*Table3[[#This Row],[IVA]]</f>
        <v>647.63400000000001</v>
      </c>
      <c r="AE731" s="15">
        <f>Table3[[#This Row],[PrimaComercial Anual Asistencia]]</f>
        <v>4981.8</v>
      </c>
      <c r="AG731">
        <v>4981.8</v>
      </c>
    </row>
    <row r="732" spans="1:33" x14ac:dyDescent="0.25">
      <c r="A732" t="s">
        <v>17</v>
      </c>
      <c r="B732">
        <v>700001</v>
      </c>
      <c r="C732">
        <v>37</v>
      </c>
      <c r="D732" s="2">
        <f>Table3[[#This Row],[PrimaTécnica]]-Table3[[#This Row],[PrimaTécnica]]*SUM(Table3[[#This Row],[Gastos Adm]:[Cobranza]])</f>
        <v>2145.4322935968003</v>
      </c>
      <c r="E732">
        <v>0</v>
      </c>
      <c r="F732">
        <v>0.15</v>
      </c>
      <c r="G732">
        <v>0.05</v>
      </c>
      <c r="H732">
        <v>0.01</v>
      </c>
      <c r="I732">
        <v>0.01</v>
      </c>
      <c r="J732" s="8">
        <f>Table3[[#This Row],[PrimaTécnica]]*Table3[[#This Row],[Gastos Adm]]</f>
        <v>412.58313338400001</v>
      </c>
      <c r="K732" s="8">
        <f>Table3[[#This Row],[PrimaTécnica]]*Table3[[#This Row],[Utilidad]]</f>
        <v>137.52771112800002</v>
      </c>
      <c r="L732" s="8">
        <f>Table3[[#This Row],[PrimaTécnica]]*Table3[[#This Row],[Marketing]]</f>
        <v>27.505542225600003</v>
      </c>
      <c r="M732" s="8">
        <f>Table3[[#This Row],[PrimaTécnica]]*Table3[[#This Row],[Cobranza]]</f>
        <v>27.505542225600003</v>
      </c>
      <c r="N73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732">
        <v>21.84</v>
      </c>
      <c r="P732">
        <v>54.6</v>
      </c>
      <c r="Q732">
        <v>80.64</v>
      </c>
      <c r="R732">
        <v>44.377200000000002</v>
      </c>
      <c r="S732">
        <v>0.2</v>
      </c>
      <c r="T732">
        <v>0.02</v>
      </c>
      <c r="U732" s="8">
        <f>Table3[[#This Row],[PrimaNeta]]*Table3[[#This Row],[Comisión]]</f>
        <v>738.00285564000012</v>
      </c>
      <c r="V732" s="15">
        <f>Table3[[#This Row],[PrimaComercial Anual]]-Table3[[#This Row],[PrimaComercial Anual]]*SUM(Table3[[#This Row],[APS]:[IVA]])</f>
        <v>3690.0142782000003</v>
      </c>
      <c r="W732" s="2">
        <v>1.4800000000000001E-2</v>
      </c>
      <c r="X732" s="2">
        <v>8.4501000000000007E-2</v>
      </c>
      <c r="Y732">
        <v>0.03</v>
      </c>
      <c r="Z732">
        <v>0.13</v>
      </c>
      <c r="AA732" s="20">
        <f>Table3[[#This Row],[APS]]*Table3[[#This Row],[PrimaComercial Anual]]</f>
        <v>73.730640000000008</v>
      </c>
      <c r="AB732" s="8">
        <f>Table3[[#This Row],[PrimaComercial Anual]]*Table3[[#This Row],[Recargo adicional]]</f>
        <v>420.96708180000007</v>
      </c>
      <c r="AC732" s="8">
        <f>Table3[[#This Row],[PrimaComercial Anual]]*Table3[[#This Row],[IT]]</f>
        <v>149.45400000000001</v>
      </c>
      <c r="AD732" s="8">
        <f>Table3[[#This Row],[PrimaComercial Anual]]*Table3[[#This Row],[IVA]]</f>
        <v>647.63400000000001</v>
      </c>
      <c r="AE732" s="15">
        <f>Table3[[#This Row],[PrimaComercial Anual Asistencia]]</f>
        <v>4981.8</v>
      </c>
      <c r="AG732">
        <v>4981.8</v>
      </c>
    </row>
    <row r="733" spans="1:33" x14ac:dyDescent="0.25">
      <c r="A733" t="s">
        <v>17</v>
      </c>
      <c r="B733">
        <v>700001</v>
      </c>
      <c r="C733">
        <v>38</v>
      </c>
      <c r="D733" s="2">
        <f>Table3[[#This Row],[PrimaTécnica]]-Table3[[#This Row],[PrimaTécnica]]*SUM(Table3[[#This Row],[Gastos Adm]:[Cobranza]])</f>
        <v>2145.4322935968003</v>
      </c>
      <c r="E733">
        <v>0</v>
      </c>
      <c r="F733">
        <v>0.15</v>
      </c>
      <c r="G733">
        <v>0.05</v>
      </c>
      <c r="H733">
        <v>0.01</v>
      </c>
      <c r="I733">
        <v>0.01</v>
      </c>
      <c r="J733" s="8">
        <f>Table3[[#This Row],[PrimaTécnica]]*Table3[[#This Row],[Gastos Adm]]</f>
        <v>412.58313338400001</v>
      </c>
      <c r="K733" s="8">
        <f>Table3[[#This Row],[PrimaTécnica]]*Table3[[#This Row],[Utilidad]]</f>
        <v>137.52771112800002</v>
      </c>
      <c r="L733" s="8">
        <f>Table3[[#This Row],[PrimaTécnica]]*Table3[[#This Row],[Marketing]]</f>
        <v>27.505542225600003</v>
      </c>
      <c r="M733" s="8">
        <f>Table3[[#This Row],[PrimaTécnica]]*Table3[[#This Row],[Cobranza]]</f>
        <v>27.505542225600003</v>
      </c>
      <c r="N73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733">
        <v>21.84</v>
      </c>
      <c r="P733">
        <v>54.6</v>
      </c>
      <c r="Q733">
        <v>80.64</v>
      </c>
      <c r="R733">
        <v>44.377200000000002</v>
      </c>
      <c r="S733">
        <v>0.2</v>
      </c>
      <c r="T733">
        <v>0.02</v>
      </c>
      <c r="U733" s="8">
        <f>Table3[[#This Row],[PrimaNeta]]*Table3[[#This Row],[Comisión]]</f>
        <v>738.00285564000012</v>
      </c>
      <c r="V733" s="15">
        <f>Table3[[#This Row],[PrimaComercial Anual]]-Table3[[#This Row],[PrimaComercial Anual]]*SUM(Table3[[#This Row],[APS]:[IVA]])</f>
        <v>3690.0142782000003</v>
      </c>
      <c r="W733" s="2">
        <v>1.4800000000000001E-2</v>
      </c>
      <c r="X733" s="2">
        <v>8.4501000000000007E-2</v>
      </c>
      <c r="Y733">
        <v>0.03</v>
      </c>
      <c r="Z733">
        <v>0.13</v>
      </c>
      <c r="AA733" s="20">
        <f>Table3[[#This Row],[APS]]*Table3[[#This Row],[PrimaComercial Anual]]</f>
        <v>73.730640000000008</v>
      </c>
      <c r="AB733" s="8">
        <f>Table3[[#This Row],[PrimaComercial Anual]]*Table3[[#This Row],[Recargo adicional]]</f>
        <v>420.96708180000007</v>
      </c>
      <c r="AC733" s="8">
        <f>Table3[[#This Row],[PrimaComercial Anual]]*Table3[[#This Row],[IT]]</f>
        <v>149.45400000000001</v>
      </c>
      <c r="AD733" s="8">
        <f>Table3[[#This Row],[PrimaComercial Anual]]*Table3[[#This Row],[IVA]]</f>
        <v>647.63400000000001</v>
      </c>
      <c r="AE733" s="15">
        <f>Table3[[#This Row],[PrimaComercial Anual Asistencia]]</f>
        <v>4981.8</v>
      </c>
      <c r="AG733">
        <v>4981.8</v>
      </c>
    </row>
    <row r="734" spans="1:33" x14ac:dyDescent="0.25">
      <c r="A734" t="s">
        <v>17</v>
      </c>
      <c r="B734">
        <v>700001</v>
      </c>
      <c r="C734">
        <v>39</v>
      </c>
      <c r="D734" s="2">
        <f>Table3[[#This Row],[PrimaTécnica]]-Table3[[#This Row],[PrimaTécnica]]*SUM(Table3[[#This Row],[Gastos Adm]:[Cobranza]])</f>
        <v>2145.4322935968003</v>
      </c>
      <c r="E734">
        <v>0</v>
      </c>
      <c r="F734">
        <v>0.15</v>
      </c>
      <c r="G734">
        <v>0.05</v>
      </c>
      <c r="H734">
        <v>0.01</v>
      </c>
      <c r="I734">
        <v>0.01</v>
      </c>
      <c r="J734" s="8">
        <f>Table3[[#This Row],[PrimaTécnica]]*Table3[[#This Row],[Gastos Adm]]</f>
        <v>412.58313338400001</v>
      </c>
      <c r="K734" s="8">
        <f>Table3[[#This Row],[PrimaTécnica]]*Table3[[#This Row],[Utilidad]]</f>
        <v>137.52771112800002</v>
      </c>
      <c r="L734" s="8">
        <f>Table3[[#This Row],[PrimaTécnica]]*Table3[[#This Row],[Marketing]]</f>
        <v>27.505542225600003</v>
      </c>
      <c r="M734" s="8">
        <f>Table3[[#This Row],[PrimaTécnica]]*Table3[[#This Row],[Cobranza]]</f>
        <v>27.505542225600003</v>
      </c>
      <c r="N73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2750.5542225600002</v>
      </c>
      <c r="O734">
        <v>21.84</v>
      </c>
      <c r="P734">
        <v>54.6</v>
      </c>
      <c r="Q734">
        <v>80.64</v>
      </c>
      <c r="R734">
        <v>44.377200000000002</v>
      </c>
      <c r="S734">
        <v>0.2</v>
      </c>
      <c r="T734">
        <v>0.02</v>
      </c>
      <c r="U734" s="8">
        <f>Table3[[#This Row],[PrimaNeta]]*Table3[[#This Row],[Comisión]]</f>
        <v>738.00285564000012</v>
      </c>
      <c r="V734" s="15">
        <f>Table3[[#This Row],[PrimaComercial Anual]]-Table3[[#This Row],[PrimaComercial Anual]]*SUM(Table3[[#This Row],[APS]:[IVA]])</f>
        <v>3690.0142782000003</v>
      </c>
      <c r="W734" s="2">
        <v>1.4800000000000001E-2</v>
      </c>
      <c r="X734" s="2">
        <v>8.4501000000000007E-2</v>
      </c>
      <c r="Y734">
        <v>0.03</v>
      </c>
      <c r="Z734">
        <v>0.13</v>
      </c>
      <c r="AA734" s="20">
        <f>Table3[[#This Row],[APS]]*Table3[[#This Row],[PrimaComercial Anual]]</f>
        <v>73.730640000000008</v>
      </c>
      <c r="AB734" s="8">
        <f>Table3[[#This Row],[PrimaComercial Anual]]*Table3[[#This Row],[Recargo adicional]]</f>
        <v>420.96708180000007</v>
      </c>
      <c r="AC734" s="8">
        <f>Table3[[#This Row],[PrimaComercial Anual]]*Table3[[#This Row],[IT]]</f>
        <v>149.45400000000001</v>
      </c>
      <c r="AD734" s="8">
        <f>Table3[[#This Row],[PrimaComercial Anual]]*Table3[[#This Row],[IVA]]</f>
        <v>647.63400000000001</v>
      </c>
      <c r="AE734" s="15">
        <f>Table3[[#This Row],[PrimaComercial Anual Asistencia]]</f>
        <v>4981.8</v>
      </c>
      <c r="AG734">
        <v>4981.8</v>
      </c>
    </row>
    <row r="735" spans="1:33" x14ac:dyDescent="0.25">
      <c r="A735" t="s">
        <v>17</v>
      </c>
      <c r="B735">
        <v>700001</v>
      </c>
      <c r="C735">
        <v>40</v>
      </c>
      <c r="D735" s="2">
        <f>Table3[[#This Row],[PrimaTécnica]]-Table3[[#This Row],[PrimaTécnica]]*SUM(Table3[[#This Row],[Gastos Adm]:[Cobranza]])</f>
        <v>2883.0973904927996</v>
      </c>
      <c r="E735">
        <v>0</v>
      </c>
      <c r="F735">
        <v>0.15</v>
      </c>
      <c r="G735">
        <v>0.05</v>
      </c>
      <c r="H735">
        <v>0.01</v>
      </c>
      <c r="I735">
        <v>0.01</v>
      </c>
      <c r="J735" s="8">
        <f>Table3[[#This Row],[PrimaTécnica]]*Table3[[#This Row],[Gastos Adm]]</f>
        <v>554.441805864</v>
      </c>
      <c r="K735" s="8">
        <f>Table3[[#This Row],[PrimaTécnica]]*Table3[[#This Row],[Utilidad]]</f>
        <v>184.81393528800001</v>
      </c>
      <c r="L735" s="8">
        <f>Table3[[#This Row],[PrimaTécnica]]*Table3[[#This Row],[Marketing]]</f>
        <v>36.962787057599996</v>
      </c>
      <c r="M735" s="8">
        <f>Table3[[#This Row],[PrimaTécnica]]*Table3[[#This Row],[Cobranza]]</f>
        <v>36.962787057599996</v>
      </c>
      <c r="N73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3696.2787057599999</v>
      </c>
      <c r="O735">
        <v>21.84</v>
      </c>
      <c r="P735">
        <v>54.6</v>
      </c>
      <c r="Q735">
        <v>80.64</v>
      </c>
      <c r="R735">
        <v>44.377200000000002</v>
      </c>
      <c r="S735">
        <v>0.2</v>
      </c>
      <c r="T735">
        <v>0.02</v>
      </c>
      <c r="U735" s="8">
        <f>Table3[[#This Row],[PrimaNeta]]*Table3[[#This Row],[Comisión]]</f>
        <v>974.43397644000004</v>
      </c>
      <c r="V735" s="15">
        <f>Table3[[#This Row],[PrimaComercial Anual]]-Table3[[#This Row],[PrimaComercial Anual]]*SUM(Table3[[#This Row],[APS]:[IVA]])</f>
        <v>4872.1698821999998</v>
      </c>
      <c r="W735" s="2">
        <v>1.4800000000000001E-2</v>
      </c>
      <c r="X735" s="2">
        <v>8.4501000000000007E-2</v>
      </c>
      <c r="Y735">
        <v>0.03</v>
      </c>
      <c r="Z735">
        <v>0.13</v>
      </c>
      <c r="AA735" s="20">
        <f>Table3[[#This Row],[APS]]*Table3[[#This Row],[PrimaComercial Anual]]</f>
        <v>97.351440000000011</v>
      </c>
      <c r="AB735" s="8">
        <f>Table3[[#This Row],[PrimaComercial Anual]]*Table3[[#This Row],[Recargo adicional]]</f>
        <v>555.8306778000001</v>
      </c>
      <c r="AC735" s="8">
        <f>Table3[[#This Row],[PrimaComercial Anual]]*Table3[[#This Row],[IT]]</f>
        <v>197.334</v>
      </c>
      <c r="AD735" s="8">
        <f>Table3[[#This Row],[PrimaComercial Anual]]*Table3[[#This Row],[IVA]]</f>
        <v>855.11400000000003</v>
      </c>
      <c r="AE735" s="15">
        <f>Table3[[#This Row],[PrimaComercial Anual Asistencia]]</f>
        <v>6577.8</v>
      </c>
      <c r="AG735">
        <v>6577.8</v>
      </c>
    </row>
    <row r="736" spans="1:33" x14ac:dyDescent="0.25">
      <c r="A736" t="s">
        <v>17</v>
      </c>
      <c r="B736">
        <v>700001</v>
      </c>
      <c r="C736">
        <v>41</v>
      </c>
      <c r="D736" s="2">
        <f>Table3[[#This Row],[PrimaTécnica]]-Table3[[#This Row],[PrimaTécnica]]*SUM(Table3[[#This Row],[Gastos Adm]:[Cobranza]])</f>
        <v>2883.0973904927996</v>
      </c>
      <c r="E736">
        <v>0</v>
      </c>
      <c r="F736">
        <v>0.15</v>
      </c>
      <c r="G736">
        <v>0.05</v>
      </c>
      <c r="H736">
        <v>0.01</v>
      </c>
      <c r="I736">
        <v>0.01</v>
      </c>
      <c r="J736" s="8">
        <f>Table3[[#This Row],[PrimaTécnica]]*Table3[[#This Row],[Gastos Adm]]</f>
        <v>554.441805864</v>
      </c>
      <c r="K736" s="8">
        <f>Table3[[#This Row],[PrimaTécnica]]*Table3[[#This Row],[Utilidad]]</f>
        <v>184.81393528800001</v>
      </c>
      <c r="L736" s="8">
        <f>Table3[[#This Row],[PrimaTécnica]]*Table3[[#This Row],[Marketing]]</f>
        <v>36.962787057599996</v>
      </c>
      <c r="M736" s="8">
        <f>Table3[[#This Row],[PrimaTécnica]]*Table3[[#This Row],[Cobranza]]</f>
        <v>36.962787057599996</v>
      </c>
      <c r="N73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3696.2787057599999</v>
      </c>
      <c r="O736">
        <v>21.84</v>
      </c>
      <c r="P736">
        <v>54.6</v>
      </c>
      <c r="Q736">
        <v>80.64</v>
      </c>
      <c r="R736">
        <v>44.377200000000002</v>
      </c>
      <c r="S736">
        <v>0.2</v>
      </c>
      <c r="T736">
        <v>0.02</v>
      </c>
      <c r="U736" s="8">
        <f>Table3[[#This Row],[PrimaNeta]]*Table3[[#This Row],[Comisión]]</f>
        <v>974.43397644000004</v>
      </c>
      <c r="V736" s="15">
        <f>Table3[[#This Row],[PrimaComercial Anual]]-Table3[[#This Row],[PrimaComercial Anual]]*SUM(Table3[[#This Row],[APS]:[IVA]])</f>
        <v>4872.1698821999998</v>
      </c>
      <c r="W736" s="2">
        <v>1.4800000000000001E-2</v>
      </c>
      <c r="X736" s="2">
        <v>8.4501000000000007E-2</v>
      </c>
      <c r="Y736">
        <v>0.03</v>
      </c>
      <c r="Z736">
        <v>0.13</v>
      </c>
      <c r="AA736" s="20">
        <f>Table3[[#This Row],[APS]]*Table3[[#This Row],[PrimaComercial Anual]]</f>
        <v>97.351440000000011</v>
      </c>
      <c r="AB736" s="8">
        <f>Table3[[#This Row],[PrimaComercial Anual]]*Table3[[#This Row],[Recargo adicional]]</f>
        <v>555.8306778000001</v>
      </c>
      <c r="AC736" s="8">
        <f>Table3[[#This Row],[PrimaComercial Anual]]*Table3[[#This Row],[IT]]</f>
        <v>197.334</v>
      </c>
      <c r="AD736" s="8">
        <f>Table3[[#This Row],[PrimaComercial Anual]]*Table3[[#This Row],[IVA]]</f>
        <v>855.11400000000003</v>
      </c>
      <c r="AE736" s="15">
        <f>Table3[[#This Row],[PrimaComercial Anual Asistencia]]</f>
        <v>6577.8</v>
      </c>
      <c r="AG736">
        <v>6577.8</v>
      </c>
    </row>
    <row r="737" spans="1:33" x14ac:dyDescent="0.25">
      <c r="A737" t="s">
        <v>17</v>
      </c>
      <c r="B737">
        <v>700001</v>
      </c>
      <c r="C737">
        <v>42</v>
      </c>
      <c r="D737" s="2">
        <f>Table3[[#This Row],[PrimaTécnica]]-Table3[[#This Row],[PrimaTécnica]]*SUM(Table3[[#This Row],[Gastos Adm]:[Cobranza]])</f>
        <v>2883.0973904927996</v>
      </c>
      <c r="E737">
        <v>0</v>
      </c>
      <c r="F737">
        <v>0.15</v>
      </c>
      <c r="G737">
        <v>0.05</v>
      </c>
      <c r="H737">
        <v>0.01</v>
      </c>
      <c r="I737">
        <v>0.01</v>
      </c>
      <c r="J737" s="8">
        <f>Table3[[#This Row],[PrimaTécnica]]*Table3[[#This Row],[Gastos Adm]]</f>
        <v>554.441805864</v>
      </c>
      <c r="K737" s="8">
        <f>Table3[[#This Row],[PrimaTécnica]]*Table3[[#This Row],[Utilidad]]</f>
        <v>184.81393528800001</v>
      </c>
      <c r="L737" s="8">
        <f>Table3[[#This Row],[PrimaTécnica]]*Table3[[#This Row],[Marketing]]</f>
        <v>36.962787057599996</v>
      </c>
      <c r="M737" s="8">
        <f>Table3[[#This Row],[PrimaTécnica]]*Table3[[#This Row],[Cobranza]]</f>
        <v>36.962787057599996</v>
      </c>
      <c r="N73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3696.2787057599999</v>
      </c>
      <c r="O737">
        <v>21.84</v>
      </c>
      <c r="P737">
        <v>54.6</v>
      </c>
      <c r="Q737">
        <v>80.64</v>
      </c>
      <c r="R737">
        <v>44.377200000000002</v>
      </c>
      <c r="S737">
        <v>0.2</v>
      </c>
      <c r="T737">
        <v>0.02</v>
      </c>
      <c r="U737" s="8">
        <f>Table3[[#This Row],[PrimaNeta]]*Table3[[#This Row],[Comisión]]</f>
        <v>974.43397644000004</v>
      </c>
      <c r="V737" s="15">
        <f>Table3[[#This Row],[PrimaComercial Anual]]-Table3[[#This Row],[PrimaComercial Anual]]*SUM(Table3[[#This Row],[APS]:[IVA]])</f>
        <v>4872.1698821999998</v>
      </c>
      <c r="W737" s="2">
        <v>1.4800000000000001E-2</v>
      </c>
      <c r="X737" s="2">
        <v>8.4501000000000007E-2</v>
      </c>
      <c r="Y737">
        <v>0.03</v>
      </c>
      <c r="Z737">
        <v>0.13</v>
      </c>
      <c r="AA737" s="20">
        <f>Table3[[#This Row],[APS]]*Table3[[#This Row],[PrimaComercial Anual]]</f>
        <v>97.351440000000011</v>
      </c>
      <c r="AB737" s="8">
        <f>Table3[[#This Row],[PrimaComercial Anual]]*Table3[[#This Row],[Recargo adicional]]</f>
        <v>555.8306778000001</v>
      </c>
      <c r="AC737" s="8">
        <f>Table3[[#This Row],[PrimaComercial Anual]]*Table3[[#This Row],[IT]]</f>
        <v>197.334</v>
      </c>
      <c r="AD737" s="8">
        <f>Table3[[#This Row],[PrimaComercial Anual]]*Table3[[#This Row],[IVA]]</f>
        <v>855.11400000000003</v>
      </c>
      <c r="AE737" s="15">
        <f>Table3[[#This Row],[PrimaComercial Anual Asistencia]]</f>
        <v>6577.8</v>
      </c>
      <c r="AG737">
        <v>6577.8</v>
      </c>
    </row>
    <row r="738" spans="1:33" x14ac:dyDescent="0.25">
      <c r="A738" t="s">
        <v>17</v>
      </c>
      <c r="B738">
        <v>700001</v>
      </c>
      <c r="C738">
        <v>43</v>
      </c>
      <c r="D738" s="2">
        <f>Table3[[#This Row],[PrimaTécnica]]-Table3[[#This Row],[PrimaTécnica]]*SUM(Table3[[#This Row],[Gastos Adm]:[Cobranza]])</f>
        <v>2883.0973904927996</v>
      </c>
      <c r="E738">
        <v>0</v>
      </c>
      <c r="F738">
        <v>0.15</v>
      </c>
      <c r="G738">
        <v>0.05</v>
      </c>
      <c r="H738">
        <v>0.01</v>
      </c>
      <c r="I738">
        <v>0.01</v>
      </c>
      <c r="J738" s="8">
        <f>Table3[[#This Row],[PrimaTécnica]]*Table3[[#This Row],[Gastos Adm]]</f>
        <v>554.441805864</v>
      </c>
      <c r="K738" s="8">
        <f>Table3[[#This Row],[PrimaTécnica]]*Table3[[#This Row],[Utilidad]]</f>
        <v>184.81393528800001</v>
      </c>
      <c r="L738" s="8">
        <f>Table3[[#This Row],[PrimaTécnica]]*Table3[[#This Row],[Marketing]]</f>
        <v>36.962787057599996</v>
      </c>
      <c r="M738" s="8">
        <f>Table3[[#This Row],[PrimaTécnica]]*Table3[[#This Row],[Cobranza]]</f>
        <v>36.962787057599996</v>
      </c>
      <c r="N73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3696.2787057599999</v>
      </c>
      <c r="O738">
        <v>21.84</v>
      </c>
      <c r="P738">
        <v>54.6</v>
      </c>
      <c r="Q738">
        <v>80.64</v>
      </c>
      <c r="R738">
        <v>44.377200000000002</v>
      </c>
      <c r="S738">
        <v>0.2</v>
      </c>
      <c r="T738">
        <v>0.02</v>
      </c>
      <c r="U738" s="8">
        <f>Table3[[#This Row],[PrimaNeta]]*Table3[[#This Row],[Comisión]]</f>
        <v>974.43397644000004</v>
      </c>
      <c r="V738" s="15">
        <f>Table3[[#This Row],[PrimaComercial Anual]]-Table3[[#This Row],[PrimaComercial Anual]]*SUM(Table3[[#This Row],[APS]:[IVA]])</f>
        <v>4872.1698821999998</v>
      </c>
      <c r="W738" s="2">
        <v>1.4800000000000001E-2</v>
      </c>
      <c r="X738" s="2">
        <v>8.4501000000000007E-2</v>
      </c>
      <c r="Y738">
        <v>0.03</v>
      </c>
      <c r="Z738">
        <v>0.13</v>
      </c>
      <c r="AA738" s="20">
        <f>Table3[[#This Row],[APS]]*Table3[[#This Row],[PrimaComercial Anual]]</f>
        <v>97.351440000000011</v>
      </c>
      <c r="AB738" s="8">
        <f>Table3[[#This Row],[PrimaComercial Anual]]*Table3[[#This Row],[Recargo adicional]]</f>
        <v>555.8306778000001</v>
      </c>
      <c r="AC738" s="8">
        <f>Table3[[#This Row],[PrimaComercial Anual]]*Table3[[#This Row],[IT]]</f>
        <v>197.334</v>
      </c>
      <c r="AD738" s="8">
        <f>Table3[[#This Row],[PrimaComercial Anual]]*Table3[[#This Row],[IVA]]</f>
        <v>855.11400000000003</v>
      </c>
      <c r="AE738" s="15">
        <f>Table3[[#This Row],[PrimaComercial Anual Asistencia]]</f>
        <v>6577.8</v>
      </c>
      <c r="AG738">
        <v>6577.8</v>
      </c>
    </row>
    <row r="739" spans="1:33" x14ac:dyDescent="0.25">
      <c r="A739" t="s">
        <v>17</v>
      </c>
      <c r="B739">
        <v>700001</v>
      </c>
      <c r="C739">
        <v>44</v>
      </c>
      <c r="D739" s="2">
        <f>Table3[[#This Row],[PrimaTécnica]]-Table3[[#This Row],[PrimaTécnica]]*SUM(Table3[[#This Row],[Gastos Adm]:[Cobranza]])</f>
        <v>2883.0973904927996</v>
      </c>
      <c r="E739">
        <v>0</v>
      </c>
      <c r="F739">
        <v>0.15</v>
      </c>
      <c r="G739">
        <v>0.05</v>
      </c>
      <c r="H739">
        <v>0.01</v>
      </c>
      <c r="I739">
        <v>0.01</v>
      </c>
      <c r="J739" s="8">
        <f>Table3[[#This Row],[PrimaTécnica]]*Table3[[#This Row],[Gastos Adm]]</f>
        <v>554.441805864</v>
      </c>
      <c r="K739" s="8">
        <f>Table3[[#This Row],[PrimaTécnica]]*Table3[[#This Row],[Utilidad]]</f>
        <v>184.81393528800001</v>
      </c>
      <c r="L739" s="8">
        <f>Table3[[#This Row],[PrimaTécnica]]*Table3[[#This Row],[Marketing]]</f>
        <v>36.962787057599996</v>
      </c>
      <c r="M739" s="8">
        <f>Table3[[#This Row],[PrimaTécnica]]*Table3[[#This Row],[Cobranza]]</f>
        <v>36.962787057599996</v>
      </c>
      <c r="N73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3696.2787057599999</v>
      </c>
      <c r="O739">
        <v>21.84</v>
      </c>
      <c r="P739">
        <v>54.6</v>
      </c>
      <c r="Q739">
        <v>80.64</v>
      </c>
      <c r="R739">
        <v>44.377200000000002</v>
      </c>
      <c r="S739">
        <v>0.2</v>
      </c>
      <c r="T739">
        <v>0.02</v>
      </c>
      <c r="U739" s="8">
        <f>Table3[[#This Row],[PrimaNeta]]*Table3[[#This Row],[Comisión]]</f>
        <v>974.43397644000004</v>
      </c>
      <c r="V739" s="15">
        <f>Table3[[#This Row],[PrimaComercial Anual]]-Table3[[#This Row],[PrimaComercial Anual]]*SUM(Table3[[#This Row],[APS]:[IVA]])</f>
        <v>4872.1698821999998</v>
      </c>
      <c r="W739" s="2">
        <v>1.4800000000000001E-2</v>
      </c>
      <c r="X739" s="2">
        <v>8.4501000000000007E-2</v>
      </c>
      <c r="Y739">
        <v>0.03</v>
      </c>
      <c r="Z739">
        <v>0.13</v>
      </c>
      <c r="AA739" s="20">
        <f>Table3[[#This Row],[APS]]*Table3[[#This Row],[PrimaComercial Anual]]</f>
        <v>97.351440000000011</v>
      </c>
      <c r="AB739" s="8">
        <f>Table3[[#This Row],[PrimaComercial Anual]]*Table3[[#This Row],[Recargo adicional]]</f>
        <v>555.8306778000001</v>
      </c>
      <c r="AC739" s="8">
        <f>Table3[[#This Row],[PrimaComercial Anual]]*Table3[[#This Row],[IT]]</f>
        <v>197.334</v>
      </c>
      <c r="AD739" s="8">
        <f>Table3[[#This Row],[PrimaComercial Anual]]*Table3[[#This Row],[IVA]]</f>
        <v>855.11400000000003</v>
      </c>
      <c r="AE739" s="15">
        <f>Table3[[#This Row],[PrimaComercial Anual Asistencia]]</f>
        <v>6577.8</v>
      </c>
      <c r="AG739">
        <v>6577.8</v>
      </c>
    </row>
    <row r="740" spans="1:33" x14ac:dyDescent="0.25">
      <c r="A740" t="s">
        <v>17</v>
      </c>
      <c r="B740">
        <v>700001</v>
      </c>
      <c r="C740">
        <v>45</v>
      </c>
      <c r="D740" s="2">
        <f>Table3[[#This Row],[PrimaTécnica]]-Table3[[#This Row],[PrimaTécnica]]*SUM(Table3[[#This Row],[Gastos Adm]:[Cobranza]])</f>
        <v>2883.0973904927996</v>
      </c>
      <c r="E740">
        <v>0</v>
      </c>
      <c r="F740">
        <v>0.15</v>
      </c>
      <c r="G740">
        <v>0.05</v>
      </c>
      <c r="H740">
        <v>0.01</v>
      </c>
      <c r="I740">
        <v>0.01</v>
      </c>
      <c r="J740" s="8">
        <f>Table3[[#This Row],[PrimaTécnica]]*Table3[[#This Row],[Gastos Adm]]</f>
        <v>554.441805864</v>
      </c>
      <c r="K740" s="8">
        <f>Table3[[#This Row],[PrimaTécnica]]*Table3[[#This Row],[Utilidad]]</f>
        <v>184.81393528800001</v>
      </c>
      <c r="L740" s="8">
        <f>Table3[[#This Row],[PrimaTécnica]]*Table3[[#This Row],[Marketing]]</f>
        <v>36.962787057599996</v>
      </c>
      <c r="M740" s="8">
        <f>Table3[[#This Row],[PrimaTécnica]]*Table3[[#This Row],[Cobranza]]</f>
        <v>36.962787057599996</v>
      </c>
      <c r="N74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3696.2787057599999</v>
      </c>
      <c r="O740">
        <v>21.84</v>
      </c>
      <c r="P740">
        <v>54.6</v>
      </c>
      <c r="Q740">
        <v>80.64</v>
      </c>
      <c r="R740">
        <v>44.377200000000002</v>
      </c>
      <c r="S740">
        <v>0.2</v>
      </c>
      <c r="T740">
        <v>0.02</v>
      </c>
      <c r="U740" s="8">
        <f>Table3[[#This Row],[PrimaNeta]]*Table3[[#This Row],[Comisión]]</f>
        <v>974.43397644000004</v>
      </c>
      <c r="V740" s="15">
        <f>Table3[[#This Row],[PrimaComercial Anual]]-Table3[[#This Row],[PrimaComercial Anual]]*SUM(Table3[[#This Row],[APS]:[IVA]])</f>
        <v>4872.1698821999998</v>
      </c>
      <c r="W740" s="2">
        <v>1.4800000000000001E-2</v>
      </c>
      <c r="X740" s="2">
        <v>8.4501000000000007E-2</v>
      </c>
      <c r="Y740">
        <v>0.03</v>
      </c>
      <c r="Z740">
        <v>0.13</v>
      </c>
      <c r="AA740" s="20">
        <f>Table3[[#This Row],[APS]]*Table3[[#This Row],[PrimaComercial Anual]]</f>
        <v>97.351440000000011</v>
      </c>
      <c r="AB740" s="8">
        <f>Table3[[#This Row],[PrimaComercial Anual]]*Table3[[#This Row],[Recargo adicional]]</f>
        <v>555.8306778000001</v>
      </c>
      <c r="AC740" s="8">
        <f>Table3[[#This Row],[PrimaComercial Anual]]*Table3[[#This Row],[IT]]</f>
        <v>197.334</v>
      </c>
      <c r="AD740" s="8">
        <f>Table3[[#This Row],[PrimaComercial Anual]]*Table3[[#This Row],[IVA]]</f>
        <v>855.11400000000003</v>
      </c>
      <c r="AE740" s="15">
        <f>Table3[[#This Row],[PrimaComercial Anual Asistencia]]</f>
        <v>6577.8</v>
      </c>
      <c r="AG740">
        <v>6577.8</v>
      </c>
    </row>
    <row r="741" spans="1:33" x14ac:dyDescent="0.25">
      <c r="A741" t="s">
        <v>17</v>
      </c>
      <c r="B741">
        <v>700001</v>
      </c>
      <c r="C741">
        <v>46</v>
      </c>
      <c r="D741" s="2">
        <f>Table3[[#This Row],[PrimaTécnica]]-Table3[[#This Row],[PrimaTécnica]]*SUM(Table3[[#This Row],[Gastos Adm]:[Cobranza]])</f>
        <v>2883.0973904927996</v>
      </c>
      <c r="E741">
        <v>0</v>
      </c>
      <c r="F741">
        <v>0.15</v>
      </c>
      <c r="G741">
        <v>0.05</v>
      </c>
      <c r="H741">
        <v>0.01</v>
      </c>
      <c r="I741">
        <v>0.01</v>
      </c>
      <c r="J741" s="8">
        <f>Table3[[#This Row],[PrimaTécnica]]*Table3[[#This Row],[Gastos Adm]]</f>
        <v>554.441805864</v>
      </c>
      <c r="K741" s="8">
        <f>Table3[[#This Row],[PrimaTécnica]]*Table3[[#This Row],[Utilidad]]</f>
        <v>184.81393528800001</v>
      </c>
      <c r="L741" s="8">
        <f>Table3[[#This Row],[PrimaTécnica]]*Table3[[#This Row],[Marketing]]</f>
        <v>36.962787057599996</v>
      </c>
      <c r="M741" s="8">
        <f>Table3[[#This Row],[PrimaTécnica]]*Table3[[#This Row],[Cobranza]]</f>
        <v>36.962787057599996</v>
      </c>
      <c r="N74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3696.2787057599999</v>
      </c>
      <c r="O741">
        <v>21.84</v>
      </c>
      <c r="P741">
        <v>54.6</v>
      </c>
      <c r="Q741">
        <v>80.64</v>
      </c>
      <c r="R741">
        <v>44.377200000000002</v>
      </c>
      <c r="S741">
        <v>0.2</v>
      </c>
      <c r="T741">
        <v>0.02</v>
      </c>
      <c r="U741" s="8">
        <f>Table3[[#This Row],[PrimaNeta]]*Table3[[#This Row],[Comisión]]</f>
        <v>974.43397644000004</v>
      </c>
      <c r="V741" s="15">
        <f>Table3[[#This Row],[PrimaComercial Anual]]-Table3[[#This Row],[PrimaComercial Anual]]*SUM(Table3[[#This Row],[APS]:[IVA]])</f>
        <v>4872.1698821999998</v>
      </c>
      <c r="W741" s="2">
        <v>1.4800000000000001E-2</v>
      </c>
      <c r="X741" s="2">
        <v>8.4501000000000007E-2</v>
      </c>
      <c r="Y741">
        <v>0.03</v>
      </c>
      <c r="Z741">
        <v>0.13</v>
      </c>
      <c r="AA741" s="20">
        <f>Table3[[#This Row],[APS]]*Table3[[#This Row],[PrimaComercial Anual]]</f>
        <v>97.351440000000011</v>
      </c>
      <c r="AB741" s="8">
        <f>Table3[[#This Row],[PrimaComercial Anual]]*Table3[[#This Row],[Recargo adicional]]</f>
        <v>555.8306778000001</v>
      </c>
      <c r="AC741" s="8">
        <f>Table3[[#This Row],[PrimaComercial Anual]]*Table3[[#This Row],[IT]]</f>
        <v>197.334</v>
      </c>
      <c r="AD741" s="8">
        <f>Table3[[#This Row],[PrimaComercial Anual]]*Table3[[#This Row],[IVA]]</f>
        <v>855.11400000000003</v>
      </c>
      <c r="AE741" s="15">
        <f>Table3[[#This Row],[PrimaComercial Anual Asistencia]]</f>
        <v>6577.8</v>
      </c>
      <c r="AG741">
        <v>6577.8</v>
      </c>
    </row>
    <row r="742" spans="1:33" x14ac:dyDescent="0.25">
      <c r="A742" t="s">
        <v>17</v>
      </c>
      <c r="B742">
        <v>700001</v>
      </c>
      <c r="C742">
        <v>47</v>
      </c>
      <c r="D742" s="2">
        <f>Table3[[#This Row],[PrimaTécnica]]-Table3[[#This Row],[PrimaTécnica]]*SUM(Table3[[#This Row],[Gastos Adm]:[Cobranza]])</f>
        <v>2883.0973904927996</v>
      </c>
      <c r="E742">
        <v>0</v>
      </c>
      <c r="F742">
        <v>0.15</v>
      </c>
      <c r="G742">
        <v>0.05</v>
      </c>
      <c r="H742">
        <v>0.01</v>
      </c>
      <c r="I742">
        <v>0.01</v>
      </c>
      <c r="J742" s="8">
        <f>Table3[[#This Row],[PrimaTécnica]]*Table3[[#This Row],[Gastos Adm]]</f>
        <v>554.441805864</v>
      </c>
      <c r="K742" s="8">
        <f>Table3[[#This Row],[PrimaTécnica]]*Table3[[#This Row],[Utilidad]]</f>
        <v>184.81393528800001</v>
      </c>
      <c r="L742" s="8">
        <f>Table3[[#This Row],[PrimaTécnica]]*Table3[[#This Row],[Marketing]]</f>
        <v>36.962787057599996</v>
      </c>
      <c r="M742" s="8">
        <f>Table3[[#This Row],[PrimaTécnica]]*Table3[[#This Row],[Cobranza]]</f>
        <v>36.962787057599996</v>
      </c>
      <c r="N74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3696.2787057599999</v>
      </c>
      <c r="O742">
        <v>21.84</v>
      </c>
      <c r="P742">
        <v>54.6</v>
      </c>
      <c r="Q742">
        <v>80.64</v>
      </c>
      <c r="R742">
        <v>44.377200000000002</v>
      </c>
      <c r="S742">
        <v>0.2</v>
      </c>
      <c r="T742">
        <v>0.02</v>
      </c>
      <c r="U742" s="8">
        <f>Table3[[#This Row],[PrimaNeta]]*Table3[[#This Row],[Comisión]]</f>
        <v>974.43397644000004</v>
      </c>
      <c r="V742" s="15">
        <f>Table3[[#This Row],[PrimaComercial Anual]]-Table3[[#This Row],[PrimaComercial Anual]]*SUM(Table3[[#This Row],[APS]:[IVA]])</f>
        <v>4872.1698821999998</v>
      </c>
      <c r="W742" s="2">
        <v>1.4800000000000001E-2</v>
      </c>
      <c r="X742" s="2">
        <v>8.4501000000000007E-2</v>
      </c>
      <c r="Y742">
        <v>0.03</v>
      </c>
      <c r="Z742">
        <v>0.13</v>
      </c>
      <c r="AA742" s="20">
        <f>Table3[[#This Row],[APS]]*Table3[[#This Row],[PrimaComercial Anual]]</f>
        <v>97.351440000000011</v>
      </c>
      <c r="AB742" s="8">
        <f>Table3[[#This Row],[PrimaComercial Anual]]*Table3[[#This Row],[Recargo adicional]]</f>
        <v>555.8306778000001</v>
      </c>
      <c r="AC742" s="8">
        <f>Table3[[#This Row],[PrimaComercial Anual]]*Table3[[#This Row],[IT]]</f>
        <v>197.334</v>
      </c>
      <c r="AD742" s="8">
        <f>Table3[[#This Row],[PrimaComercial Anual]]*Table3[[#This Row],[IVA]]</f>
        <v>855.11400000000003</v>
      </c>
      <c r="AE742" s="15">
        <f>Table3[[#This Row],[PrimaComercial Anual Asistencia]]</f>
        <v>6577.8</v>
      </c>
      <c r="AG742">
        <v>6577.8</v>
      </c>
    </row>
    <row r="743" spans="1:33" x14ac:dyDescent="0.25">
      <c r="A743" t="s">
        <v>17</v>
      </c>
      <c r="B743">
        <v>700001</v>
      </c>
      <c r="C743">
        <v>48</v>
      </c>
      <c r="D743" s="2">
        <f>Table3[[#This Row],[PrimaTécnica]]-Table3[[#This Row],[PrimaTécnica]]*SUM(Table3[[#This Row],[Gastos Adm]:[Cobranza]])</f>
        <v>2883.0973904927996</v>
      </c>
      <c r="E743">
        <v>0</v>
      </c>
      <c r="F743">
        <v>0.15</v>
      </c>
      <c r="G743">
        <v>0.05</v>
      </c>
      <c r="H743">
        <v>0.01</v>
      </c>
      <c r="I743">
        <v>0.01</v>
      </c>
      <c r="J743" s="8">
        <f>Table3[[#This Row],[PrimaTécnica]]*Table3[[#This Row],[Gastos Adm]]</f>
        <v>554.441805864</v>
      </c>
      <c r="K743" s="8">
        <f>Table3[[#This Row],[PrimaTécnica]]*Table3[[#This Row],[Utilidad]]</f>
        <v>184.81393528800001</v>
      </c>
      <c r="L743" s="8">
        <f>Table3[[#This Row],[PrimaTécnica]]*Table3[[#This Row],[Marketing]]</f>
        <v>36.962787057599996</v>
      </c>
      <c r="M743" s="8">
        <f>Table3[[#This Row],[PrimaTécnica]]*Table3[[#This Row],[Cobranza]]</f>
        <v>36.962787057599996</v>
      </c>
      <c r="N74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3696.2787057599999</v>
      </c>
      <c r="O743">
        <v>21.84</v>
      </c>
      <c r="P743">
        <v>54.6</v>
      </c>
      <c r="Q743">
        <v>80.64</v>
      </c>
      <c r="R743">
        <v>44.377200000000002</v>
      </c>
      <c r="S743">
        <v>0.2</v>
      </c>
      <c r="T743">
        <v>0.02</v>
      </c>
      <c r="U743" s="8">
        <f>Table3[[#This Row],[PrimaNeta]]*Table3[[#This Row],[Comisión]]</f>
        <v>974.43397644000004</v>
      </c>
      <c r="V743" s="15">
        <f>Table3[[#This Row],[PrimaComercial Anual]]-Table3[[#This Row],[PrimaComercial Anual]]*SUM(Table3[[#This Row],[APS]:[IVA]])</f>
        <v>4872.1698821999998</v>
      </c>
      <c r="W743" s="2">
        <v>1.4800000000000001E-2</v>
      </c>
      <c r="X743" s="2">
        <v>8.4501000000000007E-2</v>
      </c>
      <c r="Y743">
        <v>0.03</v>
      </c>
      <c r="Z743">
        <v>0.13</v>
      </c>
      <c r="AA743" s="20">
        <f>Table3[[#This Row],[APS]]*Table3[[#This Row],[PrimaComercial Anual]]</f>
        <v>97.351440000000011</v>
      </c>
      <c r="AB743" s="8">
        <f>Table3[[#This Row],[PrimaComercial Anual]]*Table3[[#This Row],[Recargo adicional]]</f>
        <v>555.8306778000001</v>
      </c>
      <c r="AC743" s="8">
        <f>Table3[[#This Row],[PrimaComercial Anual]]*Table3[[#This Row],[IT]]</f>
        <v>197.334</v>
      </c>
      <c r="AD743" s="8">
        <f>Table3[[#This Row],[PrimaComercial Anual]]*Table3[[#This Row],[IVA]]</f>
        <v>855.11400000000003</v>
      </c>
      <c r="AE743" s="15">
        <f>Table3[[#This Row],[PrimaComercial Anual Asistencia]]</f>
        <v>6577.8</v>
      </c>
      <c r="AG743">
        <v>6577.8</v>
      </c>
    </row>
    <row r="744" spans="1:33" x14ac:dyDescent="0.25">
      <c r="A744" t="s">
        <v>17</v>
      </c>
      <c r="B744">
        <v>700001</v>
      </c>
      <c r="C744">
        <v>49</v>
      </c>
      <c r="D744" s="2">
        <f>Table3[[#This Row],[PrimaTécnica]]-Table3[[#This Row],[PrimaTécnica]]*SUM(Table3[[#This Row],[Gastos Adm]:[Cobranza]])</f>
        <v>2883.0973904927996</v>
      </c>
      <c r="E744">
        <v>0</v>
      </c>
      <c r="F744">
        <v>0.15</v>
      </c>
      <c r="G744">
        <v>0.05</v>
      </c>
      <c r="H744">
        <v>0.01</v>
      </c>
      <c r="I744">
        <v>0.01</v>
      </c>
      <c r="J744" s="8">
        <f>Table3[[#This Row],[PrimaTécnica]]*Table3[[#This Row],[Gastos Adm]]</f>
        <v>554.441805864</v>
      </c>
      <c r="K744" s="8">
        <f>Table3[[#This Row],[PrimaTécnica]]*Table3[[#This Row],[Utilidad]]</f>
        <v>184.81393528800001</v>
      </c>
      <c r="L744" s="8">
        <f>Table3[[#This Row],[PrimaTécnica]]*Table3[[#This Row],[Marketing]]</f>
        <v>36.962787057599996</v>
      </c>
      <c r="M744" s="8">
        <f>Table3[[#This Row],[PrimaTécnica]]*Table3[[#This Row],[Cobranza]]</f>
        <v>36.962787057599996</v>
      </c>
      <c r="N74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3696.2787057599999</v>
      </c>
      <c r="O744">
        <v>21.84</v>
      </c>
      <c r="P744">
        <v>54.6</v>
      </c>
      <c r="Q744">
        <v>80.64</v>
      </c>
      <c r="R744">
        <v>44.377200000000002</v>
      </c>
      <c r="S744">
        <v>0.2</v>
      </c>
      <c r="T744">
        <v>0.02</v>
      </c>
      <c r="U744" s="8">
        <f>Table3[[#This Row],[PrimaNeta]]*Table3[[#This Row],[Comisión]]</f>
        <v>974.43397644000004</v>
      </c>
      <c r="V744" s="15">
        <f>Table3[[#This Row],[PrimaComercial Anual]]-Table3[[#This Row],[PrimaComercial Anual]]*SUM(Table3[[#This Row],[APS]:[IVA]])</f>
        <v>4872.1698821999998</v>
      </c>
      <c r="W744" s="2">
        <v>1.4800000000000001E-2</v>
      </c>
      <c r="X744" s="2">
        <v>8.4501000000000007E-2</v>
      </c>
      <c r="Y744">
        <v>0.03</v>
      </c>
      <c r="Z744">
        <v>0.13</v>
      </c>
      <c r="AA744" s="20">
        <f>Table3[[#This Row],[APS]]*Table3[[#This Row],[PrimaComercial Anual]]</f>
        <v>97.351440000000011</v>
      </c>
      <c r="AB744" s="8">
        <f>Table3[[#This Row],[PrimaComercial Anual]]*Table3[[#This Row],[Recargo adicional]]</f>
        <v>555.8306778000001</v>
      </c>
      <c r="AC744" s="8">
        <f>Table3[[#This Row],[PrimaComercial Anual]]*Table3[[#This Row],[IT]]</f>
        <v>197.334</v>
      </c>
      <c r="AD744" s="8">
        <f>Table3[[#This Row],[PrimaComercial Anual]]*Table3[[#This Row],[IVA]]</f>
        <v>855.11400000000003</v>
      </c>
      <c r="AE744" s="15">
        <f>Table3[[#This Row],[PrimaComercial Anual Asistencia]]</f>
        <v>6577.8</v>
      </c>
      <c r="AG744">
        <v>6577.8</v>
      </c>
    </row>
    <row r="745" spans="1:33" x14ac:dyDescent="0.25">
      <c r="A745" t="s">
        <v>17</v>
      </c>
      <c r="B745">
        <v>700001</v>
      </c>
      <c r="C745">
        <v>50</v>
      </c>
      <c r="D745" s="2">
        <f>Table3[[#This Row],[PrimaTécnica]]-Table3[[#This Row],[PrimaTécnica]]*SUM(Table3[[#This Row],[Gastos Adm]:[Cobranza]])</f>
        <v>3694.5289970783988</v>
      </c>
      <c r="E745">
        <v>0</v>
      </c>
      <c r="F745">
        <v>0.15</v>
      </c>
      <c r="G745">
        <v>0.05</v>
      </c>
      <c r="H745">
        <v>0.01</v>
      </c>
      <c r="I745">
        <v>0.01</v>
      </c>
      <c r="J745" s="8">
        <f>Table3[[#This Row],[PrimaTécnica]]*Table3[[#This Row],[Gastos Adm]]</f>
        <v>710.48634559199979</v>
      </c>
      <c r="K745" s="8">
        <f>Table3[[#This Row],[PrimaTécnica]]*Table3[[#This Row],[Utilidad]]</f>
        <v>236.82878186399995</v>
      </c>
      <c r="L745" s="8">
        <f>Table3[[#This Row],[PrimaTécnica]]*Table3[[#This Row],[Marketing]]</f>
        <v>47.365756372799986</v>
      </c>
      <c r="M745" s="8">
        <f>Table3[[#This Row],[PrimaTécnica]]*Table3[[#This Row],[Cobranza]]</f>
        <v>47.365756372799986</v>
      </c>
      <c r="N74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4736.5756372799988</v>
      </c>
      <c r="O745">
        <v>21.84</v>
      </c>
      <c r="P745">
        <v>54.6</v>
      </c>
      <c r="Q745">
        <v>80.64</v>
      </c>
      <c r="R745">
        <v>44.377200000000002</v>
      </c>
      <c r="S745">
        <v>0.2</v>
      </c>
      <c r="T745">
        <v>0.02</v>
      </c>
      <c r="U745" s="8">
        <f>Table3[[#This Row],[PrimaNeta]]*Table3[[#This Row],[Comisión]]</f>
        <v>1234.5082093199999</v>
      </c>
      <c r="V745" s="15">
        <f>Table3[[#This Row],[PrimaComercial Anual]]-Table3[[#This Row],[PrimaComercial Anual]]*SUM(Table3[[#This Row],[APS]:[IVA]])</f>
        <v>6172.5410465999994</v>
      </c>
      <c r="W745" s="2">
        <v>1.4800000000000001E-2</v>
      </c>
      <c r="X745" s="2">
        <v>8.4501000000000007E-2</v>
      </c>
      <c r="Y745">
        <v>0.03</v>
      </c>
      <c r="Z745">
        <v>0.13</v>
      </c>
      <c r="AA745" s="20">
        <f>Table3[[#This Row],[APS]]*Table3[[#This Row],[PrimaComercial Anual]]</f>
        <v>123.33432000000001</v>
      </c>
      <c r="AB745" s="8">
        <f>Table3[[#This Row],[PrimaComercial Anual]]*Table3[[#This Row],[Recargo adicional]]</f>
        <v>704.18063340000003</v>
      </c>
      <c r="AC745" s="8">
        <f>Table3[[#This Row],[PrimaComercial Anual]]*Table3[[#This Row],[IT]]</f>
        <v>250.00199999999998</v>
      </c>
      <c r="AD745" s="8">
        <f>Table3[[#This Row],[PrimaComercial Anual]]*Table3[[#This Row],[IVA]]</f>
        <v>1083.3420000000001</v>
      </c>
      <c r="AE745" s="15">
        <f>Table3[[#This Row],[PrimaComercial Anual Asistencia]]</f>
        <v>8333.4</v>
      </c>
      <c r="AG745">
        <v>8333.4</v>
      </c>
    </row>
    <row r="746" spans="1:33" x14ac:dyDescent="0.25">
      <c r="A746" t="s">
        <v>17</v>
      </c>
      <c r="B746">
        <v>700001</v>
      </c>
      <c r="C746">
        <v>51</v>
      </c>
      <c r="D746" s="2">
        <f>Table3[[#This Row],[PrimaTécnica]]-Table3[[#This Row],[PrimaTécnica]]*SUM(Table3[[#This Row],[Gastos Adm]:[Cobranza]])</f>
        <v>3694.5289970783988</v>
      </c>
      <c r="E746">
        <v>0</v>
      </c>
      <c r="F746">
        <v>0.15</v>
      </c>
      <c r="G746">
        <v>0.05</v>
      </c>
      <c r="H746">
        <v>0.01</v>
      </c>
      <c r="I746">
        <v>0.01</v>
      </c>
      <c r="J746" s="8">
        <f>Table3[[#This Row],[PrimaTécnica]]*Table3[[#This Row],[Gastos Adm]]</f>
        <v>710.48634559199979</v>
      </c>
      <c r="K746" s="8">
        <f>Table3[[#This Row],[PrimaTécnica]]*Table3[[#This Row],[Utilidad]]</f>
        <v>236.82878186399995</v>
      </c>
      <c r="L746" s="8">
        <f>Table3[[#This Row],[PrimaTécnica]]*Table3[[#This Row],[Marketing]]</f>
        <v>47.365756372799986</v>
      </c>
      <c r="M746" s="8">
        <f>Table3[[#This Row],[PrimaTécnica]]*Table3[[#This Row],[Cobranza]]</f>
        <v>47.365756372799986</v>
      </c>
      <c r="N74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4736.5756372799988</v>
      </c>
      <c r="O746">
        <v>21.84</v>
      </c>
      <c r="P746">
        <v>54.6</v>
      </c>
      <c r="Q746">
        <v>80.64</v>
      </c>
      <c r="R746">
        <v>44.377200000000002</v>
      </c>
      <c r="S746">
        <v>0.2</v>
      </c>
      <c r="T746">
        <v>0.02</v>
      </c>
      <c r="U746" s="8">
        <f>Table3[[#This Row],[PrimaNeta]]*Table3[[#This Row],[Comisión]]</f>
        <v>1234.5082093199999</v>
      </c>
      <c r="V746" s="15">
        <f>Table3[[#This Row],[PrimaComercial Anual]]-Table3[[#This Row],[PrimaComercial Anual]]*SUM(Table3[[#This Row],[APS]:[IVA]])</f>
        <v>6172.5410465999994</v>
      </c>
      <c r="W746" s="2">
        <v>1.4800000000000001E-2</v>
      </c>
      <c r="X746" s="2">
        <v>8.4501000000000007E-2</v>
      </c>
      <c r="Y746">
        <v>0.03</v>
      </c>
      <c r="Z746">
        <v>0.13</v>
      </c>
      <c r="AA746" s="20">
        <f>Table3[[#This Row],[APS]]*Table3[[#This Row],[PrimaComercial Anual]]</f>
        <v>123.33432000000001</v>
      </c>
      <c r="AB746" s="8">
        <f>Table3[[#This Row],[PrimaComercial Anual]]*Table3[[#This Row],[Recargo adicional]]</f>
        <v>704.18063340000003</v>
      </c>
      <c r="AC746" s="8">
        <f>Table3[[#This Row],[PrimaComercial Anual]]*Table3[[#This Row],[IT]]</f>
        <v>250.00199999999998</v>
      </c>
      <c r="AD746" s="8">
        <f>Table3[[#This Row],[PrimaComercial Anual]]*Table3[[#This Row],[IVA]]</f>
        <v>1083.3420000000001</v>
      </c>
      <c r="AE746" s="15">
        <f>Table3[[#This Row],[PrimaComercial Anual Asistencia]]</f>
        <v>8333.4</v>
      </c>
      <c r="AG746">
        <v>8333.4</v>
      </c>
    </row>
    <row r="747" spans="1:33" x14ac:dyDescent="0.25">
      <c r="A747" t="s">
        <v>17</v>
      </c>
      <c r="B747">
        <v>700001</v>
      </c>
      <c r="C747">
        <v>52</v>
      </c>
      <c r="D747" s="2">
        <f>Table3[[#This Row],[PrimaTécnica]]-Table3[[#This Row],[PrimaTécnica]]*SUM(Table3[[#This Row],[Gastos Adm]:[Cobranza]])</f>
        <v>3694.5289970783988</v>
      </c>
      <c r="E747">
        <v>0</v>
      </c>
      <c r="F747">
        <v>0.15</v>
      </c>
      <c r="G747">
        <v>0.05</v>
      </c>
      <c r="H747">
        <v>0.01</v>
      </c>
      <c r="I747">
        <v>0.01</v>
      </c>
      <c r="J747" s="8">
        <f>Table3[[#This Row],[PrimaTécnica]]*Table3[[#This Row],[Gastos Adm]]</f>
        <v>710.48634559199979</v>
      </c>
      <c r="K747" s="8">
        <f>Table3[[#This Row],[PrimaTécnica]]*Table3[[#This Row],[Utilidad]]</f>
        <v>236.82878186399995</v>
      </c>
      <c r="L747" s="8">
        <f>Table3[[#This Row],[PrimaTécnica]]*Table3[[#This Row],[Marketing]]</f>
        <v>47.365756372799986</v>
      </c>
      <c r="M747" s="8">
        <f>Table3[[#This Row],[PrimaTécnica]]*Table3[[#This Row],[Cobranza]]</f>
        <v>47.365756372799986</v>
      </c>
      <c r="N74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4736.5756372799988</v>
      </c>
      <c r="O747">
        <v>21.84</v>
      </c>
      <c r="P747">
        <v>54.6</v>
      </c>
      <c r="Q747">
        <v>80.64</v>
      </c>
      <c r="R747">
        <v>44.377200000000002</v>
      </c>
      <c r="S747">
        <v>0.2</v>
      </c>
      <c r="T747">
        <v>0.02</v>
      </c>
      <c r="U747" s="8">
        <f>Table3[[#This Row],[PrimaNeta]]*Table3[[#This Row],[Comisión]]</f>
        <v>1234.5082093199999</v>
      </c>
      <c r="V747" s="15">
        <f>Table3[[#This Row],[PrimaComercial Anual]]-Table3[[#This Row],[PrimaComercial Anual]]*SUM(Table3[[#This Row],[APS]:[IVA]])</f>
        <v>6172.5410465999994</v>
      </c>
      <c r="W747" s="2">
        <v>1.4800000000000001E-2</v>
      </c>
      <c r="X747" s="2">
        <v>8.4501000000000007E-2</v>
      </c>
      <c r="Y747">
        <v>0.03</v>
      </c>
      <c r="Z747">
        <v>0.13</v>
      </c>
      <c r="AA747" s="20">
        <f>Table3[[#This Row],[APS]]*Table3[[#This Row],[PrimaComercial Anual]]</f>
        <v>123.33432000000001</v>
      </c>
      <c r="AB747" s="8">
        <f>Table3[[#This Row],[PrimaComercial Anual]]*Table3[[#This Row],[Recargo adicional]]</f>
        <v>704.18063340000003</v>
      </c>
      <c r="AC747" s="8">
        <f>Table3[[#This Row],[PrimaComercial Anual]]*Table3[[#This Row],[IT]]</f>
        <v>250.00199999999998</v>
      </c>
      <c r="AD747" s="8">
        <f>Table3[[#This Row],[PrimaComercial Anual]]*Table3[[#This Row],[IVA]]</f>
        <v>1083.3420000000001</v>
      </c>
      <c r="AE747" s="15">
        <f>Table3[[#This Row],[PrimaComercial Anual Asistencia]]</f>
        <v>8333.4</v>
      </c>
      <c r="AG747">
        <v>8333.4</v>
      </c>
    </row>
    <row r="748" spans="1:33" x14ac:dyDescent="0.25">
      <c r="A748" t="s">
        <v>17</v>
      </c>
      <c r="B748">
        <v>700001</v>
      </c>
      <c r="C748">
        <v>53</v>
      </c>
      <c r="D748" s="2">
        <f>Table3[[#This Row],[PrimaTécnica]]-Table3[[#This Row],[PrimaTécnica]]*SUM(Table3[[#This Row],[Gastos Adm]:[Cobranza]])</f>
        <v>3694.5289970783988</v>
      </c>
      <c r="E748">
        <v>0</v>
      </c>
      <c r="F748">
        <v>0.15</v>
      </c>
      <c r="G748">
        <v>0.05</v>
      </c>
      <c r="H748">
        <v>0.01</v>
      </c>
      <c r="I748">
        <v>0.01</v>
      </c>
      <c r="J748" s="8">
        <f>Table3[[#This Row],[PrimaTécnica]]*Table3[[#This Row],[Gastos Adm]]</f>
        <v>710.48634559199979</v>
      </c>
      <c r="K748" s="8">
        <f>Table3[[#This Row],[PrimaTécnica]]*Table3[[#This Row],[Utilidad]]</f>
        <v>236.82878186399995</v>
      </c>
      <c r="L748" s="8">
        <f>Table3[[#This Row],[PrimaTécnica]]*Table3[[#This Row],[Marketing]]</f>
        <v>47.365756372799986</v>
      </c>
      <c r="M748" s="8">
        <f>Table3[[#This Row],[PrimaTécnica]]*Table3[[#This Row],[Cobranza]]</f>
        <v>47.365756372799986</v>
      </c>
      <c r="N74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4736.5756372799988</v>
      </c>
      <c r="O748">
        <v>21.84</v>
      </c>
      <c r="P748">
        <v>54.6</v>
      </c>
      <c r="Q748">
        <v>80.64</v>
      </c>
      <c r="R748">
        <v>44.377200000000002</v>
      </c>
      <c r="S748">
        <v>0.2</v>
      </c>
      <c r="T748">
        <v>0.02</v>
      </c>
      <c r="U748" s="8">
        <f>Table3[[#This Row],[PrimaNeta]]*Table3[[#This Row],[Comisión]]</f>
        <v>1234.5082093199999</v>
      </c>
      <c r="V748" s="15">
        <f>Table3[[#This Row],[PrimaComercial Anual]]-Table3[[#This Row],[PrimaComercial Anual]]*SUM(Table3[[#This Row],[APS]:[IVA]])</f>
        <v>6172.5410465999994</v>
      </c>
      <c r="W748" s="2">
        <v>1.4800000000000001E-2</v>
      </c>
      <c r="X748" s="2">
        <v>8.4501000000000007E-2</v>
      </c>
      <c r="Y748">
        <v>0.03</v>
      </c>
      <c r="Z748">
        <v>0.13</v>
      </c>
      <c r="AA748" s="20">
        <f>Table3[[#This Row],[APS]]*Table3[[#This Row],[PrimaComercial Anual]]</f>
        <v>123.33432000000001</v>
      </c>
      <c r="AB748" s="8">
        <f>Table3[[#This Row],[PrimaComercial Anual]]*Table3[[#This Row],[Recargo adicional]]</f>
        <v>704.18063340000003</v>
      </c>
      <c r="AC748" s="8">
        <f>Table3[[#This Row],[PrimaComercial Anual]]*Table3[[#This Row],[IT]]</f>
        <v>250.00199999999998</v>
      </c>
      <c r="AD748" s="8">
        <f>Table3[[#This Row],[PrimaComercial Anual]]*Table3[[#This Row],[IVA]]</f>
        <v>1083.3420000000001</v>
      </c>
      <c r="AE748" s="15">
        <f>Table3[[#This Row],[PrimaComercial Anual Asistencia]]</f>
        <v>8333.4</v>
      </c>
      <c r="AG748">
        <v>8333.4</v>
      </c>
    </row>
    <row r="749" spans="1:33" x14ac:dyDescent="0.25">
      <c r="A749" t="s">
        <v>17</v>
      </c>
      <c r="B749">
        <v>700001</v>
      </c>
      <c r="C749">
        <v>54</v>
      </c>
      <c r="D749" s="2">
        <f>Table3[[#This Row],[PrimaTécnica]]-Table3[[#This Row],[PrimaTécnica]]*SUM(Table3[[#This Row],[Gastos Adm]:[Cobranza]])</f>
        <v>3694.5289970783988</v>
      </c>
      <c r="E749">
        <v>0</v>
      </c>
      <c r="F749">
        <v>0.15</v>
      </c>
      <c r="G749">
        <v>0.05</v>
      </c>
      <c r="H749">
        <v>0.01</v>
      </c>
      <c r="I749">
        <v>0.01</v>
      </c>
      <c r="J749" s="8">
        <f>Table3[[#This Row],[PrimaTécnica]]*Table3[[#This Row],[Gastos Adm]]</f>
        <v>710.48634559199979</v>
      </c>
      <c r="K749" s="8">
        <f>Table3[[#This Row],[PrimaTécnica]]*Table3[[#This Row],[Utilidad]]</f>
        <v>236.82878186399995</v>
      </c>
      <c r="L749" s="8">
        <f>Table3[[#This Row],[PrimaTécnica]]*Table3[[#This Row],[Marketing]]</f>
        <v>47.365756372799986</v>
      </c>
      <c r="M749" s="8">
        <f>Table3[[#This Row],[PrimaTécnica]]*Table3[[#This Row],[Cobranza]]</f>
        <v>47.365756372799986</v>
      </c>
      <c r="N74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4736.5756372799988</v>
      </c>
      <c r="O749">
        <v>21.84</v>
      </c>
      <c r="P749">
        <v>54.6</v>
      </c>
      <c r="Q749">
        <v>80.64</v>
      </c>
      <c r="R749">
        <v>44.377200000000002</v>
      </c>
      <c r="S749">
        <v>0.2</v>
      </c>
      <c r="T749">
        <v>0.02</v>
      </c>
      <c r="U749" s="8">
        <f>Table3[[#This Row],[PrimaNeta]]*Table3[[#This Row],[Comisión]]</f>
        <v>1234.5082093199999</v>
      </c>
      <c r="V749" s="15">
        <f>Table3[[#This Row],[PrimaComercial Anual]]-Table3[[#This Row],[PrimaComercial Anual]]*SUM(Table3[[#This Row],[APS]:[IVA]])</f>
        <v>6172.5410465999994</v>
      </c>
      <c r="W749" s="2">
        <v>1.4800000000000001E-2</v>
      </c>
      <c r="X749" s="2">
        <v>8.4501000000000007E-2</v>
      </c>
      <c r="Y749">
        <v>0.03</v>
      </c>
      <c r="Z749">
        <v>0.13</v>
      </c>
      <c r="AA749" s="20">
        <f>Table3[[#This Row],[APS]]*Table3[[#This Row],[PrimaComercial Anual]]</f>
        <v>123.33432000000001</v>
      </c>
      <c r="AB749" s="8">
        <f>Table3[[#This Row],[PrimaComercial Anual]]*Table3[[#This Row],[Recargo adicional]]</f>
        <v>704.18063340000003</v>
      </c>
      <c r="AC749" s="8">
        <f>Table3[[#This Row],[PrimaComercial Anual]]*Table3[[#This Row],[IT]]</f>
        <v>250.00199999999998</v>
      </c>
      <c r="AD749" s="8">
        <f>Table3[[#This Row],[PrimaComercial Anual]]*Table3[[#This Row],[IVA]]</f>
        <v>1083.3420000000001</v>
      </c>
      <c r="AE749" s="15">
        <f>Table3[[#This Row],[PrimaComercial Anual Asistencia]]</f>
        <v>8333.4</v>
      </c>
      <c r="AG749">
        <v>8333.4</v>
      </c>
    </row>
    <row r="750" spans="1:33" x14ac:dyDescent="0.25">
      <c r="A750" t="s">
        <v>17</v>
      </c>
      <c r="B750">
        <v>700001</v>
      </c>
      <c r="C750">
        <v>55</v>
      </c>
      <c r="D750" s="2">
        <f>Table3[[#This Row],[PrimaTécnica]]-Table3[[#This Row],[PrimaTécnica]]*SUM(Table3[[#This Row],[Gastos Adm]:[Cobranza]])</f>
        <v>3694.5289970783988</v>
      </c>
      <c r="E750">
        <v>0</v>
      </c>
      <c r="F750">
        <v>0.15</v>
      </c>
      <c r="G750">
        <v>0.05</v>
      </c>
      <c r="H750">
        <v>0.01</v>
      </c>
      <c r="I750">
        <v>0.01</v>
      </c>
      <c r="J750" s="8">
        <f>Table3[[#This Row],[PrimaTécnica]]*Table3[[#This Row],[Gastos Adm]]</f>
        <v>710.48634559199979</v>
      </c>
      <c r="K750" s="8">
        <f>Table3[[#This Row],[PrimaTécnica]]*Table3[[#This Row],[Utilidad]]</f>
        <v>236.82878186399995</v>
      </c>
      <c r="L750" s="8">
        <f>Table3[[#This Row],[PrimaTécnica]]*Table3[[#This Row],[Marketing]]</f>
        <v>47.365756372799986</v>
      </c>
      <c r="M750" s="8">
        <f>Table3[[#This Row],[PrimaTécnica]]*Table3[[#This Row],[Cobranza]]</f>
        <v>47.365756372799986</v>
      </c>
      <c r="N75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4736.5756372799988</v>
      </c>
      <c r="O750">
        <v>21.84</v>
      </c>
      <c r="P750">
        <v>54.6</v>
      </c>
      <c r="Q750">
        <v>80.64</v>
      </c>
      <c r="R750">
        <v>44.377200000000002</v>
      </c>
      <c r="S750">
        <v>0.2</v>
      </c>
      <c r="T750">
        <v>0.02</v>
      </c>
      <c r="U750" s="8">
        <f>Table3[[#This Row],[PrimaNeta]]*Table3[[#This Row],[Comisión]]</f>
        <v>1234.5082093199999</v>
      </c>
      <c r="V750" s="15">
        <f>Table3[[#This Row],[PrimaComercial Anual]]-Table3[[#This Row],[PrimaComercial Anual]]*SUM(Table3[[#This Row],[APS]:[IVA]])</f>
        <v>6172.5410465999994</v>
      </c>
      <c r="W750" s="2">
        <v>1.4800000000000001E-2</v>
      </c>
      <c r="X750" s="2">
        <v>8.4501000000000007E-2</v>
      </c>
      <c r="Y750">
        <v>0.03</v>
      </c>
      <c r="Z750">
        <v>0.13</v>
      </c>
      <c r="AA750" s="20">
        <f>Table3[[#This Row],[APS]]*Table3[[#This Row],[PrimaComercial Anual]]</f>
        <v>123.33432000000001</v>
      </c>
      <c r="AB750" s="8">
        <f>Table3[[#This Row],[PrimaComercial Anual]]*Table3[[#This Row],[Recargo adicional]]</f>
        <v>704.18063340000003</v>
      </c>
      <c r="AC750" s="8">
        <f>Table3[[#This Row],[PrimaComercial Anual]]*Table3[[#This Row],[IT]]</f>
        <v>250.00199999999998</v>
      </c>
      <c r="AD750" s="8">
        <f>Table3[[#This Row],[PrimaComercial Anual]]*Table3[[#This Row],[IVA]]</f>
        <v>1083.3420000000001</v>
      </c>
      <c r="AE750" s="15">
        <f>Table3[[#This Row],[PrimaComercial Anual Asistencia]]</f>
        <v>8333.4</v>
      </c>
      <c r="AG750">
        <v>8333.4</v>
      </c>
    </row>
    <row r="751" spans="1:33" x14ac:dyDescent="0.25">
      <c r="A751" t="s">
        <v>17</v>
      </c>
      <c r="B751">
        <v>700001</v>
      </c>
      <c r="C751">
        <v>56</v>
      </c>
      <c r="D751" s="2">
        <f>Table3[[#This Row],[PrimaTécnica]]-Table3[[#This Row],[PrimaTécnica]]*SUM(Table3[[#This Row],[Gastos Adm]:[Cobranza]])</f>
        <v>4358.4275842847983</v>
      </c>
      <c r="E751">
        <v>0</v>
      </c>
      <c r="F751">
        <v>0.15</v>
      </c>
      <c r="G751">
        <v>0.05</v>
      </c>
      <c r="H751">
        <v>0.01</v>
      </c>
      <c r="I751">
        <v>0.01</v>
      </c>
      <c r="J751" s="8">
        <f>Table3[[#This Row],[PrimaTécnica]]*Table3[[#This Row],[Gastos Adm]]</f>
        <v>838.15915082399977</v>
      </c>
      <c r="K751" s="8">
        <f>Table3[[#This Row],[PrimaTécnica]]*Table3[[#This Row],[Utilidad]]</f>
        <v>279.3863836079999</v>
      </c>
      <c r="L751" s="8">
        <f>Table3[[#This Row],[PrimaTécnica]]*Table3[[#This Row],[Marketing]]</f>
        <v>55.877276721599983</v>
      </c>
      <c r="M751" s="8">
        <f>Table3[[#This Row],[PrimaTécnica]]*Table3[[#This Row],[Cobranza]]</f>
        <v>55.877276721599983</v>
      </c>
      <c r="N75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5587.7276721599983</v>
      </c>
      <c r="O751">
        <v>21.84</v>
      </c>
      <c r="P751">
        <v>54.6</v>
      </c>
      <c r="Q751">
        <v>80.64</v>
      </c>
      <c r="R751">
        <v>44.377200000000002</v>
      </c>
      <c r="S751">
        <v>0.2</v>
      </c>
      <c r="T751">
        <v>0.02</v>
      </c>
      <c r="U751" s="8">
        <f>Table3[[#This Row],[PrimaNeta]]*Table3[[#This Row],[Comisión]]</f>
        <v>1447.29621804</v>
      </c>
      <c r="V751" s="15">
        <f>Table3[[#This Row],[PrimaComercial Anual]]-Table3[[#This Row],[PrimaComercial Anual]]*SUM(Table3[[#This Row],[APS]:[IVA]])</f>
        <v>7236.481090199999</v>
      </c>
      <c r="W751" s="2">
        <v>1.4800000000000001E-2</v>
      </c>
      <c r="X751" s="2">
        <v>8.4501000000000007E-2</v>
      </c>
      <c r="Y751">
        <v>0.03</v>
      </c>
      <c r="Z751">
        <v>0.13</v>
      </c>
      <c r="AA751" s="20">
        <f>Table3[[#This Row],[APS]]*Table3[[#This Row],[PrimaComercial Anual]]</f>
        <v>144.59304</v>
      </c>
      <c r="AB751" s="8">
        <f>Table3[[#This Row],[PrimaComercial Anual]]*Table3[[#This Row],[Recargo adicional]]</f>
        <v>825.55786980000005</v>
      </c>
      <c r="AC751" s="8">
        <f>Table3[[#This Row],[PrimaComercial Anual]]*Table3[[#This Row],[IT]]</f>
        <v>293.09399999999999</v>
      </c>
      <c r="AD751" s="8">
        <f>Table3[[#This Row],[PrimaComercial Anual]]*Table3[[#This Row],[IVA]]</f>
        <v>1270.0739999999998</v>
      </c>
      <c r="AE751" s="15">
        <f>Table3[[#This Row],[PrimaComercial Anual Asistencia]]</f>
        <v>9769.7999999999993</v>
      </c>
      <c r="AG751">
        <v>9769.7999999999993</v>
      </c>
    </row>
    <row r="752" spans="1:33" x14ac:dyDescent="0.25">
      <c r="A752" t="s">
        <v>17</v>
      </c>
      <c r="B752">
        <v>700001</v>
      </c>
      <c r="C752">
        <v>57</v>
      </c>
      <c r="D752" s="2">
        <f>Table3[[#This Row],[PrimaTécnica]]-Table3[[#This Row],[PrimaTécnica]]*SUM(Table3[[#This Row],[Gastos Adm]:[Cobranza]])</f>
        <v>4358.4275842847983</v>
      </c>
      <c r="E752">
        <v>0</v>
      </c>
      <c r="F752">
        <v>0.15</v>
      </c>
      <c r="G752">
        <v>0.05</v>
      </c>
      <c r="H752">
        <v>0.01</v>
      </c>
      <c r="I752">
        <v>0.01</v>
      </c>
      <c r="J752" s="8">
        <f>Table3[[#This Row],[PrimaTécnica]]*Table3[[#This Row],[Gastos Adm]]</f>
        <v>838.15915082399977</v>
      </c>
      <c r="K752" s="8">
        <f>Table3[[#This Row],[PrimaTécnica]]*Table3[[#This Row],[Utilidad]]</f>
        <v>279.3863836079999</v>
      </c>
      <c r="L752" s="8">
        <f>Table3[[#This Row],[PrimaTécnica]]*Table3[[#This Row],[Marketing]]</f>
        <v>55.877276721599983</v>
      </c>
      <c r="M752" s="8">
        <f>Table3[[#This Row],[PrimaTécnica]]*Table3[[#This Row],[Cobranza]]</f>
        <v>55.877276721599983</v>
      </c>
      <c r="N75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5587.7276721599983</v>
      </c>
      <c r="O752">
        <v>21.84</v>
      </c>
      <c r="P752">
        <v>54.6</v>
      </c>
      <c r="Q752">
        <v>80.64</v>
      </c>
      <c r="R752">
        <v>44.377200000000002</v>
      </c>
      <c r="S752">
        <v>0.2</v>
      </c>
      <c r="T752">
        <v>0.02</v>
      </c>
      <c r="U752" s="8">
        <f>Table3[[#This Row],[PrimaNeta]]*Table3[[#This Row],[Comisión]]</f>
        <v>1447.29621804</v>
      </c>
      <c r="V752" s="15">
        <f>Table3[[#This Row],[PrimaComercial Anual]]-Table3[[#This Row],[PrimaComercial Anual]]*SUM(Table3[[#This Row],[APS]:[IVA]])</f>
        <v>7236.481090199999</v>
      </c>
      <c r="W752" s="2">
        <v>1.4800000000000001E-2</v>
      </c>
      <c r="X752" s="2">
        <v>8.4501000000000007E-2</v>
      </c>
      <c r="Y752">
        <v>0.03</v>
      </c>
      <c r="Z752">
        <v>0.13</v>
      </c>
      <c r="AA752" s="20">
        <f>Table3[[#This Row],[APS]]*Table3[[#This Row],[PrimaComercial Anual]]</f>
        <v>144.59304</v>
      </c>
      <c r="AB752" s="8">
        <f>Table3[[#This Row],[PrimaComercial Anual]]*Table3[[#This Row],[Recargo adicional]]</f>
        <v>825.55786980000005</v>
      </c>
      <c r="AC752" s="8">
        <f>Table3[[#This Row],[PrimaComercial Anual]]*Table3[[#This Row],[IT]]</f>
        <v>293.09399999999999</v>
      </c>
      <c r="AD752" s="8">
        <f>Table3[[#This Row],[PrimaComercial Anual]]*Table3[[#This Row],[IVA]]</f>
        <v>1270.0739999999998</v>
      </c>
      <c r="AE752" s="15">
        <f>Table3[[#This Row],[PrimaComercial Anual Asistencia]]</f>
        <v>9769.7999999999993</v>
      </c>
      <c r="AG752">
        <v>9769.7999999999993</v>
      </c>
    </row>
    <row r="753" spans="1:33" x14ac:dyDescent="0.25">
      <c r="A753" t="s">
        <v>17</v>
      </c>
      <c r="B753">
        <v>700001</v>
      </c>
      <c r="C753">
        <v>58</v>
      </c>
      <c r="D753" s="2">
        <f>Table3[[#This Row],[PrimaTécnica]]-Table3[[#This Row],[PrimaTécnica]]*SUM(Table3[[#This Row],[Gastos Adm]:[Cobranza]])</f>
        <v>4358.4275842847983</v>
      </c>
      <c r="E753">
        <v>0</v>
      </c>
      <c r="F753">
        <v>0.15</v>
      </c>
      <c r="G753">
        <v>0.05</v>
      </c>
      <c r="H753">
        <v>0.01</v>
      </c>
      <c r="I753">
        <v>0.01</v>
      </c>
      <c r="J753" s="8">
        <f>Table3[[#This Row],[PrimaTécnica]]*Table3[[#This Row],[Gastos Adm]]</f>
        <v>838.15915082399977</v>
      </c>
      <c r="K753" s="8">
        <f>Table3[[#This Row],[PrimaTécnica]]*Table3[[#This Row],[Utilidad]]</f>
        <v>279.3863836079999</v>
      </c>
      <c r="L753" s="8">
        <f>Table3[[#This Row],[PrimaTécnica]]*Table3[[#This Row],[Marketing]]</f>
        <v>55.877276721599983</v>
      </c>
      <c r="M753" s="8">
        <f>Table3[[#This Row],[PrimaTécnica]]*Table3[[#This Row],[Cobranza]]</f>
        <v>55.877276721599983</v>
      </c>
      <c r="N75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5587.7276721599983</v>
      </c>
      <c r="O753">
        <v>21.84</v>
      </c>
      <c r="P753">
        <v>54.6</v>
      </c>
      <c r="Q753">
        <v>80.64</v>
      </c>
      <c r="R753">
        <v>44.377200000000002</v>
      </c>
      <c r="S753">
        <v>0.2</v>
      </c>
      <c r="T753">
        <v>0.02</v>
      </c>
      <c r="U753" s="8">
        <f>Table3[[#This Row],[PrimaNeta]]*Table3[[#This Row],[Comisión]]</f>
        <v>1447.29621804</v>
      </c>
      <c r="V753" s="15">
        <f>Table3[[#This Row],[PrimaComercial Anual]]-Table3[[#This Row],[PrimaComercial Anual]]*SUM(Table3[[#This Row],[APS]:[IVA]])</f>
        <v>7236.481090199999</v>
      </c>
      <c r="W753" s="2">
        <v>1.4800000000000001E-2</v>
      </c>
      <c r="X753" s="2">
        <v>8.4501000000000007E-2</v>
      </c>
      <c r="Y753">
        <v>0.03</v>
      </c>
      <c r="Z753">
        <v>0.13</v>
      </c>
      <c r="AA753" s="20">
        <f>Table3[[#This Row],[APS]]*Table3[[#This Row],[PrimaComercial Anual]]</f>
        <v>144.59304</v>
      </c>
      <c r="AB753" s="8">
        <f>Table3[[#This Row],[PrimaComercial Anual]]*Table3[[#This Row],[Recargo adicional]]</f>
        <v>825.55786980000005</v>
      </c>
      <c r="AC753" s="8">
        <f>Table3[[#This Row],[PrimaComercial Anual]]*Table3[[#This Row],[IT]]</f>
        <v>293.09399999999999</v>
      </c>
      <c r="AD753" s="8">
        <f>Table3[[#This Row],[PrimaComercial Anual]]*Table3[[#This Row],[IVA]]</f>
        <v>1270.0739999999998</v>
      </c>
      <c r="AE753" s="15">
        <f>Table3[[#This Row],[PrimaComercial Anual Asistencia]]</f>
        <v>9769.7999999999993</v>
      </c>
      <c r="AG753">
        <v>9769.7999999999993</v>
      </c>
    </row>
    <row r="754" spans="1:33" x14ac:dyDescent="0.25">
      <c r="A754" t="s">
        <v>17</v>
      </c>
      <c r="B754">
        <v>700001</v>
      </c>
      <c r="C754">
        <v>59</v>
      </c>
      <c r="D754" s="2">
        <f>Table3[[#This Row],[PrimaTécnica]]-Table3[[#This Row],[PrimaTécnica]]*SUM(Table3[[#This Row],[Gastos Adm]:[Cobranza]])</f>
        <v>4358.4275842847983</v>
      </c>
      <c r="E754">
        <v>0</v>
      </c>
      <c r="F754">
        <v>0.15</v>
      </c>
      <c r="G754">
        <v>0.05</v>
      </c>
      <c r="H754">
        <v>0.01</v>
      </c>
      <c r="I754">
        <v>0.01</v>
      </c>
      <c r="J754" s="8">
        <f>Table3[[#This Row],[PrimaTécnica]]*Table3[[#This Row],[Gastos Adm]]</f>
        <v>838.15915082399977</v>
      </c>
      <c r="K754" s="8">
        <f>Table3[[#This Row],[PrimaTécnica]]*Table3[[#This Row],[Utilidad]]</f>
        <v>279.3863836079999</v>
      </c>
      <c r="L754" s="8">
        <f>Table3[[#This Row],[PrimaTécnica]]*Table3[[#This Row],[Marketing]]</f>
        <v>55.877276721599983</v>
      </c>
      <c r="M754" s="8">
        <f>Table3[[#This Row],[PrimaTécnica]]*Table3[[#This Row],[Cobranza]]</f>
        <v>55.877276721599983</v>
      </c>
      <c r="N75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5587.7276721599983</v>
      </c>
      <c r="O754">
        <v>21.84</v>
      </c>
      <c r="P754">
        <v>54.6</v>
      </c>
      <c r="Q754">
        <v>80.64</v>
      </c>
      <c r="R754">
        <v>44.377200000000002</v>
      </c>
      <c r="S754">
        <v>0.2</v>
      </c>
      <c r="T754">
        <v>0.02</v>
      </c>
      <c r="U754" s="8">
        <f>Table3[[#This Row],[PrimaNeta]]*Table3[[#This Row],[Comisión]]</f>
        <v>1447.29621804</v>
      </c>
      <c r="V754" s="15">
        <f>Table3[[#This Row],[PrimaComercial Anual]]-Table3[[#This Row],[PrimaComercial Anual]]*SUM(Table3[[#This Row],[APS]:[IVA]])</f>
        <v>7236.481090199999</v>
      </c>
      <c r="W754" s="2">
        <v>1.4800000000000001E-2</v>
      </c>
      <c r="X754" s="2">
        <v>8.4501000000000007E-2</v>
      </c>
      <c r="Y754">
        <v>0.03</v>
      </c>
      <c r="Z754">
        <v>0.13</v>
      </c>
      <c r="AA754" s="20">
        <f>Table3[[#This Row],[APS]]*Table3[[#This Row],[PrimaComercial Anual]]</f>
        <v>144.59304</v>
      </c>
      <c r="AB754" s="8">
        <f>Table3[[#This Row],[PrimaComercial Anual]]*Table3[[#This Row],[Recargo adicional]]</f>
        <v>825.55786980000005</v>
      </c>
      <c r="AC754" s="8">
        <f>Table3[[#This Row],[PrimaComercial Anual]]*Table3[[#This Row],[IT]]</f>
        <v>293.09399999999999</v>
      </c>
      <c r="AD754" s="8">
        <f>Table3[[#This Row],[PrimaComercial Anual]]*Table3[[#This Row],[IVA]]</f>
        <v>1270.0739999999998</v>
      </c>
      <c r="AE754" s="15">
        <f>Table3[[#This Row],[PrimaComercial Anual Asistencia]]</f>
        <v>9769.7999999999993</v>
      </c>
      <c r="AG754">
        <v>9769.7999999999993</v>
      </c>
    </row>
    <row r="755" spans="1:33" x14ac:dyDescent="0.25">
      <c r="A755" t="s">
        <v>17</v>
      </c>
      <c r="B755">
        <v>700001</v>
      </c>
      <c r="C755">
        <v>60</v>
      </c>
      <c r="D755" s="2">
        <f>Table3[[#This Row],[PrimaTécnica]]-Table3[[#This Row],[PrimaTécnica]]*SUM(Table3[[#This Row],[Gastos Adm]:[Cobranza]])</f>
        <v>7235.3214621792004</v>
      </c>
      <c r="E755">
        <v>0</v>
      </c>
      <c r="F755">
        <v>0.15</v>
      </c>
      <c r="G755">
        <v>0.05</v>
      </c>
      <c r="H755">
        <v>0.01</v>
      </c>
      <c r="I755">
        <v>0.01</v>
      </c>
      <c r="J755" s="8">
        <f>Table3[[#This Row],[PrimaTécnica]]*Table3[[#This Row],[Gastos Adm]]</f>
        <v>1391.4079734960001</v>
      </c>
      <c r="K755" s="8">
        <f>Table3[[#This Row],[PrimaTécnica]]*Table3[[#This Row],[Utilidad]]</f>
        <v>463.80265783200002</v>
      </c>
      <c r="L755" s="8">
        <f>Table3[[#This Row],[PrimaTécnica]]*Table3[[#This Row],[Marketing]]</f>
        <v>92.760531566400005</v>
      </c>
      <c r="M755" s="8">
        <f>Table3[[#This Row],[PrimaTécnica]]*Table3[[#This Row],[Cobranza]]</f>
        <v>92.760531566400005</v>
      </c>
      <c r="N75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9276.0531566400005</v>
      </c>
      <c r="O755">
        <v>21.84</v>
      </c>
      <c r="P755">
        <v>54.6</v>
      </c>
      <c r="Q755">
        <v>80.64</v>
      </c>
      <c r="R755">
        <v>44.377200000000002</v>
      </c>
      <c r="S755">
        <v>0.2</v>
      </c>
      <c r="T755">
        <v>0.02</v>
      </c>
      <c r="U755" s="8">
        <f>Table3[[#This Row],[PrimaNeta]]*Table3[[#This Row],[Comisión]]</f>
        <v>2369.3775891600003</v>
      </c>
      <c r="V755" s="15">
        <f>Table3[[#This Row],[PrimaComercial Anual]]-Table3[[#This Row],[PrimaComercial Anual]]*SUM(Table3[[#This Row],[APS]:[IVA]])</f>
        <v>11846.887945800001</v>
      </c>
      <c r="W755" s="2">
        <v>1.4800000000000001E-2</v>
      </c>
      <c r="X755" s="2">
        <v>8.4501000000000007E-2</v>
      </c>
      <c r="Y755">
        <v>0.03</v>
      </c>
      <c r="Z755">
        <v>0.13</v>
      </c>
      <c r="AA755" s="20">
        <f>Table3[[#This Row],[APS]]*Table3[[#This Row],[PrimaComercial Anual]]</f>
        <v>236.71416000000002</v>
      </c>
      <c r="AB755" s="8">
        <f>Table3[[#This Row],[PrimaComercial Anual]]*Table3[[#This Row],[Recargo adicional]]</f>
        <v>1351.5258942000003</v>
      </c>
      <c r="AC755" s="8">
        <f>Table3[[#This Row],[PrimaComercial Anual]]*Table3[[#This Row],[IT]]</f>
        <v>479.82600000000002</v>
      </c>
      <c r="AD755" s="8">
        <f>Table3[[#This Row],[PrimaComercial Anual]]*Table3[[#This Row],[IVA]]</f>
        <v>2079.2460000000001</v>
      </c>
      <c r="AE755" s="15">
        <f>Table3[[#This Row],[PrimaComercial Anual Asistencia]]</f>
        <v>15994.2</v>
      </c>
      <c r="AG755">
        <v>15994.2</v>
      </c>
    </row>
    <row r="756" spans="1:33" x14ac:dyDescent="0.25">
      <c r="A756" t="s">
        <v>17</v>
      </c>
      <c r="B756">
        <v>700001</v>
      </c>
      <c r="C756">
        <v>61</v>
      </c>
      <c r="D756" s="2">
        <f>Table3[[#This Row],[PrimaTécnica]]-Table3[[#This Row],[PrimaTécnica]]*SUM(Table3[[#This Row],[Gastos Adm]:[Cobranza]])</f>
        <v>7235.3214621792004</v>
      </c>
      <c r="E756">
        <v>0</v>
      </c>
      <c r="F756">
        <v>0.15</v>
      </c>
      <c r="G756">
        <v>0.05</v>
      </c>
      <c r="H756">
        <v>0.01</v>
      </c>
      <c r="I756">
        <v>0.01</v>
      </c>
      <c r="J756" s="8">
        <f>Table3[[#This Row],[PrimaTécnica]]*Table3[[#This Row],[Gastos Adm]]</f>
        <v>1391.4079734960001</v>
      </c>
      <c r="K756" s="8">
        <f>Table3[[#This Row],[PrimaTécnica]]*Table3[[#This Row],[Utilidad]]</f>
        <v>463.80265783200002</v>
      </c>
      <c r="L756" s="8">
        <f>Table3[[#This Row],[PrimaTécnica]]*Table3[[#This Row],[Marketing]]</f>
        <v>92.760531566400005</v>
      </c>
      <c r="M756" s="8">
        <f>Table3[[#This Row],[PrimaTécnica]]*Table3[[#This Row],[Cobranza]]</f>
        <v>92.760531566400005</v>
      </c>
      <c r="N75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9276.0531566400005</v>
      </c>
      <c r="O756">
        <v>21.84</v>
      </c>
      <c r="P756">
        <v>54.6</v>
      </c>
      <c r="Q756">
        <v>80.64</v>
      </c>
      <c r="R756">
        <v>44.377200000000002</v>
      </c>
      <c r="S756">
        <v>0.2</v>
      </c>
      <c r="T756">
        <v>0.02</v>
      </c>
      <c r="U756" s="8">
        <f>Table3[[#This Row],[PrimaNeta]]*Table3[[#This Row],[Comisión]]</f>
        <v>2369.3775891600003</v>
      </c>
      <c r="V756" s="15">
        <f>Table3[[#This Row],[PrimaComercial Anual]]-Table3[[#This Row],[PrimaComercial Anual]]*SUM(Table3[[#This Row],[APS]:[IVA]])</f>
        <v>11846.887945800001</v>
      </c>
      <c r="W756" s="2">
        <v>1.4800000000000001E-2</v>
      </c>
      <c r="X756" s="2">
        <v>8.4501000000000007E-2</v>
      </c>
      <c r="Y756">
        <v>0.03</v>
      </c>
      <c r="Z756">
        <v>0.13</v>
      </c>
      <c r="AA756" s="20">
        <f>Table3[[#This Row],[APS]]*Table3[[#This Row],[PrimaComercial Anual]]</f>
        <v>236.71416000000002</v>
      </c>
      <c r="AB756" s="8">
        <f>Table3[[#This Row],[PrimaComercial Anual]]*Table3[[#This Row],[Recargo adicional]]</f>
        <v>1351.5258942000003</v>
      </c>
      <c r="AC756" s="8">
        <f>Table3[[#This Row],[PrimaComercial Anual]]*Table3[[#This Row],[IT]]</f>
        <v>479.82600000000002</v>
      </c>
      <c r="AD756" s="8">
        <f>Table3[[#This Row],[PrimaComercial Anual]]*Table3[[#This Row],[IVA]]</f>
        <v>2079.2460000000001</v>
      </c>
      <c r="AE756" s="15">
        <f>Table3[[#This Row],[PrimaComercial Anual Asistencia]]</f>
        <v>15994.2</v>
      </c>
      <c r="AG756">
        <v>15994.2</v>
      </c>
    </row>
    <row r="757" spans="1:33" x14ac:dyDescent="0.25">
      <c r="A757" t="s">
        <v>17</v>
      </c>
      <c r="B757">
        <v>700001</v>
      </c>
      <c r="C757">
        <v>62</v>
      </c>
      <c r="D757" s="2">
        <f>Table3[[#This Row],[PrimaTécnica]]-Table3[[#This Row],[PrimaTécnica]]*SUM(Table3[[#This Row],[Gastos Adm]:[Cobranza]])</f>
        <v>7235.3214621792004</v>
      </c>
      <c r="E757">
        <v>0</v>
      </c>
      <c r="F757">
        <v>0.15</v>
      </c>
      <c r="G757">
        <v>0.05</v>
      </c>
      <c r="H757">
        <v>0.01</v>
      </c>
      <c r="I757">
        <v>0.01</v>
      </c>
      <c r="J757" s="8">
        <f>Table3[[#This Row],[PrimaTécnica]]*Table3[[#This Row],[Gastos Adm]]</f>
        <v>1391.4079734960001</v>
      </c>
      <c r="K757" s="8">
        <f>Table3[[#This Row],[PrimaTécnica]]*Table3[[#This Row],[Utilidad]]</f>
        <v>463.80265783200002</v>
      </c>
      <c r="L757" s="8">
        <f>Table3[[#This Row],[PrimaTécnica]]*Table3[[#This Row],[Marketing]]</f>
        <v>92.760531566400005</v>
      </c>
      <c r="M757" s="8">
        <f>Table3[[#This Row],[PrimaTécnica]]*Table3[[#This Row],[Cobranza]]</f>
        <v>92.760531566400005</v>
      </c>
      <c r="N75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9276.0531566400005</v>
      </c>
      <c r="O757">
        <v>21.84</v>
      </c>
      <c r="P757">
        <v>54.6</v>
      </c>
      <c r="Q757">
        <v>80.64</v>
      </c>
      <c r="R757">
        <v>44.377200000000002</v>
      </c>
      <c r="S757">
        <v>0.2</v>
      </c>
      <c r="T757">
        <v>0.02</v>
      </c>
      <c r="U757" s="8">
        <f>Table3[[#This Row],[PrimaNeta]]*Table3[[#This Row],[Comisión]]</f>
        <v>2369.3775891600003</v>
      </c>
      <c r="V757" s="15">
        <f>Table3[[#This Row],[PrimaComercial Anual]]-Table3[[#This Row],[PrimaComercial Anual]]*SUM(Table3[[#This Row],[APS]:[IVA]])</f>
        <v>11846.887945800001</v>
      </c>
      <c r="W757" s="2">
        <v>1.4800000000000001E-2</v>
      </c>
      <c r="X757" s="2">
        <v>8.4501000000000007E-2</v>
      </c>
      <c r="Y757">
        <v>0.03</v>
      </c>
      <c r="Z757">
        <v>0.13</v>
      </c>
      <c r="AA757" s="20">
        <f>Table3[[#This Row],[APS]]*Table3[[#This Row],[PrimaComercial Anual]]</f>
        <v>236.71416000000002</v>
      </c>
      <c r="AB757" s="8">
        <f>Table3[[#This Row],[PrimaComercial Anual]]*Table3[[#This Row],[Recargo adicional]]</f>
        <v>1351.5258942000003</v>
      </c>
      <c r="AC757" s="8">
        <f>Table3[[#This Row],[PrimaComercial Anual]]*Table3[[#This Row],[IT]]</f>
        <v>479.82600000000002</v>
      </c>
      <c r="AD757" s="8">
        <f>Table3[[#This Row],[PrimaComercial Anual]]*Table3[[#This Row],[IVA]]</f>
        <v>2079.2460000000001</v>
      </c>
      <c r="AE757" s="15">
        <f>Table3[[#This Row],[PrimaComercial Anual Asistencia]]</f>
        <v>15994.2</v>
      </c>
      <c r="AG757">
        <v>15994.2</v>
      </c>
    </row>
    <row r="758" spans="1:33" x14ac:dyDescent="0.25">
      <c r="A758" t="s">
        <v>17</v>
      </c>
      <c r="B758">
        <v>700001</v>
      </c>
      <c r="C758">
        <v>63</v>
      </c>
      <c r="D758" s="2">
        <f>Table3[[#This Row],[PrimaTécnica]]-Table3[[#This Row],[PrimaTécnica]]*SUM(Table3[[#This Row],[Gastos Adm]:[Cobranza]])</f>
        <v>7235.3214621792004</v>
      </c>
      <c r="E758">
        <v>0</v>
      </c>
      <c r="F758">
        <v>0.15</v>
      </c>
      <c r="G758">
        <v>0.05</v>
      </c>
      <c r="H758">
        <v>0.01</v>
      </c>
      <c r="I758">
        <v>0.01</v>
      </c>
      <c r="J758" s="8">
        <f>Table3[[#This Row],[PrimaTécnica]]*Table3[[#This Row],[Gastos Adm]]</f>
        <v>1391.4079734960001</v>
      </c>
      <c r="K758" s="8">
        <f>Table3[[#This Row],[PrimaTécnica]]*Table3[[#This Row],[Utilidad]]</f>
        <v>463.80265783200002</v>
      </c>
      <c r="L758" s="8">
        <f>Table3[[#This Row],[PrimaTécnica]]*Table3[[#This Row],[Marketing]]</f>
        <v>92.760531566400005</v>
      </c>
      <c r="M758" s="8">
        <f>Table3[[#This Row],[PrimaTécnica]]*Table3[[#This Row],[Cobranza]]</f>
        <v>92.760531566400005</v>
      </c>
      <c r="N75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9276.0531566400005</v>
      </c>
      <c r="O758">
        <v>21.84</v>
      </c>
      <c r="P758">
        <v>54.6</v>
      </c>
      <c r="Q758">
        <v>80.64</v>
      </c>
      <c r="R758">
        <v>44.377200000000002</v>
      </c>
      <c r="S758">
        <v>0.2</v>
      </c>
      <c r="T758">
        <v>0.02</v>
      </c>
      <c r="U758" s="8">
        <f>Table3[[#This Row],[PrimaNeta]]*Table3[[#This Row],[Comisión]]</f>
        <v>2369.3775891600003</v>
      </c>
      <c r="V758" s="15">
        <f>Table3[[#This Row],[PrimaComercial Anual]]-Table3[[#This Row],[PrimaComercial Anual]]*SUM(Table3[[#This Row],[APS]:[IVA]])</f>
        <v>11846.887945800001</v>
      </c>
      <c r="W758" s="2">
        <v>1.4800000000000001E-2</v>
      </c>
      <c r="X758" s="2">
        <v>8.4501000000000007E-2</v>
      </c>
      <c r="Y758">
        <v>0.03</v>
      </c>
      <c r="Z758">
        <v>0.13</v>
      </c>
      <c r="AA758" s="20">
        <f>Table3[[#This Row],[APS]]*Table3[[#This Row],[PrimaComercial Anual]]</f>
        <v>236.71416000000002</v>
      </c>
      <c r="AB758" s="8">
        <f>Table3[[#This Row],[PrimaComercial Anual]]*Table3[[#This Row],[Recargo adicional]]</f>
        <v>1351.5258942000003</v>
      </c>
      <c r="AC758" s="8">
        <f>Table3[[#This Row],[PrimaComercial Anual]]*Table3[[#This Row],[IT]]</f>
        <v>479.82600000000002</v>
      </c>
      <c r="AD758" s="8">
        <f>Table3[[#This Row],[PrimaComercial Anual]]*Table3[[#This Row],[IVA]]</f>
        <v>2079.2460000000001</v>
      </c>
      <c r="AE758" s="15">
        <f>Table3[[#This Row],[PrimaComercial Anual Asistencia]]</f>
        <v>15994.2</v>
      </c>
      <c r="AG758">
        <v>15994.2</v>
      </c>
    </row>
    <row r="759" spans="1:33" x14ac:dyDescent="0.25">
      <c r="A759" t="s">
        <v>17</v>
      </c>
      <c r="B759">
        <v>700001</v>
      </c>
      <c r="C759">
        <v>64</v>
      </c>
      <c r="D759" s="2">
        <f>Table3[[#This Row],[PrimaTécnica]]-Table3[[#This Row],[PrimaTécnica]]*SUM(Table3[[#This Row],[Gastos Adm]:[Cobranza]])</f>
        <v>7235.3214621792004</v>
      </c>
      <c r="E759">
        <v>0</v>
      </c>
      <c r="F759">
        <v>0.15</v>
      </c>
      <c r="G759">
        <v>0.05</v>
      </c>
      <c r="H759">
        <v>0.01</v>
      </c>
      <c r="I759">
        <v>0.01</v>
      </c>
      <c r="J759" s="8">
        <f>Table3[[#This Row],[PrimaTécnica]]*Table3[[#This Row],[Gastos Adm]]</f>
        <v>1391.4079734960001</v>
      </c>
      <c r="K759" s="8">
        <f>Table3[[#This Row],[PrimaTécnica]]*Table3[[#This Row],[Utilidad]]</f>
        <v>463.80265783200002</v>
      </c>
      <c r="L759" s="8">
        <f>Table3[[#This Row],[PrimaTécnica]]*Table3[[#This Row],[Marketing]]</f>
        <v>92.760531566400005</v>
      </c>
      <c r="M759" s="8">
        <f>Table3[[#This Row],[PrimaTécnica]]*Table3[[#This Row],[Cobranza]]</f>
        <v>92.760531566400005</v>
      </c>
      <c r="N75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9276.0531566400005</v>
      </c>
      <c r="O759">
        <v>21.84</v>
      </c>
      <c r="P759">
        <v>54.6</v>
      </c>
      <c r="Q759">
        <v>80.64</v>
      </c>
      <c r="R759">
        <v>44.377200000000002</v>
      </c>
      <c r="S759">
        <v>0.2</v>
      </c>
      <c r="T759">
        <v>0.02</v>
      </c>
      <c r="U759" s="8">
        <f>Table3[[#This Row],[PrimaNeta]]*Table3[[#This Row],[Comisión]]</f>
        <v>2369.3775891600003</v>
      </c>
      <c r="V759" s="15">
        <f>Table3[[#This Row],[PrimaComercial Anual]]-Table3[[#This Row],[PrimaComercial Anual]]*SUM(Table3[[#This Row],[APS]:[IVA]])</f>
        <v>11846.887945800001</v>
      </c>
      <c r="W759" s="2">
        <v>1.4800000000000001E-2</v>
      </c>
      <c r="X759" s="2">
        <v>8.4501000000000007E-2</v>
      </c>
      <c r="Y759">
        <v>0.03</v>
      </c>
      <c r="Z759">
        <v>0.13</v>
      </c>
      <c r="AA759" s="20">
        <f>Table3[[#This Row],[APS]]*Table3[[#This Row],[PrimaComercial Anual]]</f>
        <v>236.71416000000002</v>
      </c>
      <c r="AB759" s="8">
        <f>Table3[[#This Row],[PrimaComercial Anual]]*Table3[[#This Row],[Recargo adicional]]</f>
        <v>1351.5258942000003</v>
      </c>
      <c r="AC759" s="8">
        <f>Table3[[#This Row],[PrimaComercial Anual]]*Table3[[#This Row],[IT]]</f>
        <v>479.82600000000002</v>
      </c>
      <c r="AD759" s="8">
        <f>Table3[[#This Row],[PrimaComercial Anual]]*Table3[[#This Row],[IVA]]</f>
        <v>2079.2460000000001</v>
      </c>
      <c r="AE759" s="15">
        <f>Table3[[#This Row],[PrimaComercial Anual Asistencia]]</f>
        <v>15994.2</v>
      </c>
      <c r="AG759">
        <v>15994.2</v>
      </c>
    </row>
    <row r="760" spans="1:33" x14ac:dyDescent="0.25">
      <c r="A760" t="s">
        <v>17</v>
      </c>
      <c r="B760">
        <v>700001</v>
      </c>
      <c r="C760">
        <v>65</v>
      </c>
      <c r="D760" s="2">
        <f>Table3[[#This Row],[PrimaTécnica]]-Table3[[#This Row],[PrimaTécnica]]*SUM(Table3[[#This Row],[Gastos Adm]:[Cobranza]])</f>
        <v>10259.748359452798</v>
      </c>
      <c r="E760">
        <v>0</v>
      </c>
      <c r="F760">
        <v>0.15</v>
      </c>
      <c r="G760">
        <v>0.05</v>
      </c>
      <c r="H760">
        <v>0.01</v>
      </c>
      <c r="I760">
        <v>0.01</v>
      </c>
      <c r="J760" s="8">
        <f>Table3[[#This Row],[PrimaTécnica]]*Table3[[#This Row],[Gastos Adm]]</f>
        <v>1973.0285306639996</v>
      </c>
      <c r="K760" s="8">
        <f>Table3[[#This Row],[PrimaTécnica]]*Table3[[#This Row],[Utilidad]]</f>
        <v>657.67617688799999</v>
      </c>
      <c r="L760" s="8">
        <f>Table3[[#This Row],[PrimaTécnica]]*Table3[[#This Row],[Marketing]]</f>
        <v>131.53523537759997</v>
      </c>
      <c r="M760" s="8">
        <f>Table3[[#This Row],[PrimaTécnica]]*Table3[[#This Row],[Cobranza]]</f>
        <v>131.53523537759997</v>
      </c>
      <c r="N76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13153.523537759998</v>
      </c>
      <c r="O760">
        <v>21.84</v>
      </c>
      <c r="P760">
        <v>54.6</v>
      </c>
      <c r="Q760">
        <v>80.64</v>
      </c>
      <c r="R760">
        <v>44.377200000000002</v>
      </c>
      <c r="S760">
        <v>0.2</v>
      </c>
      <c r="T760">
        <v>0.02</v>
      </c>
      <c r="U760" s="8">
        <f>Table3[[#This Row],[PrimaNeta]]*Table3[[#This Row],[Comisión]]</f>
        <v>3338.7451844400002</v>
      </c>
      <c r="V760" s="15">
        <f>Table3[[#This Row],[PrimaComercial Anual]]-Table3[[#This Row],[PrimaComercial Anual]]*SUM(Table3[[#This Row],[APS]:[IVA]])</f>
        <v>16693.725922199999</v>
      </c>
      <c r="W760" s="2">
        <v>1.4800000000000001E-2</v>
      </c>
      <c r="X760" s="2">
        <v>8.4501000000000007E-2</v>
      </c>
      <c r="Y760">
        <v>0.03</v>
      </c>
      <c r="Z760">
        <v>0.13</v>
      </c>
      <c r="AA760" s="20">
        <f>Table3[[#This Row],[APS]]*Table3[[#This Row],[PrimaComercial Anual]]</f>
        <v>333.55944</v>
      </c>
      <c r="AB760" s="8">
        <f>Table3[[#This Row],[PrimaComercial Anual]]*Table3[[#This Row],[Recargo adicional]]</f>
        <v>1904.4666378000002</v>
      </c>
      <c r="AC760" s="8">
        <f>Table3[[#This Row],[PrimaComercial Anual]]*Table3[[#This Row],[IT]]</f>
        <v>676.1339999999999</v>
      </c>
      <c r="AD760" s="8">
        <f>Table3[[#This Row],[PrimaComercial Anual]]*Table3[[#This Row],[IVA]]</f>
        <v>2929.9140000000002</v>
      </c>
      <c r="AE760" s="15">
        <f>Table3[[#This Row],[PrimaComercial Anual Asistencia]]</f>
        <v>22537.8</v>
      </c>
      <c r="AG760">
        <v>22537.8</v>
      </c>
    </row>
    <row r="761" spans="1:33" x14ac:dyDescent="0.25">
      <c r="A761" t="s">
        <v>17</v>
      </c>
      <c r="B761">
        <v>700001</v>
      </c>
      <c r="C761">
        <v>66</v>
      </c>
      <c r="D761" s="2">
        <f>Table3[[#This Row],[PrimaTécnica]]-Table3[[#This Row],[PrimaTécnica]]*SUM(Table3[[#This Row],[Gastos Adm]:[Cobranza]])</f>
        <v>10259.748359452798</v>
      </c>
      <c r="E761">
        <v>0</v>
      </c>
      <c r="F761">
        <v>0.15</v>
      </c>
      <c r="G761">
        <v>0.05</v>
      </c>
      <c r="H761">
        <v>0.01</v>
      </c>
      <c r="I761">
        <v>0.01</v>
      </c>
      <c r="J761" s="8">
        <f>Table3[[#This Row],[PrimaTécnica]]*Table3[[#This Row],[Gastos Adm]]</f>
        <v>1973.0285306639996</v>
      </c>
      <c r="K761" s="8">
        <f>Table3[[#This Row],[PrimaTécnica]]*Table3[[#This Row],[Utilidad]]</f>
        <v>657.67617688799999</v>
      </c>
      <c r="L761" s="8">
        <f>Table3[[#This Row],[PrimaTécnica]]*Table3[[#This Row],[Marketing]]</f>
        <v>131.53523537759997</v>
      </c>
      <c r="M761" s="8">
        <f>Table3[[#This Row],[PrimaTécnica]]*Table3[[#This Row],[Cobranza]]</f>
        <v>131.53523537759997</v>
      </c>
      <c r="N76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13153.523537759998</v>
      </c>
      <c r="O761">
        <v>21.84</v>
      </c>
      <c r="P761">
        <v>54.6</v>
      </c>
      <c r="Q761">
        <v>80.64</v>
      </c>
      <c r="R761">
        <v>44.377200000000002</v>
      </c>
      <c r="S761">
        <v>0.2</v>
      </c>
      <c r="T761">
        <v>0.02</v>
      </c>
      <c r="U761" s="8">
        <f>Table3[[#This Row],[PrimaNeta]]*Table3[[#This Row],[Comisión]]</f>
        <v>3338.7451844400002</v>
      </c>
      <c r="V761" s="15">
        <f>Table3[[#This Row],[PrimaComercial Anual]]-Table3[[#This Row],[PrimaComercial Anual]]*SUM(Table3[[#This Row],[APS]:[IVA]])</f>
        <v>16693.725922199999</v>
      </c>
      <c r="W761" s="2">
        <v>1.4800000000000001E-2</v>
      </c>
      <c r="X761" s="2">
        <v>8.4501000000000007E-2</v>
      </c>
      <c r="Y761">
        <v>0.03</v>
      </c>
      <c r="Z761">
        <v>0.13</v>
      </c>
      <c r="AA761" s="20">
        <f>Table3[[#This Row],[APS]]*Table3[[#This Row],[PrimaComercial Anual]]</f>
        <v>333.55944</v>
      </c>
      <c r="AB761" s="8">
        <f>Table3[[#This Row],[PrimaComercial Anual]]*Table3[[#This Row],[Recargo adicional]]</f>
        <v>1904.4666378000002</v>
      </c>
      <c r="AC761" s="8">
        <f>Table3[[#This Row],[PrimaComercial Anual]]*Table3[[#This Row],[IT]]</f>
        <v>676.1339999999999</v>
      </c>
      <c r="AD761" s="8">
        <f>Table3[[#This Row],[PrimaComercial Anual]]*Table3[[#This Row],[IVA]]</f>
        <v>2929.9140000000002</v>
      </c>
      <c r="AE761" s="15">
        <f>Table3[[#This Row],[PrimaComercial Anual Asistencia]]</f>
        <v>22537.8</v>
      </c>
      <c r="AG761">
        <v>22537.8</v>
      </c>
    </row>
    <row r="762" spans="1:33" x14ac:dyDescent="0.25">
      <c r="A762" t="s">
        <v>17</v>
      </c>
      <c r="B762">
        <v>700001</v>
      </c>
      <c r="C762">
        <v>67</v>
      </c>
      <c r="D762" s="2">
        <f>Table3[[#This Row],[PrimaTécnica]]-Table3[[#This Row],[PrimaTécnica]]*SUM(Table3[[#This Row],[Gastos Adm]:[Cobranza]])</f>
        <v>10259.748359452798</v>
      </c>
      <c r="E762">
        <v>0</v>
      </c>
      <c r="F762">
        <v>0.15</v>
      </c>
      <c r="G762">
        <v>0.05</v>
      </c>
      <c r="H762">
        <v>0.01</v>
      </c>
      <c r="I762">
        <v>0.01</v>
      </c>
      <c r="J762" s="8">
        <f>Table3[[#This Row],[PrimaTécnica]]*Table3[[#This Row],[Gastos Adm]]</f>
        <v>1973.0285306639996</v>
      </c>
      <c r="K762" s="8">
        <f>Table3[[#This Row],[PrimaTécnica]]*Table3[[#This Row],[Utilidad]]</f>
        <v>657.67617688799999</v>
      </c>
      <c r="L762" s="8">
        <f>Table3[[#This Row],[PrimaTécnica]]*Table3[[#This Row],[Marketing]]</f>
        <v>131.53523537759997</v>
      </c>
      <c r="M762" s="8">
        <f>Table3[[#This Row],[PrimaTécnica]]*Table3[[#This Row],[Cobranza]]</f>
        <v>131.53523537759997</v>
      </c>
      <c r="N76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13153.523537759998</v>
      </c>
      <c r="O762">
        <v>21.84</v>
      </c>
      <c r="P762">
        <v>54.6</v>
      </c>
      <c r="Q762">
        <v>80.64</v>
      </c>
      <c r="R762">
        <v>44.377200000000002</v>
      </c>
      <c r="S762">
        <v>0.2</v>
      </c>
      <c r="T762">
        <v>0.02</v>
      </c>
      <c r="U762" s="8">
        <f>Table3[[#This Row],[PrimaNeta]]*Table3[[#This Row],[Comisión]]</f>
        <v>3338.7451844400002</v>
      </c>
      <c r="V762" s="15">
        <f>Table3[[#This Row],[PrimaComercial Anual]]-Table3[[#This Row],[PrimaComercial Anual]]*SUM(Table3[[#This Row],[APS]:[IVA]])</f>
        <v>16693.725922199999</v>
      </c>
      <c r="W762" s="2">
        <v>1.4800000000000001E-2</v>
      </c>
      <c r="X762" s="2">
        <v>8.4501000000000007E-2</v>
      </c>
      <c r="Y762">
        <v>0.03</v>
      </c>
      <c r="Z762">
        <v>0.13</v>
      </c>
      <c r="AA762" s="20">
        <f>Table3[[#This Row],[APS]]*Table3[[#This Row],[PrimaComercial Anual]]</f>
        <v>333.55944</v>
      </c>
      <c r="AB762" s="8">
        <f>Table3[[#This Row],[PrimaComercial Anual]]*Table3[[#This Row],[Recargo adicional]]</f>
        <v>1904.4666378000002</v>
      </c>
      <c r="AC762" s="8">
        <f>Table3[[#This Row],[PrimaComercial Anual]]*Table3[[#This Row],[IT]]</f>
        <v>676.1339999999999</v>
      </c>
      <c r="AD762" s="8">
        <f>Table3[[#This Row],[PrimaComercial Anual]]*Table3[[#This Row],[IVA]]</f>
        <v>2929.9140000000002</v>
      </c>
      <c r="AE762" s="15">
        <f>Table3[[#This Row],[PrimaComercial Anual Asistencia]]</f>
        <v>22537.8</v>
      </c>
      <c r="AG762">
        <v>22537.8</v>
      </c>
    </row>
    <row r="763" spans="1:33" x14ac:dyDescent="0.25">
      <c r="A763" t="s">
        <v>17</v>
      </c>
      <c r="B763">
        <v>700001</v>
      </c>
      <c r="C763">
        <v>68</v>
      </c>
      <c r="D763" s="2">
        <f>Table3[[#This Row],[PrimaTécnica]]-Table3[[#This Row],[PrimaTécnica]]*SUM(Table3[[#This Row],[Gastos Adm]:[Cobranza]])</f>
        <v>10259.748359452798</v>
      </c>
      <c r="E763">
        <v>0</v>
      </c>
      <c r="F763">
        <v>0.15</v>
      </c>
      <c r="G763">
        <v>0.05</v>
      </c>
      <c r="H763">
        <v>0.01</v>
      </c>
      <c r="I763">
        <v>0.01</v>
      </c>
      <c r="J763" s="8">
        <f>Table3[[#This Row],[PrimaTécnica]]*Table3[[#This Row],[Gastos Adm]]</f>
        <v>1973.0285306639996</v>
      </c>
      <c r="K763" s="8">
        <f>Table3[[#This Row],[PrimaTécnica]]*Table3[[#This Row],[Utilidad]]</f>
        <v>657.67617688799999</v>
      </c>
      <c r="L763" s="8">
        <f>Table3[[#This Row],[PrimaTécnica]]*Table3[[#This Row],[Marketing]]</f>
        <v>131.53523537759997</v>
      </c>
      <c r="M763" s="8">
        <f>Table3[[#This Row],[PrimaTécnica]]*Table3[[#This Row],[Cobranza]]</f>
        <v>131.53523537759997</v>
      </c>
      <c r="N76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13153.523537759998</v>
      </c>
      <c r="O763">
        <v>21.84</v>
      </c>
      <c r="P763">
        <v>54.6</v>
      </c>
      <c r="Q763">
        <v>80.64</v>
      </c>
      <c r="R763">
        <v>44.377200000000002</v>
      </c>
      <c r="S763">
        <v>0.2</v>
      </c>
      <c r="T763">
        <v>0.02</v>
      </c>
      <c r="U763" s="8">
        <f>Table3[[#This Row],[PrimaNeta]]*Table3[[#This Row],[Comisión]]</f>
        <v>3338.7451844400002</v>
      </c>
      <c r="V763" s="15">
        <f>Table3[[#This Row],[PrimaComercial Anual]]-Table3[[#This Row],[PrimaComercial Anual]]*SUM(Table3[[#This Row],[APS]:[IVA]])</f>
        <v>16693.725922199999</v>
      </c>
      <c r="W763" s="2">
        <v>1.4800000000000001E-2</v>
      </c>
      <c r="X763" s="2">
        <v>8.4501000000000007E-2</v>
      </c>
      <c r="Y763">
        <v>0.03</v>
      </c>
      <c r="Z763">
        <v>0.13</v>
      </c>
      <c r="AA763" s="20">
        <f>Table3[[#This Row],[APS]]*Table3[[#This Row],[PrimaComercial Anual]]</f>
        <v>333.55944</v>
      </c>
      <c r="AB763" s="8">
        <f>Table3[[#This Row],[PrimaComercial Anual]]*Table3[[#This Row],[Recargo adicional]]</f>
        <v>1904.4666378000002</v>
      </c>
      <c r="AC763" s="8">
        <f>Table3[[#This Row],[PrimaComercial Anual]]*Table3[[#This Row],[IT]]</f>
        <v>676.1339999999999</v>
      </c>
      <c r="AD763" s="8">
        <f>Table3[[#This Row],[PrimaComercial Anual]]*Table3[[#This Row],[IVA]]</f>
        <v>2929.9140000000002</v>
      </c>
      <c r="AE763" s="15">
        <f>Table3[[#This Row],[PrimaComercial Anual Asistencia]]</f>
        <v>22537.8</v>
      </c>
      <c r="AG763">
        <v>22537.8</v>
      </c>
    </row>
    <row r="764" spans="1:33" x14ac:dyDescent="0.25">
      <c r="A764" t="s">
        <v>17</v>
      </c>
      <c r="B764">
        <v>700001</v>
      </c>
      <c r="C764">
        <v>69</v>
      </c>
      <c r="D764" s="2">
        <f>Table3[[#This Row],[PrimaTécnica]]-Table3[[#This Row],[PrimaTécnica]]*SUM(Table3[[#This Row],[Gastos Adm]:[Cobranza]])</f>
        <v>10259.748359452798</v>
      </c>
      <c r="E764">
        <v>0</v>
      </c>
      <c r="F764">
        <v>0.15</v>
      </c>
      <c r="G764">
        <v>0.05</v>
      </c>
      <c r="H764">
        <v>0.01</v>
      </c>
      <c r="I764">
        <v>0.01</v>
      </c>
      <c r="J764" s="8">
        <f>Table3[[#This Row],[PrimaTécnica]]*Table3[[#This Row],[Gastos Adm]]</f>
        <v>1973.0285306639996</v>
      </c>
      <c r="K764" s="8">
        <f>Table3[[#This Row],[PrimaTécnica]]*Table3[[#This Row],[Utilidad]]</f>
        <v>657.67617688799999</v>
      </c>
      <c r="L764" s="8">
        <f>Table3[[#This Row],[PrimaTécnica]]*Table3[[#This Row],[Marketing]]</f>
        <v>131.53523537759997</v>
      </c>
      <c r="M764" s="8">
        <f>Table3[[#This Row],[PrimaTécnica]]*Table3[[#This Row],[Cobranza]]</f>
        <v>131.53523537759997</v>
      </c>
      <c r="N76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13153.523537759998</v>
      </c>
      <c r="O764">
        <v>21.84</v>
      </c>
      <c r="P764">
        <v>54.6</v>
      </c>
      <c r="Q764">
        <v>80.64</v>
      </c>
      <c r="R764">
        <v>44.377200000000002</v>
      </c>
      <c r="S764">
        <v>0.2</v>
      </c>
      <c r="T764">
        <v>0.02</v>
      </c>
      <c r="U764" s="8">
        <f>Table3[[#This Row],[PrimaNeta]]*Table3[[#This Row],[Comisión]]</f>
        <v>3338.7451844400002</v>
      </c>
      <c r="V764" s="15">
        <f>Table3[[#This Row],[PrimaComercial Anual]]-Table3[[#This Row],[PrimaComercial Anual]]*SUM(Table3[[#This Row],[APS]:[IVA]])</f>
        <v>16693.725922199999</v>
      </c>
      <c r="W764" s="2">
        <v>1.4800000000000001E-2</v>
      </c>
      <c r="X764" s="2">
        <v>8.4501000000000007E-2</v>
      </c>
      <c r="Y764">
        <v>0.03</v>
      </c>
      <c r="Z764">
        <v>0.13</v>
      </c>
      <c r="AA764" s="20">
        <f>Table3[[#This Row],[APS]]*Table3[[#This Row],[PrimaComercial Anual]]</f>
        <v>333.55944</v>
      </c>
      <c r="AB764" s="8">
        <f>Table3[[#This Row],[PrimaComercial Anual]]*Table3[[#This Row],[Recargo adicional]]</f>
        <v>1904.4666378000002</v>
      </c>
      <c r="AC764" s="8">
        <f>Table3[[#This Row],[PrimaComercial Anual]]*Table3[[#This Row],[IT]]</f>
        <v>676.1339999999999</v>
      </c>
      <c r="AD764" s="8">
        <f>Table3[[#This Row],[PrimaComercial Anual]]*Table3[[#This Row],[IVA]]</f>
        <v>2929.9140000000002</v>
      </c>
      <c r="AE764" s="15">
        <f>Table3[[#This Row],[PrimaComercial Anual Asistencia]]</f>
        <v>22537.8</v>
      </c>
      <c r="AG764">
        <v>22537.8</v>
      </c>
    </row>
    <row r="765" spans="1:33" x14ac:dyDescent="0.25">
      <c r="A765" t="s">
        <v>17</v>
      </c>
      <c r="B765">
        <v>700001</v>
      </c>
      <c r="C765">
        <v>70</v>
      </c>
      <c r="D765" s="2">
        <f>Table3[[#This Row],[PrimaTécnica]]-Table3[[#This Row],[PrimaTécnica]]*SUM(Table3[[#This Row],[Gastos Adm]:[Cobranza]])</f>
        <v>10259.748359452798</v>
      </c>
      <c r="E765">
        <v>0</v>
      </c>
      <c r="F765">
        <v>0.15</v>
      </c>
      <c r="G765">
        <v>0.05</v>
      </c>
      <c r="H765">
        <v>0.01</v>
      </c>
      <c r="I765">
        <v>0.01</v>
      </c>
      <c r="J765" s="8">
        <f>Table3[[#This Row],[PrimaTécnica]]*Table3[[#This Row],[Gastos Adm]]</f>
        <v>1973.0285306639996</v>
      </c>
      <c r="K765" s="8">
        <f>Table3[[#This Row],[PrimaTécnica]]*Table3[[#This Row],[Utilidad]]</f>
        <v>657.67617688799999</v>
      </c>
      <c r="L765" s="8">
        <f>Table3[[#This Row],[PrimaTécnica]]*Table3[[#This Row],[Marketing]]</f>
        <v>131.53523537759997</v>
      </c>
      <c r="M765" s="8">
        <f>Table3[[#This Row],[PrimaTécnica]]*Table3[[#This Row],[Cobranza]]</f>
        <v>131.53523537759997</v>
      </c>
      <c r="N76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13153.523537759998</v>
      </c>
      <c r="O765">
        <v>21.84</v>
      </c>
      <c r="P765">
        <v>54.6</v>
      </c>
      <c r="Q765">
        <v>80.64</v>
      </c>
      <c r="R765">
        <v>44.377200000000002</v>
      </c>
      <c r="S765">
        <v>0.2</v>
      </c>
      <c r="T765">
        <v>0.02</v>
      </c>
      <c r="U765" s="8">
        <f>Table3[[#This Row],[PrimaNeta]]*Table3[[#This Row],[Comisión]]</f>
        <v>3338.7451844400002</v>
      </c>
      <c r="V765" s="15">
        <f>Table3[[#This Row],[PrimaComercial Anual]]-Table3[[#This Row],[PrimaComercial Anual]]*SUM(Table3[[#This Row],[APS]:[IVA]])</f>
        <v>16693.725922199999</v>
      </c>
      <c r="W765" s="2">
        <v>1.4800000000000001E-2</v>
      </c>
      <c r="X765" s="2">
        <v>8.4501000000000007E-2</v>
      </c>
      <c r="Y765">
        <v>0.03</v>
      </c>
      <c r="Z765">
        <v>0.13</v>
      </c>
      <c r="AA765" s="20">
        <f>Table3[[#This Row],[APS]]*Table3[[#This Row],[PrimaComercial Anual]]</f>
        <v>333.55944</v>
      </c>
      <c r="AB765" s="8">
        <f>Table3[[#This Row],[PrimaComercial Anual]]*Table3[[#This Row],[Recargo adicional]]</f>
        <v>1904.4666378000002</v>
      </c>
      <c r="AC765" s="8">
        <f>Table3[[#This Row],[PrimaComercial Anual]]*Table3[[#This Row],[IT]]</f>
        <v>676.1339999999999</v>
      </c>
      <c r="AD765" s="8">
        <f>Table3[[#This Row],[PrimaComercial Anual]]*Table3[[#This Row],[IVA]]</f>
        <v>2929.9140000000002</v>
      </c>
      <c r="AE765" s="15">
        <f>Table3[[#This Row],[PrimaComercial Anual Asistencia]]</f>
        <v>22537.8</v>
      </c>
      <c r="AG765">
        <v>22537.8</v>
      </c>
    </row>
    <row r="766" spans="1:33" x14ac:dyDescent="0.25">
      <c r="A766" t="s">
        <v>17</v>
      </c>
      <c r="B766">
        <v>700001</v>
      </c>
      <c r="C766">
        <v>71</v>
      </c>
      <c r="D766" s="2">
        <f>Table3[[#This Row],[PrimaTécnica]]-Table3[[#This Row],[PrimaTécnica]]*SUM(Table3[[#This Row],[Gastos Adm]:[Cobranza]])</f>
        <v>12103.911101692798</v>
      </c>
      <c r="E766">
        <v>0</v>
      </c>
      <c r="F766">
        <v>0.15</v>
      </c>
      <c r="G766">
        <v>0.05</v>
      </c>
      <c r="H766">
        <v>0.01</v>
      </c>
      <c r="I766">
        <v>0.01</v>
      </c>
      <c r="J766" s="8">
        <f>Table3[[#This Row],[PrimaTécnica]]*Table3[[#This Row],[Gastos Adm]]</f>
        <v>2327.6752118639997</v>
      </c>
      <c r="K766" s="8">
        <f>Table3[[#This Row],[PrimaTécnica]]*Table3[[#This Row],[Utilidad]]</f>
        <v>775.89173728799994</v>
      </c>
      <c r="L766" s="8">
        <f>Table3[[#This Row],[PrimaTécnica]]*Table3[[#This Row],[Marketing]]</f>
        <v>155.17834745759998</v>
      </c>
      <c r="M766" s="8">
        <f>Table3[[#This Row],[PrimaTécnica]]*Table3[[#This Row],[Cobranza]]</f>
        <v>155.17834745759998</v>
      </c>
      <c r="N76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66">
        <v>21.84</v>
      </c>
      <c r="P766">
        <v>54.6</v>
      </c>
      <c r="Q766">
        <v>80.64</v>
      </c>
      <c r="R766">
        <v>44.377200000000002</v>
      </c>
      <c r="S766">
        <v>0.2</v>
      </c>
      <c r="T766">
        <v>0.02</v>
      </c>
      <c r="U766" s="8">
        <f>Table3[[#This Row],[PrimaNeta]]*Table3[[#This Row],[Comisión]]</f>
        <v>3929.82298644</v>
      </c>
      <c r="V766" s="15">
        <f>Table3[[#This Row],[PrimaComercial Anual]]-Table3[[#This Row],[PrimaComercial Anual]]*SUM(Table3[[#This Row],[APS]:[IVA]])</f>
        <v>19649.114932199998</v>
      </c>
      <c r="W766" s="2">
        <v>1.4800000000000001E-2</v>
      </c>
      <c r="X766" s="2">
        <v>8.4501000000000007E-2</v>
      </c>
      <c r="Y766">
        <v>0.03</v>
      </c>
      <c r="Z766">
        <v>0.13</v>
      </c>
      <c r="AA766" s="20">
        <f>Table3[[#This Row],[APS]]*Table3[[#This Row],[PrimaComercial Anual]]</f>
        <v>392.61144000000002</v>
      </c>
      <c r="AB766" s="8">
        <f>Table3[[#This Row],[PrimaComercial Anual]]*Table3[[#This Row],[Recargo adicional]]</f>
        <v>2241.6256278000001</v>
      </c>
      <c r="AC766" s="8">
        <f>Table3[[#This Row],[PrimaComercial Anual]]*Table3[[#This Row],[IT]]</f>
        <v>795.83399999999995</v>
      </c>
      <c r="AD766" s="8">
        <f>Table3[[#This Row],[PrimaComercial Anual]]*Table3[[#This Row],[IVA]]</f>
        <v>3448.614</v>
      </c>
      <c r="AE766" s="15">
        <f>Table3[[#This Row],[PrimaComercial Anual Asistencia]]</f>
        <v>26527.8</v>
      </c>
      <c r="AG766">
        <v>26527.8</v>
      </c>
    </row>
    <row r="767" spans="1:33" x14ac:dyDescent="0.25">
      <c r="A767" t="s">
        <v>17</v>
      </c>
      <c r="B767">
        <v>700001</v>
      </c>
      <c r="C767">
        <v>72</v>
      </c>
      <c r="D767" s="2">
        <f>Table3[[#This Row],[PrimaTécnica]]-Table3[[#This Row],[PrimaTécnica]]*SUM(Table3[[#This Row],[Gastos Adm]:[Cobranza]])</f>
        <v>12103.911101692798</v>
      </c>
      <c r="E767">
        <v>0</v>
      </c>
      <c r="F767">
        <v>0.15</v>
      </c>
      <c r="G767">
        <v>0.05</v>
      </c>
      <c r="H767">
        <v>0.01</v>
      </c>
      <c r="I767">
        <v>0.01</v>
      </c>
      <c r="J767" s="8">
        <f>Table3[[#This Row],[PrimaTécnica]]*Table3[[#This Row],[Gastos Adm]]</f>
        <v>2327.6752118639997</v>
      </c>
      <c r="K767" s="8">
        <f>Table3[[#This Row],[PrimaTécnica]]*Table3[[#This Row],[Utilidad]]</f>
        <v>775.89173728799994</v>
      </c>
      <c r="L767" s="8">
        <f>Table3[[#This Row],[PrimaTécnica]]*Table3[[#This Row],[Marketing]]</f>
        <v>155.17834745759998</v>
      </c>
      <c r="M767" s="8">
        <f>Table3[[#This Row],[PrimaTécnica]]*Table3[[#This Row],[Cobranza]]</f>
        <v>155.17834745759998</v>
      </c>
      <c r="N76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67">
        <v>21.84</v>
      </c>
      <c r="P767">
        <v>54.6</v>
      </c>
      <c r="Q767">
        <v>80.64</v>
      </c>
      <c r="R767">
        <v>44.377200000000002</v>
      </c>
      <c r="S767">
        <v>0.2</v>
      </c>
      <c r="T767">
        <v>0.02</v>
      </c>
      <c r="U767" s="8">
        <f>Table3[[#This Row],[PrimaNeta]]*Table3[[#This Row],[Comisión]]</f>
        <v>3929.82298644</v>
      </c>
      <c r="V767" s="15">
        <f>Table3[[#This Row],[PrimaComercial Anual]]-Table3[[#This Row],[PrimaComercial Anual]]*SUM(Table3[[#This Row],[APS]:[IVA]])</f>
        <v>19649.114932199998</v>
      </c>
      <c r="W767" s="2">
        <v>1.4800000000000001E-2</v>
      </c>
      <c r="X767" s="2">
        <v>8.4501000000000007E-2</v>
      </c>
      <c r="Y767">
        <v>0.03</v>
      </c>
      <c r="Z767">
        <v>0.13</v>
      </c>
      <c r="AA767" s="20">
        <f>Table3[[#This Row],[APS]]*Table3[[#This Row],[PrimaComercial Anual]]</f>
        <v>392.61144000000002</v>
      </c>
      <c r="AB767" s="8">
        <f>Table3[[#This Row],[PrimaComercial Anual]]*Table3[[#This Row],[Recargo adicional]]</f>
        <v>2241.6256278000001</v>
      </c>
      <c r="AC767" s="8">
        <f>Table3[[#This Row],[PrimaComercial Anual]]*Table3[[#This Row],[IT]]</f>
        <v>795.83399999999995</v>
      </c>
      <c r="AD767" s="8">
        <f>Table3[[#This Row],[PrimaComercial Anual]]*Table3[[#This Row],[IVA]]</f>
        <v>3448.614</v>
      </c>
      <c r="AE767" s="15">
        <f>Table3[[#This Row],[PrimaComercial Anual Asistencia]]</f>
        <v>26527.8</v>
      </c>
      <c r="AG767">
        <v>26527.8</v>
      </c>
    </row>
    <row r="768" spans="1:33" x14ac:dyDescent="0.25">
      <c r="A768" t="s">
        <v>17</v>
      </c>
      <c r="B768">
        <v>700001</v>
      </c>
      <c r="C768">
        <v>73</v>
      </c>
      <c r="D768" s="2">
        <f>Table3[[#This Row],[PrimaTécnica]]-Table3[[#This Row],[PrimaTécnica]]*SUM(Table3[[#This Row],[Gastos Adm]:[Cobranza]])</f>
        <v>12103.911101692798</v>
      </c>
      <c r="E768">
        <v>0</v>
      </c>
      <c r="F768">
        <v>0.15</v>
      </c>
      <c r="G768">
        <v>0.05</v>
      </c>
      <c r="H768">
        <v>0.01</v>
      </c>
      <c r="I768">
        <v>0.01</v>
      </c>
      <c r="J768" s="8">
        <f>Table3[[#This Row],[PrimaTécnica]]*Table3[[#This Row],[Gastos Adm]]</f>
        <v>2327.6752118639997</v>
      </c>
      <c r="K768" s="8">
        <f>Table3[[#This Row],[PrimaTécnica]]*Table3[[#This Row],[Utilidad]]</f>
        <v>775.89173728799994</v>
      </c>
      <c r="L768" s="8">
        <f>Table3[[#This Row],[PrimaTécnica]]*Table3[[#This Row],[Marketing]]</f>
        <v>155.17834745759998</v>
      </c>
      <c r="M768" s="8">
        <f>Table3[[#This Row],[PrimaTécnica]]*Table3[[#This Row],[Cobranza]]</f>
        <v>155.17834745759998</v>
      </c>
      <c r="N76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68">
        <v>21.84</v>
      </c>
      <c r="P768">
        <v>54.6</v>
      </c>
      <c r="Q768">
        <v>80.64</v>
      </c>
      <c r="R768">
        <v>44.377200000000002</v>
      </c>
      <c r="S768">
        <v>0.2</v>
      </c>
      <c r="T768">
        <v>0.02</v>
      </c>
      <c r="U768" s="8">
        <f>Table3[[#This Row],[PrimaNeta]]*Table3[[#This Row],[Comisión]]</f>
        <v>3929.82298644</v>
      </c>
      <c r="V768" s="15">
        <f>Table3[[#This Row],[PrimaComercial Anual]]-Table3[[#This Row],[PrimaComercial Anual]]*SUM(Table3[[#This Row],[APS]:[IVA]])</f>
        <v>19649.114932199998</v>
      </c>
      <c r="W768" s="2">
        <v>1.4800000000000001E-2</v>
      </c>
      <c r="X768" s="2">
        <v>8.4501000000000007E-2</v>
      </c>
      <c r="Y768">
        <v>0.03</v>
      </c>
      <c r="Z768">
        <v>0.13</v>
      </c>
      <c r="AA768" s="20">
        <f>Table3[[#This Row],[APS]]*Table3[[#This Row],[PrimaComercial Anual]]</f>
        <v>392.61144000000002</v>
      </c>
      <c r="AB768" s="8">
        <f>Table3[[#This Row],[PrimaComercial Anual]]*Table3[[#This Row],[Recargo adicional]]</f>
        <v>2241.6256278000001</v>
      </c>
      <c r="AC768" s="8">
        <f>Table3[[#This Row],[PrimaComercial Anual]]*Table3[[#This Row],[IT]]</f>
        <v>795.83399999999995</v>
      </c>
      <c r="AD768" s="8">
        <f>Table3[[#This Row],[PrimaComercial Anual]]*Table3[[#This Row],[IVA]]</f>
        <v>3448.614</v>
      </c>
      <c r="AE768" s="15">
        <f>Table3[[#This Row],[PrimaComercial Anual Asistencia]]</f>
        <v>26527.8</v>
      </c>
      <c r="AG768">
        <v>26527.8</v>
      </c>
    </row>
    <row r="769" spans="1:33" x14ac:dyDescent="0.25">
      <c r="A769" t="s">
        <v>17</v>
      </c>
      <c r="B769">
        <v>700001</v>
      </c>
      <c r="C769">
        <v>74</v>
      </c>
      <c r="D769" s="2">
        <f>Table3[[#This Row],[PrimaTécnica]]-Table3[[#This Row],[PrimaTécnica]]*SUM(Table3[[#This Row],[Gastos Adm]:[Cobranza]])</f>
        <v>12103.911101692798</v>
      </c>
      <c r="E769">
        <v>0</v>
      </c>
      <c r="F769">
        <v>0.15</v>
      </c>
      <c r="G769">
        <v>0.05</v>
      </c>
      <c r="H769">
        <v>0.01</v>
      </c>
      <c r="I769">
        <v>0.01</v>
      </c>
      <c r="J769" s="8">
        <f>Table3[[#This Row],[PrimaTécnica]]*Table3[[#This Row],[Gastos Adm]]</f>
        <v>2327.6752118639997</v>
      </c>
      <c r="K769" s="8">
        <f>Table3[[#This Row],[PrimaTécnica]]*Table3[[#This Row],[Utilidad]]</f>
        <v>775.89173728799994</v>
      </c>
      <c r="L769" s="8">
        <f>Table3[[#This Row],[PrimaTécnica]]*Table3[[#This Row],[Marketing]]</f>
        <v>155.17834745759998</v>
      </c>
      <c r="M769" s="8">
        <f>Table3[[#This Row],[PrimaTécnica]]*Table3[[#This Row],[Cobranza]]</f>
        <v>155.17834745759998</v>
      </c>
      <c r="N76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69">
        <v>21.84</v>
      </c>
      <c r="P769">
        <v>54.6</v>
      </c>
      <c r="Q769">
        <v>80.64</v>
      </c>
      <c r="R769">
        <v>44.377200000000002</v>
      </c>
      <c r="S769">
        <v>0.2</v>
      </c>
      <c r="T769">
        <v>0.02</v>
      </c>
      <c r="U769" s="8">
        <f>Table3[[#This Row],[PrimaNeta]]*Table3[[#This Row],[Comisión]]</f>
        <v>3929.82298644</v>
      </c>
      <c r="V769" s="15">
        <f>Table3[[#This Row],[PrimaComercial Anual]]-Table3[[#This Row],[PrimaComercial Anual]]*SUM(Table3[[#This Row],[APS]:[IVA]])</f>
        <v>19649.114932199998</v>
      </c>
      <c r="W769" s="2">
        <v>1.4800000000000001E-2</v>
      </c>
      <c r="X769" s="2">
        <v>8.4501000000000007E-2</v>
      </c>
      <c r="Y769">
        <v>0.03</v>
      </c>
      <c r="Z769">
        <v>0.13</v>
      </c>
      <c r="AA769" s="20">
        <f>Table3[[#This Row],[APS]]*Table3[[#This Row],[PrimaComercial Anual]]</f>
        <v>392.61144000000002</v>
      </c>
      <c r="AB769" s="8">
        <f>Table3[[#This Row],[PrimaComercial Anual]]*Table3[[#This Row],[Recargo adicional]]</f>
        <v>2241.6256278000001</v>
      </c>
      <c r="AC769" s="8">
        <f>Table3[[#This Row],[PrimaComercial Anual]]*Table3[[#This Row],[IT]]</f>
        <v>795.83399999999995</v>
      </c>
      <c r="AD769" s="8">
        <f>Table3[[#This Row],[PrimaComercial Anual]]*Table3[[#This Row],[IVA]]</f>
        <v>3448.614</v>
      </c>
      <c r="AE769" s="15">
        <f>Table3[[#This Row],[PrimaComercial Anual Asistencia]]</f>
        <v>26527.8</v>
      </c>
      <c r="AG769">
        <v>26527.8</v>
      </c>
    </row>
    <row r="770" spans="1:33" x14ac:dyDescent="0.25">
      <c r="A770" t="s">
        <v>17</v>
      </c>
      <c r="B770">
        <v>700001</v>
      </c>
      <c r="C770">
        <v>75</v>
      </c>
      <c r="D770" s="2">
        <f>Table3[[#This Row],[PrimaTécnica]]-Table3[[#This Row],[PrimaTécnica]]*SUM(Table3[[#This Row],[Gastos Adm]:[Cobranza]])</f>
        <v>12103.911101692798</v>
      </c>
      <c r="E770">
        <v>0</v>
      </c>
      <c r="F770">
        <v>0.15</v>
      </c>
      <c r="G770">
        <v>0.05</v>
      </c>
      <c r="H770">
        <v>0.01</v>
      </c>
      <c r="I770">
        <v>0.01</v>
      </c>
      <c r="J770" s="8">
        <f>Table3[[#This Row],[PrimaTécnica]]*Table3[[#This Row],[Gastos Adm]]</f>
        <v>2327.6752118639997</v>
      </c>
      <c r="K770" s="8">
        <f>Table3[[#This Row],[PrimaTécnica]]*Table3[[#This Row],[Utilidad]]</f>
        <v>775.89173728799994</v>
      </c>
      <c r="L770" s="8">
        <f>Table3[[#This Row],[PrimaTécnica]]*Table3[[#This Row],[Marketing]]</f>
        <v>155.17834745759998</v>
      </c>
      <c r="M770" s="8">
        <f>Table3[[#This Row],[PrimaTécnica]]*Table3[[#This Row],[Cobranza]]</f>
        <v>155.17834745759998</v>
      </c>
      <c r="N77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70">
        <v>21.84</v>
      </c>
      <c r="P770">
        <v>54.6</v>
      </c>
      <c r="Q770">
        <v>80.64</v>
      </c>
      <c r="R770">
        <v>44.377200000000002</v>
      </c>
      <c r="S770">
        <v>0.2</v>
      </c>
      <c r="T770">
        <v>0.02</v>
      </c>
      <c r="U770" s="8">
        <f>Table3[[#This Row],[PrimaNeta]]*Table3[[#This Row],[Comisión]]</f>
        <v>3929.82298644</v>
      </c>
      <c r="V770" s="15">
        <f>Table3[[#This Row],[PrimaComercial Anual]]-Table3[[#This Row],[PrimaComercial Anual]]*SUM(Table3[[#This Row],[APS]:[IVA]])</f>
        <v>19649.114932199998</v>
      </c>
      <c r="W770" s="2">
        <v>1.4800000000000001E-2</v>
      </c>
      <c r="X770" s="2">
        <v>8.4501000000000007E-2</v>
      </c>
      <c r="Y770">
        <v>0.03</v>
      </c>
      <c r="Z770">
        <v>0.13</v>
      </c>
      <c r="AA770" s="20">
        <f>Table3[[#This Row],[APS]]*Table3[[#This Row],[PrimaComercial Anual]]</f>
        <v>392.61144000000002</v>
      </c>
      <c r="AB770" s="8">
        <f>Table3[[#This Row],[PrimaComercial Anual]]*Table3[[#This Row],[Recargo adicional]]</f>
        <v>2241.6256278000001</v>
      </c>
      <c r="AC770" s="8">
        <f>Table3[[#This Row],[PrimaComercial Anual]]*Table3[[#This Row],[IT]]</f>
        <v>795.83399999999995</v>
      </c>
      <c r="AD770" s="8">
        <f>Table3[[#This Row],[PrimaComercial Anual]]*Table3[[#This Row],[IVA]]</f>
        <v>3448.614</v>
      </c>
      <c r="AE770" s="15">
        <f>Table3[[#This Row],[PrimaComercial Anual Asistencia]]</f>
        <v>26527.8</v>
      </c>
      <c r="AG770">
        <v>26527.8</v>
      </c>
    </row>
    <row r="771" spans="1:33" x14ac:dyDescent="0.25">
      <c r="A771" t="s">
        <v>17</v>
      </c>
      <c r="B771">
        <v>700001</v>
      </c>
      <c r="C771">
        <v>76</v>
      </c>
      <c r="D771" s="2">
        <f>Table3[[#This Row],[PrimaTécnica]]-Table3[[#This Row],[PrimaTécnica]]*SUM(Table3[[#This Row],[Gastos Adm]:[Cobranza]])</f>
        <v>12103.911101692798</v>
      </c>
      <c r="E771">
        <v>0</v>
      </c>
      <c r="F771">
        <v>0.15</v>
      </c>
      <c r="G771">
        <v>0.05</v>
      </c>
      <c r="H771">
        <v>0.01</v>
      </c>
      <c r="I771">
        <v>0.01</v>
      </c>
      <c r="J771" s="8">
        <f>Table3[[#This Row],[PrimaTécnica]]*Table3[[#This Row],[Gastos Adm]]</f>
        <v>2327.6752118639997</v>
      </c>
      <c r="K771" s="8">
        <f>Table3[[#This Row],[PrimaTécnica]]*Table3[[#This Row],[Utilidad]]</f>
        <v>775.89173728799994</v>
      </c>
      <c r="L771" s="8">
        <f>Table3[[#This Row],[PrimaTécnica]]*Table3[[#This Row],[Marketing]]</f>
        <v>155.17834745759998</v>
      </c>
      <c r="M771" s="8">
        <f>Table3[[#This Row],[PrimaTécnica]]*Table3[[#This Row],[Cobranza]]</f>
        <v>155.17834745759998</v>
      </c>
      <c r="N77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71">
        <v>21.84</v>
      </c>
      <c r="P771">
        <v>54.6</v>
      </c>
      <c r="Q771">
        <v>80.64</v>
      </c>
      <c r="R771">
        <v>44.377200000000002</v>
      </c>
      <c r="S771">
        <v>0.2</v>
      </c>
      <c r="T771">
        <v>0.02</v>
      </c>
      <c r="U771" s="8">
        <f>Table3[[#This Row],[PrimaNeta]]*Table3[[#This Row],[Comisión]]</f>
        <v>3929.82298644</v>
      </c>
      <c r="V771" s="15">
        <f>Table3[[#This Row],[PrimaComercial Anual]]-Table3[[#This Row],[PrimaComercial Anual]]*SUM(Table3[[#This Row],[APS]:[IVA]])</f>
        <v>19649.114932199998</v>
      </c>
      <c r="W771" s="2">
        <v>1.4800000000000001E-2</v>
      </c>
      <c r="X771" s="2">
        <v>8.4501000000000007E-2</v>
      </c>
      <c r="Y771">
        <v>0.03</v>
      </c>
      <c r="Z771">
        <v>0.13</v>
      </c>
      <c r="AA771" s="20">
        <f>Table3[[#This Row],[APS]]*Table3[[#This Row],[PrimaComercial Anual]]</f>
        <v>392.61144000000002</v>
      </c>
      <c r="AB771" s="8">
        <f>Table3[[#This Row],[PrimaComercial Anual]]*Table3[[#This Row],[Recargo adicional]]</f>
        <v>2241.6256278000001</v>
      </c>
      <c r="AC771" s="8">
        <f>Table3[[#This Row],[PrimaComercial Anual]]*Table3[[#This Row],[IT]]</f>
        <v>795.83399999999995</v>
      </c>
      <c r="AD771" s="8">
        <f>Table3[[#This Row],[PrimaComercial Anual]]*Table3[[#This Row],[IVA]]</f>
        <v>3448.614</v>
      </c>
      <c r="AE771" s="15">
        <f>Table3[[#This Row],[PrimaComercial Anual Asistencia]]</f>
        <v>26527.8</v>
      </c>
      <c r="AG771">
        <v>26527.8</v>
      </c>
    </row>
    <row r="772" spans="1:33" x14ac:dyDescent="0.25">
      <c r="A772" t="s">
        <v>17</v>
      </c>
      <c r="B772">
        <v>700001</v>
      </c>
      <c r="C772">
        <v>77</v>
      </c>
      <c r="D772" s="2">
        <f>Table3[[#This Row],[PrimaTécnica]]-Table3[[#This Row],[PrimaTécnica]]*SUM(Table3[[#This Row],[Gastos Adm]:[Cobranza]])</f>
        <v>12103.911101692798</v>
      </c>
      <c r="E772">
        <v>0</v>
      </c>
      <c r="F772">
        <v>0.15</v>
      </c>
      <c r="G772">
        <v>0.05</v>
      </c>
      <c r="H772">
        <v>0.01</v>
      </c>
      <c r="I772">
        <v>0.01</v>
      </c>
      <c r="J772" s="8">
        <f>Table3[[#This Row],[PrimaTécnica]]*Table3[[#This Row],[Gastos Adm]]</f>
        <v>2327.6752118639997</v>
      </c>
      <c r="K772" s="8">
        <f>Table3[[#This Row],[PrimaTécnica]]*Table3[[#This Row],[Utilidad]]</f>
        <v>775.89173728799994</v>
      </c>
      <c r="L772" s="8">
        <f>Table3[[#This Row],[PrimaTécnica]]*Table3[[#This Row],[Marketing]]</f>
        <v>155.17834745759998</v>
      </c>
      <c r="M772" s="8">
        <f>Table3[[#This Row],[PrimaTécnica]]*Table3[[#This Row],[Cobranza]]</f>
        <v>155.17834745759998</v>
      </c>
      <c r="N77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72">
        <v>21.84</v>
      </c>
      <c r="P772">
        <v>54.6</v>
      </c>
      <c r="Q772">
        <v>80.64</v>
      </c>
      <c r="R772">
        <v>44.377200000000002</v>
      </c>
      <c r="S772">
        <v>0.2</v>
      </c>
      <c r="T772">
        <v>0.02</v>
      </c>
      <c r="U772" s="8">
        <f>Table3[[#This Row],[PrimaNeta]]*Table3[[#This Row],[Comisión]]</f>
        <v>3929.82298644</v>
      </c>
      <c r="V772" s="15">
        <f>Table3[[#This Row],[PrimaComercial Anual]]-Table3[[#This Row],[PrimaComercial Anual]]*SUM(Table3[[#This Row],[APS]:[IVA]])</f>
        <v>19649.114932199998</v>
      </c>
      <c r="W772" s="2">
        <v>1.4800000000000001E-2</v>
      </c>
      <c r="X772" s="2">
        <v>8.4501000000000007E-2</v>
      </c>
      <c r="Y772">
        <v>0.03</v>
      </c>
      <c r="Z772">
        <v>0.13</v>
      </c>
      <c r="AA772" s="20">
        <f>Table3[[#This Row],[APS]]*Table3[[#This Row],[PrimaComercial Anual]]</f>
        <v>392.61144000000002</v>
      </c>
      <c r="AB772" s="8">
        <f>Table3[[#This Row],[PrimaComercial Anual]]*Table3[[#This Row],[Recargo adicional]]</f>
        <v>2241.6256278000001</v>
      </c>
      <c r="AC772" s="8">
        <f>Table3[[#This Row],[PrimaComercial Anual]]*Table3[[#This Row],[IT]]</f>
        <v>795.83399999999995</v>
      </c>
      <c r="AD772" s="8">
        <f>Table3[[#This Row],[PrimaComercial Anual]]*Table3[[#This Row],[IVA]]</f>
        <v>3448.614</v>
      </c>
      <c r="AE772" s="15">
        <f>Table3[[#This Row],[PrimaComercial Anual Asistencia]]</f>
        <v>26527.8</v>
      </c>
      <c r="AG772">
        <v>26527.8</v>
      </c>
    </row>
    <row r="773" spans="1:33" x14ac:dyDescent="0.25">
      <c r="A773" t="s">
        <v>17</v>
      </c>
      <c r="B773">
        <v>700001</v>
      </c>
      <c r="C773">
        <v>78</v>
      </c>
      <c r="D773" s="2">
        <f>Table3[[#This Row],[PrimaTécnica]]-Table3[[#This Row],[PrimaTécnica]]*SUM(Table3[[#This Row],[Gastos Adm]:[Cobranza]])</f>
        <v>12103.911101692798</v>
      </c>
      <c r="E773">
        <v>0</v>
      </c>
      <c r="F773">
        <v>0.15</v>
      </c>
      <c r="G773">
        <v>0.05</v>
      </c>
      <c r="H773">
        <v>0.01</v>
      </c>
      <c r="I773">
        <v>0.01</v>
      </c>
      <c r="J773" s="8">
        <f>Table3[[#This Row],[PrimaTécnica]]*Table3[[#This Row],[Gastos Adm]]</f>
        <v>2327.6752118639997</v>
      </c>
      <c r="K773" s="8">
        <f>Table3[[#This Row],[PrimaTécnica]]*Table3[[#This Row],[Utilidad]]</f>
        <v>775.89173728799994</v>
      </c>
      <c r="L773" s="8">
        <f>Table3[[#This Row],[PrimaTécnica]]*Table3[[#This Row],[Marketing]]</f>
        <v>155.17834745759998</v>
      </c>
      <c r="M773" s="8">
        <f>Table3[[#This Row],[PrimaTécnica]]*Table3[[#This Row],[Cobranza]]</f>
        <v>155.17834745759998</v>
      </c>
      <c r="N77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73">
        <v>21.84</v>
      </c>
      <c r="P773">
        <v>54.6</v>
      </c>
      <c r="Q773">
        <v>80.64</v>
      </c>
      <c r="R773">
        <v>44.377200000000002</v>
      </c>
      <c r="S773">
        <v>0.2</v>
      </c>
      <c r="T773">
        <v>0.02</v>
      </c>
      <c r="U773" s="8">
        <f>Table3[[#This Row],[PrimaNeta]]*Table3[[#This Row],[Comisión]]</f>
        <v>3929.82298644</v>
      </c>
      <c r="V773" s="15">
        <f>Table3[[#This Row],[PrimaComercial Anual]]-Table3[[#This Row],[PrimaComercial Anual]]*SUM(Table3[[#This Row],[APS]:[IVA]])</f>
        <v>19649.114932199998</v>
      </c>
      <c r="W773" s="2">
        <v>1.4800000000000001E-2</v>
      </c>
      <c r="X773" s="2">
        <v>8.4501000000000007E-2</v>
      </c>
      <c r="Y773">
        <v>0.03</v>
      </c>
      <c r="Z773">
        <v>0.13</v>
      </c>
      <c r="AA773" s="20">
        <f>Table3[[#This Row],[APS]]*Table3[[#This Row],[PrimaComercial Anual]]</f>
        <v>392.61144000000002</v>
      </c>
      <c r="AB773" s="8">
        <f>Table3[[#This Row],[PrimaComercial Anual]]*Table3[[#This Row],[Recargo adicional]]</f>
        <v>2241.6256278000001</v>
      </c>
      <c r="AC773" s="8">
        <f>Table3[[#This Row],[PrimaComercial Anual]]*Table3[[#This Row],[IT]]</f>
        <v>795.83399999999995</v>
      </c>
      <c r="AD773" s="8">
        <f>Table3[[#This Row],[PrimaComercial Anual]]*Table3[[#This Row],[IVA]]</f>
        <v>3448.614</v>
      </c>
      <c r="AE773" s="15">
        <f>Table3[[#This Row],[PrimaComercial Anual Asistencia]]</f>
        <v>26527.8</v>
      </c>
      <c r="AG773">
        <v>26527.8</v>
      </c>
    </row>
    <row r="774" spans="1:33" x14ac:dyDescent="0.25">
      <c r="A774" t="s">
        <v>17</v>
      </c>
      <c r="B774">
        <v>700001</v>
      </c>
      <c r="C774">
        <v>79</v>
      </c>
      <c r="D774" s="2">
        <f>Table3[[#This Row],[PrimaTécnica]]-Table3[[#This Row],[PrimaTécnica]]*SUM(Table3[[#This Row],[Gastos Adm]:[Cobranza]])</f>
        <v>12103.911101692798</v>
      </c>
      <c r="E774">
        <v>0</v>
      </c>
      <c r="F774">
        <v>0.15</v>
      </c>
      <c r="G774">
        <v>0.05</v>
      </c>
      <c r="H774">
        <v>0.01</v>
      </c>
      <c r="I774">
        <v>0.01</v>
      </c>
      <c r="J774" s="8">
        <f>Table3[[#This Row],[PrimaTécnica]]*Table3[[#This Row],[Gastos Adm]]</f>
        <v>2327.6752118639997</v>
      </c>
      <c r="K774" s="8">
        <f>Table3[[#This Row],[PrimaTécnica]]*Table3[[#This Row],[Utilidad]]</f>
        <v>775.89173728799994</v>
      </c>
      <c r="L774" s="8">
        <f>Table3[[#This Row],[PrimaTécnica]]*Table3[[#This Row],[Marketing]]</f>
        <v>155.17834745759998</v>
      </c>
      <c r="M774" s="8">
        <f>Table3[[#This Row],[PrimaTécnica]]*Table3[[#This Row],[Cobranza]]</f>
        <v>155.17834745759998</v>
      </c>
      <c r="N77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74">
        <v>21.84</v>
      </c>
      <c r="P774">
        <v>54.6</v>
      </c>
      <c r="Q774">
        <v>80.64</v>
      </c>
      <c r="R774">
        <v>44.377200000000002</v>
      </c>
      <c r="S774">
        <v>0.2</v>
      </c>
      <c r="T774">
        <v>0.02</v>
      </c>
      <c r="U774" s="8">
        <f>Table3[[#This Row],[PrimaNeta]]*Table3[[#This Row],[Comisión]]</f>
        <v>3929.82298644</v>
      </c>
      <c r="V774" s="15">
        <f>Table3[[#This Row],[PrimaComercial Anual]]-Table3[[#This Row],[PrimaComercial Anual]]*SUM(Table3[[#This Row],[APS]:[IVA]])</f>
        <v>19649.114932199998</v>
      </c>
      <c r="W774" s="2">
        <v>1.4800000000000001E-2</v>
      </c>
      <c r="X774" s="2">
        <v>8.4501000000000007E-2</v>
      </c>
      <c r="Y774">
        <v>0.03</v>
      </c>
      <c r="Z774">
        <v>0.13</v>
      </c>
      <c r="AA774" s="20">
        <f>Table3[[#This Row],[APS]]*Table3[[#This Row],[PrimaComercial Anual]]</f>
        <v>392.61144000000002</v>
      </c>
      <c r="AB774" s="8">
        <f>Table3[[#This Row],[PrimaComercial Anual]]*Table3[[#This Row],[Recargo adicional]]</f>
        <v>2241.6256278000001</v>
      </c>
      <c r="AC774" s="8">
        <f>Table3[[#This Row],[PrimaComercial Anual]]*Table3[[#This Row],[IT]]</f>
        <v>795.83399999999995</v>
      </c>
      <c r="AD774" s="8">
        <f>Table3[[#This Row],[PrimaComercial Anual]]*Table3[[#This Row],[IVA]]</f>
        <v>3448.614</v>
      </c>
      <c r="AE774" s="15">
        <f>Table3[[#This Row],[PrimaComercial Anual Asistencia]]</f>
        <v>26527.8</v>
      </c>
      <c r="AG774">
        <v>26527.8</v>
      </c>
    </row>
    <row r="775" spans="1:33" x14ac:dyDescent="0.25">
      <c r="A775" t="s">
        <v>17</v>
      </c>
      <c r="B775">
        <v>700001</v>
      </c>
      <c r="C775">
        <v>80</v>
      </c>
      <c r="D775" s="2">
        <f>Table3[[#This Row],[PrimaTécnica]]-Table3[[#This Row],[PrimaTécnica]]*SUM(Table3[[#This Row],[Gastos Adm]:[Cobranza]])</f>
        <v>12103.911101692798</v>
      </c>
      <c r="E775">
        <v>0</v>
      </c>
      <c r="F775">
        <v>0.15</v>
      </c>
      <c r="G775">
        <v>0.05</v>
      </c>
      <c r="H775">
        <v>0.01</v>
      </c>
      <c r="I775">
        <v>0.01</v>
      </c>
      <c r="J775" s="8">
        <f>Table3[[#This Row],[PrimaTécnica]]*Table3[[#This Row],[Gastos Adm]]</f>
        <v>2327.6752118639997</v>
      </c>
      <c r="K775" s="8">
        <f>Table3[[#This Row],[PrimaTécnica]]*Table3[[#This Row],[Utilidad]]</f>
        <v>775.89173728799994</v>
      </c>
      <c r="L775" s="8">
        <f>Table3[[#This Row],[PrimaTécnica]]*Table3[[#This Row],[Marketing]]</f>
        <v>155.17834745759998</v>
      </c>
      <c r="M775" s="8">
        <f>Table3[[#This Row],[PrimaTécnica]]*Table3[[#This Row],[Cobranza]]</f>
        <v>155.17834745759998</v>
      </c>
      <c r="N77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75">
        <v>21.84</v>
      </c>
      <c r="P775">
        <v>54.6</v>
      </c>
      <c r="Q775">
        <v>80.64</v>
      </c>
      <c r="R775">
        <v>44.377200000000002</v>
      </c>
      <c r="S775">
        <v>0.2</v>
      </c>
      <c r="T775">
        <v>0.02</v>
      </c>
      <c r="U775" s="8">
        <f>Table3[[#This Row],[PrimaNeta]]*Table3[[#This Row],[Comisión]]</f>
        <v>3929.82298644</v>
      </c>
      <c r="V775" s="15">
        <f>Table3[[#This Row],[PrimaComercial Anual]]-Table3[[#This Row],[PrimaComercial Anual]]*SUM(Table3[[#This Row],[APS]:[IVA]])</f>
        <v>19649.114932199998</v>
      </c>
      <c r="W775" s="2">
        <v>1.4800000000000001E-2</v>
      </c>
      <c r="X775" s="2">
        <v>8.4501000000000007E-2</v>
      </c>
      <c r="Y775">
        <v>0.03</v>
      </c>
      <c r="Z775">
        <v>0.13</v>
      </c>
      <c r="AA775" s="20">
        <f>Table3[[#This Row],[APS]]*Table3[[#This Row],[PrimaComercial Anual]]</f>
        <v>392.61144000000002</v>
      </c>
      <c r="AB775" s="8">
        <f>Table3[[#This Row],[PrimaComercial Anual]]*Table3[[#This Row],[Recargo adicional]]</f>
        <v>2241.6256278000001</v>
      </c>
      <c r="AC775" s="8">
        <f>Table3[[#This Row],[PrimaComercial Anual]]*Table3[[#This Row],[IT]]</f>
        <v>795.83399999999995</v>
      </c>
      <c r="AD775" s="8">
        <f>Table3[[#This Row],[PrimaComercial Anual]]*Table3[[#This Row],[IVA]]</f>
        <v>3448.614</v>
      </c>
      <c r="AE775" s="15">
        <f>Table3[[#This Row],[PrimaComercial Anual Asistencia]]</f>
        <v>26527.8</v>
      </c>
      <c r="AG775">
        <v>26527.8</v>
      </c>
    </row>
    <row r="776" spans="1:33" x14ac:dyDescent="0.25">
      <c r="A776" t="s">
        <v>17</v>
      </c>
      <c r="B776">
        <v>700001</v>
      </c>
      <c r="C776">
        <v>81</v>
      </c>
      <c r="D776" s="2">
        <f>Table3[[#This Row],[PrimaTécnica]]-Table3[[#This Row],[PrimaTécnica]]*SUM(Table3[[#This Row],[Gastos Adm]:[Cobranza]])</f>
        <v>12103.911101692798</v>
      </c>
      <c r="E776">
        <v>0</v>
      </c>
      <c r="F776">
        <v>0.15</v>
      </c>
      <c r="G776">
        <v>0.05</v>
      </c>
      <c r="H776">
        <v>0.01</v>
      </c>
      <c r="I776">
        <v>0.01</v>
      </c>
      <c r="J776" s="8">
        <f>Table3[[#This Row],[PrimaTécnica]]*Table3[[#This Row],[Gastos Adm]]</f>
        <v>2327.6752118639997</v>
      </c>
      <c r="K776" s="8">
        <f>Table3[[#This Row],[PrimaTécnica]]*Table3[[#This Row],[Utilidad]]</f>
        <v>775.89173728799994</v>
      </c>
      <c r="L776" s="8">
        <f>Table3[[#This Row],[PrimaTécnica]]*Table3[[#This Row],[Marketing]]</f>
        <v>155.17834745759998</v>
      </c>
      <c r="M776" s="8">
        <f>Table3[[#This Row],[PrimaTécnica]]*Table3[[#This Row],[Cobranza]]</f>
        <v>155.17834745759998</v>
      </c>
      <c r="N77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76">
        <v>21.84</v>
      </c>
      <c r="P776">
        <v>54.6</v>
      </c>
      <c r="Q776">
        <v>80.64</v>
      </c>
      <c r="R776">
        <v>44.377200000000002</v>
      </c>
      <c r="S776">
        <v>0.2</v>
      </c>
      <c r="T776">
        <v>0.02</v>
      </c>
      <c r="U776" s="8">
        <f>Table3[[#This Row],[PrimaNeta]]*Table3[[#This Row],[Comisión]]</f>
        <v>3929.82298644</v>
      </c>
      <c r="V776" s="15">
        <f>Table3[[#This Row],[PrimaComercial Anual]]-Table3[[#This Row],[PrimaComercial Anual]]*SUM(Table3[[#This Row],[APS]:[IVA]])</f>
        <v>19649.114932199998</v>
      </c>
      <c r="W776" s="2">
        <v>1.4800000000000001E-2</v>
      </c>
      <c r="X776" s="2">
        <v>8.4501000000000007E-2</v>
      </c>
      <c r="Y776">
        <v>0.03</v>
      </c>
      <c r="Z776">
        <v>0.13</v>
      </c>
      <c r="AA776" s="20">
        <f>Table3[[#This Row],[APS]]*Table3[[#This Row],[PrimaComercial Anual]]</f>
        <v>392.61144000000002</v>
      </c>
      <c r="AB776" s="8">
        <f>Table3[[#This Row],[PrimaComercial Anual]]*Table3[[#This Row],[Recargo adicional]]</f>
        <v>2241.6256278000001</v>
      </c>
      <c r="AC776" s="8">
        <f>Table3[[#This Row],[PrimaComercial Anual]]*Table3[[#This Row],[IT]]</f>
        <v>795.83399999999995</v>
      </c>
      <c r="AD776" s="8">
        <f>Table3[[#This Row],[PrimaComercial Anual]]*Table3[[#This Row],[IVA]]</f>
        <v>3448.614</v>
      </c>
      <c r="AE776" s="15">
        <f>Table3[[#This Row],[PrimaComercial Anual Asistencia]]</f>
        <v>26527.8</v>
      </c>
      <c r="AG776">
        <v>26527.8</v>
      </c>
    </row>
    <row r="777" spans="1:33" x14ac:dyDescent="0.25">
      <c r="A777" t="s">
        <v>17</v>
      </c>
      <c r="B777">
        <v>700001</v>
      </c>
      <c r="C777">
        <v>82</v>
      </c>
      <c r="D777" s="2">
        <f>Table3[[#This Row],[PrimaTécnica]]-Table3[[#This Row],[PrimaTécnica]]*SUM(Table3[[#This Row],[Gastos Adm]:[Cobranza]])</f>
        <v>12103.911101692798</v>
      </c>
      <c r="E777">
        <v>0</v>
      </c>
      <c r="F777">
        <v>0.15</v>
      </c>
      <c r="G777">
        <v>0.05</v>
      </c>
      <c r="H777">
        <v>0.01</v>
      </c>
      <c r="I777">
        <v>0.01</v>
      </c>
      <c r="J777" s="8">
        <f>Table3[[#This Row],[PrimaTécnica]]*Table3[[#This Row],[Gastos Adm]]</f>
        <v>2327.6752118639997</v>
      </c>
      <c r="K777" s="8">
        <f>Table3[[#This Row],[PrimaTécnica]]*Table3[[#This Row],[Utilidad]]</f>
        <v>775.89173728799994</v>
      </c>
      <c r="L777" s="8">
        <f>Table3[[#This Row],[PrimaTécnica]]*Table3[[#This Row],[Marketing]]</f>
        <v>155.17834745759998</v>
      </c>
      <c r="M777" s="8">
        <f>Table3[[#This Row],[PrimaTécnica]]*Table3[[#This Row],[Cobranza]]</f>
        <v>155.17834745759998</v>
      </c>
      <c r="N77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77">
        <v>21.84</v>
      </c>
      <c r="P777">
        <v>54.6</v>
      </c>
      <c r="Q777">
        <v>80.64</v>
      </c>
      <c r="R777">
        <v>44.377200000000002</v>
      </c>
      <c r="S777">
        <v>0.2</v>
      </c>
      <c r="T777">
        <v>0.02</v>
      </c>
      <c r="U777" s="8">
        <f>Table3[[#This Row],[PrimaNeta]]*Table3[[#This Row],[Comisión]]</f>
        <v>3929.82298644</v>
      </c>
      <c r="V777" s="15">
        <f>Table3[[#This Row],[PrimaComercial Anual]]-Table3[[#This Row],[PrimaComercial Anual]]*SUM(Table3[[#This Row],[APS]:[IVA]])</f>
        <v>19649.114932199998</v>
      </c>
      <c r="W777" s="2">
        <v>1.4800000000000001E-2</v>
      </c>
      <c r="X777" s="2">
        <v>8.4501000000000007E-2</v>
      </c>
      <c r="Y777">
        <v>0.03</v>
      </c>
      <c r="Z777">
        <v>0.13</v>
      </c>
      <c r="AA777" s="20">
        <f>Table3[[#This Row],[APS]]*Table3[[#This Row],[PrimaComercial Anual]]</f>
        <v>392.61144000000002</v>
      </c>
      <c r="AB777" s="8">
        <f>Table3[[#This Row],[PrimaComercial Anual]]*Table3[[#This Row],[Recargo adicional]]</f>
        <v>2241.6256278000001</v>
      </c>
      <c r="AC777" s="8">
        <f>Table3[[#This Row],[PrimaComercial Anual]]*Table3[[#This Row],[IT]]</f>
        <v>795.83399999999995</v>
      </c>
      <c r="AD777" s="8">
        <f>Table3[[#This Row],[PrimaComercial Anual]]*Table3[[#This Row],[IVA]]</f>
        <v>3448.614</v>
      </c>
      <c r="AE777" s="15">
        <f>Table3[[#This Row],[PrimaComercial Anual Asistencia]]</f>
        <v>26527.8</v>
      </c>
      <c r="AG777">
        <v>26527.8</v>
      </c>
    </row>
    <row r="778" spans="1:33" x14ac:dyDescent="0.25">
      <c r="A778" t="s">
        <v>17</v>
      </c>
      <c r="B778">
        <v>700001</v>
      </c>
      <c r="C778">
        <v>83</v>
      </c>
      <c r="D778" s="2">
        <f>Table3[[#This Row],[PrimaTécnica]]-Table3[[#This Row],[PrimaTécnica]]*SUM(Table3[[#This Row],[Gastos Adm]:[Cobranza]])</f>
        <v>12103.911101692798</v>
      </c>
      <c r="E778">
        <v>0</v>
      </c>
      <c r="F778">
        <v>0.15</v>
      </c>
      <c r="G778">
        <v>0.05</v>
      </c>
      <c r="H778">
        <v>0.01</v>
      </c>
      <c r="I778">
        <v>0.01</v>
      </c>
      <c r="J778" s="8">
        <f>Table3[[#This Row],[PrimaTécnica]]*Table3[[#This Row],[Gastos Adm]]</f>
        <v>2327.6752118639997</v>
      </c>
      <c r="K778" s="8">
        <f>Table3[[#This Row],[PrimaTécnica]]*Table3[[#This Row],[Utilidad]]</f>
        <v>775.89173728799994</v>
      </c>
      <c r="L778" s="8">
        <f>Table3[[#This Row],[PrimaTécnica]]*Table3[[#This Row],[Marketing]]</f>
        <v>155.17834745759998</v>
      </c>
      <c r="M778" s="8">
        <f>Table3[[#This Row],[PrimaTécnica]]*Table3[[#This Row],[Cobranza]]</f>
        <v>155.17834745759998</v>
      </c>
      <c r="N77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78">
        <v>21.84</v>
      </c>
      <c r="P778">
        <v>54.6</v>
      </c>
      <c r="Q778">
        <v>80.64</v>
      </c>
      <c r="R778">
        <v>44.377200000000002</v>
      </c>
      <c r="S778">
        <v>0.2</v>
      </c>
      <c r="T778">
        <v>0.02</v>
      </c>
      <c r="U778" s="8">
        <f>Table3[[#This Row],[PrimaNeta]]*Table3[[#This Row],[Comisión]]</f>
        <v>3929.82298644</v>
      </c>
      <c r="V778" s="15">
        <f>Table3[[#This Row],[PrimaComercial Anual]]-Table3[[#This Row],[PrimaComercial Anual]]*SUM(Table3[[#This Row],[APS]:[IVA]])</f>
        <v>19649.114932199998</v>
      </c>
      <c r="W778" s="2">
        <v>1.4800000000000001E-2</v>
      </c>
      <c r="X778" s="2">
        <v>8.4501000000000007E-2</v>
      </c>
      <c r="Y778">
        <v>0.03</v>
      </c>
      <c r="Z778">
        <v>0.13</v>
      </c>
      <c r="AA778" s="20">
        <f>Table3[[#This Row],[APS]]*Table3[[#This Row],[PrimaComercial Anual]]</f>
        <v>392.61144000000002</v>
      </c>
      <c r="AB778" s="8">
        <f>Table3[[#This Row],[PrimaComercial Anual]]*Table3[[#This Row],[Recargo adicional]]</f>
        <v>2241.6256278000001</v>
      </c>
      <c r="AC778" s="8">
        <f>Table3[[#This Row],[PrimaComercial Anual]]*Table3[[#This Row],[IT]]</f>
        <v>795.83399999999995</v>
      </c>
      <c r="AD778" s="8">
        <f>Table3[[#This Row],[PrimaComercial Anual]]*Table3[[#This Row],[IVA]]</f>
        <v>3448.614</v>
      </c>
      <c r="AE778" s="15">
        <f>Table3[[#This Row],[PrimaComercial Anual Asistencia]]</f>
        <v>26527.8</v>
      </c>
      <c r="AG778">
        <v>26527.8</v>
      </c>
    </row>
    <row r="779" spans="1:33" x14ac:dyDescent="0.25">
      <c r="A779" t="s">
        <v>17</v>
      </c>
      <c r="B779">
        <v>700001</v>
      </c>
      <c r="C779">
        <v>84</v>
      </c>
      <c r="D779" s="2">
        <f>Table3[[#This Row],[PrimaTécnica]]-Table3[[#This Row],[PrimaTécnica]]*SUM(Table3[[#This Row],[Gastos Adm]:[Cobranza]])</f>
        <v>12103.911101692798</v>
      </c>
      <c r="E779">
        <v>0</v>
      </c>
      <c r="F779">
        <v>0.15</v>
      </c>
      <c r="G779">
        <v>0.05</v>
      </c>
      <c r="H779">
        <v>0.01</v>
      </c>
      <c r="I779">
        <v>0.01</v>
      </c>
      <c r="J779" s="8">
        <f>Table3[[#This Row],[PrimaTécnica]]*Table3[[#This Row],[Gastos Adm]]</f>
        <v>2327.6752118639997</v>
      </c>
      <c r="K779" s="8">
        <f>Table3[[#This Row],[PrimaTécnica]]*Table3[[#This Row],[Utilidad]]</f>
        <v>775.89173728799994</v>
      </c>
      <c r="L779" s="8">
        <f>Table3[[#This Row],[PrimaTécnica]]*Table3[[#This Row],[Marketing]]</f>
        <v>155.17834745759998</v>
      </c>
      <c r="M779" s="8">
        <f>Table3[[#This Row],[PrimaTécnica]]*Table3[[#This Row],[Cobranza]]</f>
        <v>155.17834745759998</v>
      </c>
      <c r="N77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79">
        <v>21.84</v>
      </c>
      <c r="P779">
        <v>54.6</v>
      </c>
      <c r="Q779">
        <v>80.64</v>
      </c>
      <c r="R779">
        <v>44.377200000000002</v>
      </c>
      <c r="S779">
        <v>0.2</v>
      </c>
      <c r="T779">
        <v>0.02</v>
      </c>
      <c r="U779" s="8">
        <f>Table3[[#This Row],[PrimaNeta]]*Table3[[#This Row],[Comisión]]</f>
        <v>3929.82298644</v>
      </c>
      <c r="V779" s="15">
        <f>Table3[[#This Row],[PrimaComercial Anual]]-Table3[[#This Row],[PrimaComercial Anual]]*SUM(Table3[[#This Row],[APS]:[IVA]])</f>
        <v>19649.114932199998</v>
      </c>
      <c r="W779" s="2">
        <v>1.4800000000000001E-2</v>
      </c>
      <c r="X779" s="2">
        <v>8.4501000000000007E-2</v>
      </c>
      <c r="Y779">
        <v>0.03</v>
      </c>
      <c r="Z779">
        <v>0.13</v>
      </c>
      <c r="AA779" s="20">
        <f>Table3[[#This Row],[APS]]*Table3[[#This Row],[PrimaComercial Anual]]</f>
        <v>392.61144000000002</v>
      </c>
      <c r="AB779" s="8">
        <f>Table3[[#This Row],[PrimaComercial Anual]]*Table3[[#This Row],[Recargo adicional]]</f>
        <v>2241.6256278000001</v>
      </c>
      <c r="AC779" s="8">
        <f>Table3[[#This Row],[PrimaComercial Anual]]*Table3[[#This Row],[IT]]</f>
        <v>795.83399999999995</v>
      </c>
      <c r="AD779" s="8">
        <f>Table3[[#This Row],[PrimaComercial Anual]]*Table3[[#This Row],[IVA]]</f>
        <v>3448.614</v>
      </c>
      <c r="AE779" s="15">
        <f>Table3[[#This Row],[PrimaComercial Anual Asistencia]]</f>
        <v>26527.8</v>
      </c>
      <c r="AG779">
        <v>26527.8</v>
      </c>
    </row>
    <row r="780" spans="1:33" x14ac:dyDescent="0.25">
      <c r="A780" t="s">
        <v>17</v>
      </c>
      <c r="B780">
        <v>700001</v>
      </c>
      <c r="C780">
        <v>85</v>
      </c>
      <c r="D780" s="2">
        <f>Table3[[#This Row],[PrimaTécnica]]-Table3[[#This Row],[PrimaTécnica]]*SUM(Table3[[#This Row],[Gastos Adm]:[Cobranza]])</f>
        <v>12103.911101692798</v>
      </c>
      <c r="E780">
        <v>0</v>
      </c>
      <c r="F780">
        <v>0.15</v>
      </c>
      <c r="G780">
        <v>0.05</v>
      </c>
      <c r="H780">
        <v>0.01</v>
      </c>
      <c r="I780">
        <v>0.01</v>
      </c>
      <c r="J780" s="8">
        <f>Table3[[#This Row],[PrimaTécnica]]*Table3[[#This Row],[Gastos Adm]]</f>
        <v>2327.6752118639997</v>
      </c>
      <c r="K780" s="8">
        <f>Table3[[#This Row],[PrimaTécnica]]*Table3[[#This Row],[Utilidad]]</f>
        <v>775.89173728799994</v>
      </c>
      <c r="L780" s="8">
        <f>Table3[[#This Row],[PrimaTécnica]]*Table3[[#This Row],[Marketing]]</f>
        <v>155.17834745759998</v>
      </c>
      <c r="M780" s="8">
        <f>Table3[[#This Row],[PrimaTécnica]]*Table3[[#This Row],[Cobranza]]</f>
        <v>155.17834745759998</v>
      </c>
      <c r="N78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80">
        <v>21.84</v>
      </c>
      <c r="P780">
        <v>54.6</v>
      </c>
      <c r="Q780">
        <v>80.64</v>
      </c>
      <c r="R780">
        <v>44.377200000000002</v>
      </c>
      <c r="S780">
        <v>0.2</v>
      </c>
      <c r="T780">
        <v>0.02</v>
      </c>
      <c r="U780" s="8">
        <f>Table3[[#This Row],[PrimaNeta]]*Table3[[#This Row],[Comisión]]</f>
        <v>3929.82298644</v>
      </c>
      <c r="V780" s="15">
        <f>Table3[[#This Row],[PrimaComercial Anual]]-Table3[[#This Row],[PrimaComercial Anual]]*SUM(Table3[[#This Row],[APS]:[IVA]])</f>
        <v>19649.114932199998</v>
      </c>
      <c r="W780" s="2">
        <v>1.4800000000000001E-2</v>
      </c>
      <c r="X780" s="2">
        <v>8.4501000000000007E-2</v>
      </c>
      <c r="Y780">
        <v>0.03</v>
      </c>
      <c r="Z780">
        <v>0.13</v>
      </c>
      <c r="AA780" s="20">
        <f>Table3[[#This Row],[APS]]*Table3[[#This Row],[PrimaComercial Anual]]</f>
        <v>392.61144000000002</v>
      </c>
      <c r="AB780" s="8">
        <f>Table3[[#This Row],[PrimaComercial Anual]]*Table3[[#This Row],[Recargo adicional]]</f>
        <v>2241.6256278000001</v>
      </c>
      <c r="AC780" s="8">
        <f>Table3[[#This Row],[PrimaComercial Anual]]*Table3[[#This Row],[IT]]</f>
        <v>795.83399999999995</v>
      </c>
      <c r="AD780" s="8">
        <f>Table3[[#This Row],[PrimaComercial Anual]]*Table3[[#This Row],[IVA]]</f>
        <v>3448.614</v>
      </c>
      <c r="AE780" s="15">
        <f>Table3[[#This Row],[PrimaComercial Anual Asistencia]]</f>
        <v>26527.8</v>
      </c>
      <c r="AG780">
        <v>26527.8</v>
      </c>
    </row>
    <row r="781" spans="1:33" x14ac:dyDescent="0.25">
      <c r="A781" t="s">
        <v>17</v>
      </c>
      <c r="B781">
        <v>700001</v>
      </c>
      <c r="C781">
        <v>86</v>
      </c>
      <c r="D781" s="2">
        <f>Table3[[#This Row],[PrimaTécnica]]-Table3[[#This Row],[PrimaTécnica]]*SUM(Table3[[#This Row],[Gastos Adm]:[Cobranza]])</f>
        <v>12103.911101692798</v>
      </c>
      <c r="E781">
        <v>0</v>
      </c>
      <c r="F781">
        <v>0.15</v>
      </c>
      <c r="G781">
        <v>0.05</v>
      </c>
      <c r="H781">
        <v>0.01</v>
      </c>
      <c r="I781">
        <v>0.01</v>
      </c>
      <c r="J781" s="8">
        <f>Table3[[#This Row],[PrimaTécnica]]*Table3[[#This Row],[Gastos Adm]]</f>
        <v>2327.6752118639997</v>
      </c>
      <c r="K781" s="8">
        <f>Table3[[#This Row],[PrimaTécnica]]*Table3[[#This Row],[Utilidad]]</f>
        <v>775.89173728799994</v>
      </c>
      <c r="L781" s="8">
        <f>Table3[[#This Row],[PrimaTécnica]]*Table3[[#This Row],[Marketing]]</f>
        <v>155.17834745759998</v>
      </c>
      <c r="M781" s="8">
        <f>Table3[[#This Row],[PrimaTécnica]]*Table3[[#This Row],[Cobranza]]</f>
        <v>155.17834745759998</v>
      </c>
      <c r="N78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81">
        <v>21.84</v>
      </c>
      <c r="P781">
        <v>54.6</v>
      </c>
      <c r="Q781">
        <v>80.64</v>
      </c>
      <c r="R781">
        <v>44.377200000000002</v>
      </c>
      <c r="S781">
        <v>0.2</v>
      </c>
      <c r="T781">
        <v>0.02</v>
      </c>
      <c r="U781" s="8">
        <f>Table3[[#This Row],[PrimaNeta]]*Table3[[#This Row],[Comisión]]</f>
        <v>3929.82298644</v>
      </c>
      <c r="V781" s="15">
        <f>Table3[[#This Row],[PrimaComercial Anual]]-Table3[[#This Row],[PrimaComercial Anual]]*SUM(Table3[[#This Row],[APS]:[IVA]])</f>
        <v>19649.114932199998</v>
      </c>
      <c r="W781" s="2">
        <v>1.4800000000000001E-2</v>
      </c>
      <c r="X781" s="2">
        <v>8.4501000000000007E-2</v>
      </c>
      <c r="Y781">
        <v>0.03</v>
      </c>
      <c r="Z781">
        <v>0.13</v>
      </c>
      <c r="AA781" s="20">
        <f>Table3[[#This Row],[APS]]*Table3[[#This Row],[PrimaComercial Anual]]</f>
        <v>392.61144000000002</v>
      </c>
      <c r="AB781" s="8">
        <f>Table3[[#This Row],[PrimaComercial Anual]]*Table3[[#This Row],[Recargo adicional]]</f>
        <v>2241.6256278000001</v>
      </c>
      <c r="AC781" s="8">
        <f>Table3[[#This Row],[PrimaComercial Anual]]*Table3[[#This Row],[IT]]</f>
        <v>795.83399999999995</v>
      </c>
      <c r="AD781" s="8">
        <f>Table3[[#This Row],[PrimaComercial Anual]]*Table3[[#This Row],[IVA]]</f>
        <v>3448.614</v>
      </c>
      <c r="AE781" s="15">
        <f>Table3[[#This Row],[PrimaComercial Anual Asistencia]]</f>
        <v>26527.8</v>
      </c>
      <c r="AG781">
        <v>26527.8</v>
      </c>
    </row>
    <row r="782" spans="1:33" x14ac:dyDescent="0.25">
      <c r="A782" t="s">
        <v>17</v>
      </c>
      <c r="B782">
        <v>700001</v>
      </c>
      <c r="C782">
        <v>87</v>
      </c>
      <c r="D782" s="2">
        <f>Table3[[#This Row],[PrimaTécnica]]-Table3[[#This Row],[PrimaTécnica]]*SUM(Table3[[#This Row],[Gastos Adm]:[Cobranza]])</f>
        <v>12103.911101692798</v>
      </c>
      <c r="E782">
        <v>0</v>
      </c>
      <c r="F782">
        <v>0.15</v>
      </c>
      <c r="G782">
        <v>0.05</v>
      </c>
      <c r="H782">
        <v>0.01</v>
      </c>
      <c r="I782">
        <v>0.01</v>
      </c>
      <c r="J782" s="8">
        <f>Table3[[#This Row],[PrimaTécnica]]*Table3[[#This Row],[Gastos Adm]]</f>
        <v>2327.6752118639997</v>
      </c>
      <c r="K782" s="8">
        <f>Table3[[#This Row],[PrimaTécnica]]*Table3[[#This Row],[Utilidad]]</f>
        <v>775.89173728799994</v>
      </c>
      <c r="L782" s="8">
        <f>Table3[[#This Row],[PrimaTécnica]]*Table3[[#This Row],[Marketing]]</f>
        <v>155.17834745759998</v>
      </c>
      <c r="M782" s="8">
        <f>Table3[[#This Row],[PrimaTécnica]]*Table3[[#This Row],[Cobranza]]</f>
        <v>155.17834745759998</v>
      </c>
      <c r="N78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82">
        <v>21.84</v>
      </c>
      <c r="P782">
        <v>54.6</v>
      </c>
      <c r="Q782">
        <v>80.64</v>
      </c>
      <c r="R782">
        <v>44.377200000000002</v>
      </c>
      <c r="S782">
        <v>0.2</v>
      </c>
      <c r="T782">
        <v>0.02</v>
      </c>
      <c r="U782" s="8">
        <f>Table3[[#This Row],[PrimaNeta]]*Table3[[#This Row],[Comisión]]</f>
        <v>3929.82298644</v>
      </c>
      <c r="V782" s="15">
        <f>Table3[[#This Row],[PrimaComercial Anual]]-Table3[[#This Row],[PrimaComercial Anual]]*SUM(Table3[[#This Row],[APS]:[IVA]])</f>
        <v>19649.114932199998</v>
      </c>
      <c r="W782" s="2">
        <v>1.4800000000000001E-2</v>
      </c>
      <c r="X782" s="2">
        <v>8.4501000000000007E-2</v>
      </c>
      <c r="Y782">
        <v>0.03</v>
      </c>
      <c r="Z782">
        <v>0.13</v>
      </c>
      <c r="AA782" s="20">
        <f>Table3[[#This Row],[APS]]*Table3[[#This Row],[PrimaComercial Anual]]</f>
        <v>392.61144000000002</v>
      </c>
      <c r="AB782" s="8">
        <f>Table3[[#This Row],[PrimaComercial Anual]]*Table3[[#This Row],[Recargo adicional]]</f>
        <v>2241.6256278000001</v>
      </c>
      <c r="AC782" s="8">
        <f>Table3[[#This Row],[PrimaComercial Anual]]*Table3[[#This Row],[IT]]</f>
        <v>795.83399999999995</v>
      </c>
      <c r="AD782" s="8">
        <f>Table3[[#This Row],[PrimaComercial Anual]]*Table3[[#This Row],[IVA]]</f>
        <v>3448.614</v>
      </c>
      <c r="AE782" s="15">
        <f>Table3[[#This Row],[PrimaComercial Anual Asistencia]]</f>
        <v>26527.8</v>
      </c>
      <c r="AG782">
        <v>26527.8</v>
      </c>
    </row>
    <row r="783" spans="1:33" x14ac:dyDescent="0.25">
      <c r="A783" t="s">
        <v>17</v>
      </c>
      <c r="B783">
        <v>700001</v>
      </c>
      <c r="C783">
        <v>88</v>
      </c>
      <c r="D783" s="2">
        <f>Table3[[#This Row],[PrimaTécnica]]-Table3[[#This Row],[PrimaTécnica]]*SUM(Table3[[#This Row],[Gastos Adm]:[Cobranza]])</f>
        <v>12103.911101692798</v>
      </c>
      <c r="E783">
        <v>0</v>
      </c>
      <c r="F783">
        <v>0.15</v>
      </c>
      <c r="G783">
        <v>0.05</v>
      </c>
      <c r="H783">
        <v>0.01</v>
      </c>
      <c r="I783">
        <v>0.01</v>
      </c>
      <c r="J783" s="8">
        <f>Table3[[#This Row],[PrimaTécnica]]*Table3[[#This Row],[Gastos Adm]]</f>
        <v>2327.6752118639997</v>
      </c>
      <c r="K783" s="8">
        <f>Table3[[#This Row],[PrimaTécnica]]*Table3[[#This Row],[Utilidad]]</f>
        <v>775.89173728799994</v>
      </c>
      <c r="L783" s="8">
        <f>Table3[[#This Row],[PrimaTécnica]]*Table3[[#This Row],[Marketing]]</f>
        <v>155.17834745759998</v>
      </c>
      <c r="M783" s="8">
        <f>Table3[[#This Row],[PrimaTécnica]]*Table3[[#This Row],[Cobranza]]</f>
        <v>155.17834745759998</v>
      </c>
      <c r="N78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83">
        <v>21.84</v>
      </c>
      <c r="P783">
        <v>54.6</v>
      </c>
      <c r="Q783">
        <v>80.64</v>
      </c>
      <c r="R783">
        <v>44.377200000000002</v>
      </c>
      <c r="S783">
        <v>0.2</v>
      </c>
      <c r="T783">
        <v>0.02</v>
      </c>
      <c r="U783" s="8">
        <f>Table3[[#This Row],[PrimaNeta]]*Table3[[#This Row],[Comisión]]</f>
        <v>3929.82298644</v>
      </c>
      <c r="V783" s="15">
        <f>Table3[[#This Row],[PrimaComercial Anual]]-Table3[[#This Row],[PrimaComercial Anual]]*SUM(Table3[[#This Row],[APS]:[IVA]])</f>
        <v>19649.114932199998</v>
      </c>
      <c r="W783" s="2">
        <v>1.4800000000000001E-2</v>
      </c>
      <c r="X783" s="2">
        <v>8.4501000000000007E-2</v>
      </c>
      <c r="Y783">
        <v>0.03</v>
      </c>
      <c r="Z783">
        <v>0.13</v>
      </c>
      <c r="AA783" s="20">
        <f>Table3[[#This Row],[APS]]*Table3[[#This Row],[PrimaComercial Anual]]</f>
        <v>392.61144000000002</v>
      </c>
      <c r="AB783" s="8">
        <f>Table3[[#This Row],[PrimaComercial Anual]]*Table3[[#This Row],[Recargo adicional]]</f>
        <v>2241.6256278000001</v>
      </c>
      <c r="AC783" s="8">
        <f>Table3[[#This Row],[PrimaComercial Anual]]*Table3[[#This Row],[IT]]</f>
        <v>795.83399999999995</v>
      </c>
      <c r="AD783" s="8">
        <f>Table3[[#This Row],[PrimaComercial Anual]]*Table3[[#This Row],[IVA]]</f>
        <v>3448.614</v>
      </c>
      <c r="AE783" s="15">
        <f>Table3[[#This Row],[PrimaComercial Anual Asistencia]]</f>
        <v>26527.8</v>
      </c>
      <c r="AG783">
        <v>26527.8</v>
      </c>
    </row>
    <row r="784" spans="1:33" x14ac:dyDescent="0.25">
      <c r="A784" t="s">
        <v>17</v>
      </c>
      <c r="B784">
        <v>700001</v>
      </c>
      <c r="C784">
        <v>89</v>
      </c>
      <c r="D784" s="2">
        <f>Table3[[#This Row],[PrimaTécnica]]-Table3[[#This Row],[PrimaTécnica]]*SUM(Table3[[#This Row],[Gastos Adm]:[Cobranza]])</f>
        <v>12103.911101692798</v>
      </c>
      <c r="E784">
        <v>0</v>
      </c>
      <c r="F784">
        <v>0.15</v>
      </c>
      <c r="G784">
        <v>0.05</v>
      </c>
      <c r="H784">
        <v>0.01</v>
      </c>
      <c r="I784">
        <v>0.01</v>
      </c>
      <c r="J784" s="8">
        <f>Table3[[#This Row],[PrimaTécnica]]*Table3[[#This Row],[Gastos Adm]]</f>
        <v>2327.6752118639997</v>
      </c>
      <c r="K784" s="8">
        <f>Table3[[#This Row],[PrimaTécnica]]*Table3[[#This Row],[Utilidad]]</f>
        <v>775.89173728799994</v>
      </c>
      <c r="L784" s="8">
        <f>Table3[[#This Row],[PrimaTécnica]]*Table3[[#This Row],[Marketing]]</f>
        <v>155.17834745759998</v>
      </c>
      <c r="M784" s="8">
        <f>Table3[[#This Row],[PrimaTécnica]]*Table3[[#This Row],[Cobranza]]</f>
        <v>155.17834745759998</v>
      </c>
      <c r="N78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84">
        <v>21.84</v>
      </c>
      <c r="P784">
        <v>54.6</v>
      </c>
      <c r="Q784">
        <v>80.64</v>
      </c>
      <c r="R784">
        <v>44.377200000000002</v>
      </c>
      <c r="S784">
        <v>0.2</v>
      </c>
      <c r="T784">
        <v>0.02</v>
      </c>
      <c r="U784" s="8">
        <f>Table3[[#This Row],[PrimaNeta]]*Table3[[#This Row],[Comisión]]</f>
        <v>3929.82298644</v>
      </c>
      <c r="V784" s="15">
        <f>Table3[[#This Row],[PrimaComercial Anual]]-Table3[[#This Row],[PrimaComercial Anual]]*SUM(Table3[[#This Row],[APS]:[IVA]])</f>
        <v>19649.114932199998</v>
      </c>
      <c r="W784" s="2">
        <v>1.4800000000000001E-2</v>
      </c>
      <c r="X784" s="2">
        <v>8.4501000000000007E-2</v>
      </c>
      <c r="Y784">
        <v>0.03</v>
      </c>
      <c r="Z784">
        <v>0.13</v>
      </c>
      <c r="AA784" s="20">
        <f>Table3[[#This Row],[APS]]*Table3[[#This Row],[PrimaComercial Anual]]</f>
        <v>392.61144000000002</v>
      </c>
      <c r="AB784" s="8">
        <f>Table3[[#This Row],[PrimaComercial Anual]]*Table3[[#This Row],[Recargo adicional]]</f>
        <v>2241.6256278000001</v>
      </c>
      <c r="AC784" s="8">
        <f>Table3[[#This Row],[PrimaComercial Anual]]*Table3[[#This Row],[IT]]</f>
        <v>795.83399999999995</v>
      </c>
      <c r="AD784" s="8">
        <f>Table3[[#This Row],[PrimaComercial Anual]]*Table3[[#This Row],[IVA]]</f>
        <v>3448.614</v>
      </c>
      <c r="AE784" s="15">
        <f>Table3[[#This Row],[PrimaComercial Anual Asistencia]]</f>
        <v>26527.8</v>
      </c>
      <c r="AG784">
        <v>26527.8</v>
      </c>
    </row>
    <row r="785" spans="1:33" x14ac:dyDescent="0.25">
      <c r="A785" t="s">
        <v>17</v>
      </c>
      <c r="B785">
        <v>700001</v>
      </c>
      <c r="C785">
        <v>90</v>
      </c>
      <c r="D785" s="2">
        <f>Table3[[#This Row],[PrimaTécnica]]-Table3[[#This Row],[PrimaTécnica]]*SUM(Table3[[#This Row],[Gastos Adm]:[Cobranza]])</f>
        <v>12103.911101692798</v>
      </c>
      <c r="E785">
        <v>0</v>
      </c>
      <c r="F785">
        <v>0.15</v>
      </c>
      <c r="G785">
        <v>0.05</v>
      </c>
      <c r="H785">
        <v>0.01</v>
      </c>
      <c r="I785">
        <v>0.01</v>
      </c>
      <c r="J785" s="8">
        <f>Table3[[#This Row],[PrimaTécnica]]*Table3[[#This Row],[Gastos Adm]]</f>
        <v>2327.6752118639997</v>
      </c>
      <c r="K785" s="8">
        <f>Table3[[#This Row],[PrimaTécnica]]*Table3[[#This Row],[Utilidad]]</f>
        <v>775.89173728799994</v>
      </c>
      <c r="L785" s="8">
        <f>Table3[[#This Row],[PrimaTécnica]]*Table3[[#This Row],[Marketing]]</f>
        <v>155.17834745759998</v>
      </c>
      <c r="M785" s="8">
        <f>Table3[[#This Row],[PrimaTécnica]]*Table3[[#This Row],[Cobranza]]</f>
        <v>155.17834745759998</v>
      </c>
      <c r="N78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85">
        <v>21.84</v>
      </c>
      <c r="P785">
        <v>54.6</v>
      </c>
      <c r="Q785">
        <v>80.64</v>
      </c>
      <c r="R785">
        <v>44.377200000000002</v>
      </c>
      <c r="S785">
        <v>0.2</v>
      </c>
      <c r="T785">
        <v>0.02</v>
      </c>
      <c r="U785" s="8">
        <f>Table3[[#This Row],[PrimaNeta]]*Table3[[#This Row],[Comisión]]</f>
        <v>3929.82298644</v>
      </c>
      <c r="V785" s="15">
        <f>Table3[[#This Row],[PrimaComercial Anual]]-Table3[[#This Row],[PrimaComercial Anual]]*SUM(Table3[[#This Row],[APS]:[IVA]])</f>
        <v>19649.114932199998</v>
      </c>
      <c r="W785" s="2">
        <v>1.4800000000000001E-2</v>
      </c>
      <c r="X785" s="2">
        <v>8.4501000000000007E-2</v>
      </c>
      <c r="Y785">
        <v>0.03</v>
      </c>
      <c r="Z785">
        <v>0.13</v>
      </c>
      <c r="AA785" s="20">
        <f>Table3[[#This Row],[APS]]*Table3[[#This Row],[PrimaComercial Anual]]</f>
        <v>392.61144000000002</v>
      </c>
      <c r="AB785" s="8">
        <f>Table3[[#This Row],[PrimaComercial Anual]]*Table3[[#This Row],[Recargo adicional]]</f>
        <v>2241.6256278000001</v>
      </c>
      <c r="AC785" s="8">
        <f>Table3[[#This Row],[PrimaComercial Anual]]*Table3[[#This Row],[IT]]</f>
        <v>795.83399999999995</v>
      </c>
      <c r="AD785" s="8">
        <f>Table3[[#This Row],[PrimaComercial Anual]]*Table3[[#This Row],[IVA]]</f>
        <v>3448.614</v>
      </c>
      <c r="AE785" s="15">
        <f>Table3[[#This Row],[PrimaComercial Anual Asistencia]]</f>
        <v>26527.8</v>
      </c>
      <c r="AG785">
        <v>26527.8</v>
      </c>
    </row>
    <row r="786" spans="1:33" x14ac:dyDescent="0.25">
      <c r="A786" t="s">
        <v>17</v>
      </c>
      <c r="B786">
        <v>700001</v>
      </c>
      <c r="C786">
        <v>91</v>
      </c>
      <c r="D786" s="2">
        <f>Table3[[#This Row],[PrimaTécnica]]-Table3[[#This Row],[PrimaTécnica]]*SUM(Table3[[#This Row],[Gastos Adm]:[Cobranza]])</f>
        <v>12103.911101692798</v>
      </c>
      <c r="E786">
        <v>0</v>
      </c>
      <c r="F786">
        <v>0.15</v>
      </c>
      <c r="G786">
        <v>0.05</v>
      </c>
      <c r="H786">
        <v>0.01</v>
      </c>
      <c r="I786">
        <v>0.01</v>
      </c>
      <c r="J786" s="8">
        <f>Table3[[#This Row],[PrimaTécnica]]*Table3[[#This Row],[Gastos Adm]]</f>
        <v>2327.6752118639997</v>
      </c>
      <c r="K786" s="8">
        <f>Table3[[#This Row],[PrimaTécnica]]*Table3[[#This Row],[Utilidad]]</f>
        <v>775.89173728799994</v>
      </c>
      <c r="L786" s="8">
        <f>Table3[[#This Row],[PrimaTécnica]]*Table3[[#This Row],[Marketing]]</f>
        <v>155.17834745759998</v>
      </c>
      <c r="M786" s="8">
        <f>Table3[[#This Row],[PrimaTécnica]]*Table3[[#This Row],[Cobranza]]</f>
        <v>155.17834745759998</v>
      </c>
      <c r="N78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86">
        <v>21.84</v>
      </c>
      <c r="P786">
        <v>54.6</v>
      </c>
      <c r="Q786">
        <v>80.64</v>
      </c>
      <c r="R786">
        <v>44.377200000000002</v>
      </c>
      <c r="S786">
        <v>0.2</v>
      </c>
      <c r="T786">
        <v>0.02</v>
      </c>
      <c r="U786" s="8">
        <f>Table3[[#This Row],[PrimaNeta]]*Table3[[#This Row],[Comisión]]</f>
        <v>3929.82298644</v>
      </c>
      <c r="V786" s="15">
        <f>Table3[[#This Row],[PrimaComercial Anual]]-Table3[[#This Row],[PrimaComercial Anual]]*SUM(Table3[[#This Row],[APS]:[IVA]])</f>
        <v>19649.114932199998</v>
      </c>
      <c r="W786" s="2">
        <v>1.4800000000000001E-2</v>
      </c>
      <c r="X786" s="2">
        <v>8.4501000000000007E-2</v>
      </c>
      <c r="Y786">
        <v>0.03</v>
      </c>
      <c r="Z786">
        <v>0.13</v>
      </c>
      <c r="AA786" s="20">
        <f>Table3[[#This Row],[APS]]*Table3[[#This Row],[PrimaComercial Anual]]</f>
        <v>392.61144000000002</v>
      </c>
      <c r="AB786" s="8">
        <f>Table3[[#This Row],[PrimaComercial Anual]]*Table3[[#This Row],[Recargo adicional]]</f>
        <v>2241.6256278000001</v>
      </c>
      <c r="AC786" s="8">
        <f>Table3[[#This Row],[PrimaComercial Anual]]*Table3[[#This Row],[IT]]</f>
        <v>795.83399999999995</v>
      </c>
      <c r="AD786" s="8">
        <f>Table3[[#This Row],[PrimaComercial Anual]]*Table3[[#This Row],[IVA]]</f>
        <v>3448.614</v>
      </c>
      <c r="AE786" s="15">
        <f>Table3[[#This Row],[PrimaComercial Anual Asistencia]]</f>
        <v>26527.8</v>
      </c>
      <c r="AG786">
        <v>26527.8</v>
      </c>
    </row>
    <row r="787" spans="1:33" x14ac:dyDescent="0.25">
      <c r="A787" t="s">
        <v>17</v>
      </c>
      <c r="B787">
        <v>700001</v>
      </c>
      <c r="C787">
        <v>92</v>
      </c>
      <c r="D787" s="2">
        <f>Table3[[#This Row],[PrimaTécnica]]-Table3[[#This Row],[PrimaTécnica]]*SUM(Table3[[#This Row],[Gastos Adm]:[Cobranza]])</f>
        <v>12103.911101692798</v>
      </c>
      <c r="E787">
        <v>0</v>
      </c>
      <c r="F787">
        <v>0.15</v>
      </c>
      <c r="G787">
        <v>0.05</v>
      </c>
      <c r="H787">
        <v>0.01</v>
      </c>
      <c r="I787">
        <v>0.01</v>
      </c>
      <c r="J787" s="8">
        <f>Table3[[#This Row],[PrimaTécnica]]*Table3[[#This Row],[Gastos Adm]]</f>
        <v>2327.6752118639997</v>
      </c>
      <c r="K787" s="8">
        <f>Table3[[#This Row],[PrimaTécnica]]*Table3[[#This Row],[Utilidad]]</f>
        <v>775.89173728799994</v>
      </c>
      <c r="L787" s="8">
        <f>Table3[[#This Row],[PrimaTécnica]]*Table3[[#This Row],[Marketing]]</f>
        <v>155.17834745759998</v>
      </c>
      <c r="M787" s="8">
        <f>Table3[[#This Row],[PrimaTécnica]]*Table3[[#This Row],[Cobranza]]</f>
        <v>155.17834745759998</v>
      </c>
      <c r="N78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87">
        <v>21.84</v>
      </c>
      <c r="P787">
        <v>54.6</v>
      </c>
      <c r="Q787">
        <v>80.64</v>
      </c>
      <c r="R787">
        <v>44.377200000000002</v>
      </c>
      <c r="S787">
        <v>0.2</v>
      </c>
      <c r="T787">
        <v>0.02</v>
      </c>
      <c r="U787" s="8">
        <f>Table3[[#This Row],[PrimaNeta]]*Table3[[#This Row],[Comisión]]</f>
        <v>3929.82298644</v>
      </c>
      <c r="V787" s="15">
        <f>Table3[[#This Row],[PrimaComercial Anual]]-Table3[[#This Row],[PrimaComercial Anual]]*SUM(Table3[[#This Row],[APS]:[IVA]])</f>
        <v>19649.114932199998</v>
      </c>
      <c r="W787" s="2">
        <v>1.4800000000000001E-2</v>
      </c>
      <c r="X787" s="2">
        <v>8.4501000000000007E-2</v>
      </c>
      <c r="Y787">
        <v>0.03</v>
      </c>
      <c r="Z787">
        <v>0.13</v>
      </c>
      <c r="AA787" s="20">
        <f>Table3[[#This Row],[APS]]*Table3[[#This Row],[PrimaComercial Anual]]</f>
        <v>392.61144000000002</v>
      </c>
      <c r="AB787" s="8">
        <f>Table3[[#This Row],[PrimaComercial Anual]]*Table3[[#This Row],[Recargo adicional]]</f>
        <v>2241.6256278000001</v>
      </c>
      <c r="AC787" s="8">
        <f>Table3[[#This Row],[PrimaComercial Anual]]*Table3[[#This Row],[IT]]</f>
        <v>795.83399999999995</v>
      </c>
      <c r="AD787" s="8">
        <f>Table3[[#This Row],[PrimaComercial Anual]]*Table3[[#This Row],[IVA]]</f>
        <v>3448.614</v>
      </c>
      <c r="AE787" s="15">
        <f>Table3[[#This Row],[PrimaComercial Anual Asistencia]]</f>
        <v>26527.8</v>
      </c>
      <c r="AG787">
        <v>26527.8</v>
      </c>
    </row>
    <row r="788" spans="1:33" x14ac:dyDescent="0.25">
      <c r="A788" t="s">
        <v>17</v>
      </c>
      <c r="B788">
        <v>700001</v>
      </c>
      <c r="C788">
        <v>93</v>
      </c>
      <c r="D788" s="2">
        <f>Table3[[#This Row],[PrimaTécnica]]-Table3[[#This Row],[PrimaTécnica]]*SUM(Table3[[#This Row],[Gastos Adm]:[Cobranza]])</f>
        <v>12103.911101692798</v>
      </c>
      <c r="E788">
        <v>0</v>
      </c>
      <c r="F788">
        <v>0.15</v>
      </c>
      <c r="G788">
        <v>0.05</v>
      </c>
      <c r="H788">
        <v>0.01</v>
      </c>
      <c r="I788">
        <v>0.01</v>
      </c>
      <c r="J788" s="8">
        <f>Table3[[#This Row],[PrimaTécnica]]*Table3[[#This Row],[Gastos Adm]]</f>
        <v>2327.6752118639997</v>
      </c>
      <c r="K788" s="8">
        <f>Table3[[#This Row],[PrimaTécnica]]*Table3[[#This Row],[Utilidad]]</f>
        <v>775.89173728799994</v>
      </c>
      <c r="L788" s="8">
        <f>Table3[[#This Row],[PrimaTécnica]]*Table3[[#This Row],[Marketing]]</f>
        <v>155.17834745759998</v>
      </c>
      <c r="M788" s="8">
        <f>Table3[[#This Row],[PrimaTécnica]]*Table3[[#This Row],[Cobranza]]</f>
        <v>155.17834745759998</v>
      </c>
      <c r="N78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88">
        <v>21.84</v>
      </c>
      <c r="P788">
        <v>54.6</v>
      </c>
      <c r="Q788">
        <v>80.64</v>
      </c>
      <c r="R788">
        <v>44.377200000000002</v>
      </c>
      <c r="S788">
        <v>0.2</v>
      </c>
      <c r="T788">
        <v>0.02</v>
      </c>
      <c r="U788" s="8">
        <f>Table3[[#This Row],[PrimaNeta]]*Table3[[#This Row],[Comisión]]</f>
        <v>3929.82298644</v>
      </c>
      <c r="V788" s="15">
        <f>Table3[[#This Row],[PrimaComercial Anual]]-Table3[[#This Row],[PrimaComercial Anual]]*SUM(Table3[[#This Row],[APS]:[IVA]])</f>
        <v>19649.114932199998</v>
      </c>
      <c r="W788" s="2">
        <v>1.4800000000000001E-2</v>
      </c>
      <c r="X788" s="2">
        <v>8.4501000000000007E-2</v>
      </c>
      <c r="Y788">
        <v>0.03</v>
      </c>
      <c r="Z788">
        <v>0.13</v>
      </c>
      <c r="AA788" s="20">
        <f>Table3[[#This Row],[APS]]*Table3[[#This Row],[PrimaComercial Anual]]</f>
        <v>392.61144000000002</v>
      </c>
      <c r="AB788" s="8">
        <f>Table3[[#This Row],[PrimaComercial Anual]]*Table3[[#This Row],[Recargo adicional]]</f>
        <v>2241.6256278000001</v>
      </c>
      <c r="AC788" s="8">
        <f>Table3[[#This Row],[PrimaComercial Anual]]*Table3[[#This Row],[IT]]</f>
        <v>795.83399999999995</v>
      </c>
      <c r="AD788" s="8">
        <f>Table3[[#This Row],[PrimaComercial Anual]]*Table3[[#This Row],[IVA]]</f>
        <v>3448.614</v>
      </c>
      <c r="AE788" s="15">
        <f>Table3[[#This Row],[PrimaComercial Anual Asistencia]]</f>
        <v>26527.8</v>
      </c>
      <c r="AG788">
        <v>26527.8</v>
      </c>
    </row>
    <row r="789" spans="1:33" x14ac:dyDescent="0.25">
      <c r="A789" t="s">
        <v>17</v>
      </c>
      <c r="B789">
        <v>700001</v>
      </c>
      <c r="C789">
        <v>94</v>
      </c>
      <c r="D789" s="2">
        <f>Table3[[#This Row],[PrimaTécnica]]-Table3[[#This Row],[PrimaTécnica]]*SUM(Table3[[#This Row],[Gastos Adm]:[Cobranza]])</f>
        <v>12103.911101692798</v>
      </c>
      <c r="E789">
        <v>0</v>
      </c>
      <c r="F789">
        <v>0.15</v>
      </c>
      <c r="G789">
        <v>0.05</v>
      </c>
      <c r="H789">
        <v>0.01</v>
      </c>
      <c r="I789">
        <v>0.01</v>
      </c>
      <c r="J789" s="8">
        <f>Table3[[#This Row],[PrimaTécnica]]*Table3[[#This Row],[Gastos Adm]]</f>
        <v>2327.6752118639997</v>
      </c>
      <c r="K789" s="8">
        <f>Table3[[#This Row],[PrimaTécnica]]*Table3[[#This Row],[Utilidad]]</f>
        <v>775.89173728799994</v>
      </c>
      <c r="L789" s="8">
        <f>Table3[[#This Row],[PrimaTécnica]]*Table3[[#This Row],[Marketing]]</f>
        <v>155.17834745759998</v>
      </c>
      <c r="M789" s="8">
        <f>Table3[[#This Row],[PrimaTécnica]]*Table3[[#This Row],[Cobranza]]</f>
        <v>155.17834745759998</v>
      </c>
      <c r="N78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89">
        <v>21.84</v>
      </c>
      <c r="P789">
        <v>54.6</v>
      </c>
      <c r="Q789">
        <v>80.64</v>
      </c>
      <c r="R789">
        <v>44.377200000000002</v>
      </c>
      <c r="S789">
        <v>0.2</v>
      </c>
      <c r="T789">
        <v>0.02</v>
      </c>
      <c r="U789" s="8">
        <f>Table3[[#This Row],[PrimaNeta]]*Table3[[#This Row],[Comisión]]</f>
        <v>3929.82298644</v>
      </c>
      <c r="V789" s="15">
        <f>Table3[[#This Row],[PrimaComercial Anual]]-Table3[[#This Row],[PrimaComercial Anual]]*SUM(Table3[[#This Row],[APS]:[IVA]])</f>
        <v>19649.114932199998</v>
      </c>
      <c r="W789" s="2">
        <v>1.4800000000000001E-2</v>
      </c>
      <c r="X789" s="2">
        <v>8.4501000000000007E-2</v>
      </c>
      <c r="Y789">
        <v>0.03</v>
      </c>
      <c r="Z789">
        <v>0.13</v>
      </c>
      <c r="AA789" s="20">
        <f>Table3[[#This Row],[APS]]*Table3[[#This Row],[PrimaComercial Anual]]</f>
        <v>392.61144000000002</v>
      </c>
      <c r="AB789" s="8">
        <f>Table3[[#This Row],[PrimaComercial Anual]]*Table3[[#This Row],[Recargo adicional]]</f>
        <v>2241.6256278000001</v>
      </c>
      <c r="AC789" s="8">
        <f>Table3[[#This Row],[PrimaComercial Anual]]*Table3[[#This Row],[IT]]</f>
        <v>795.83399999999995</v>
      </c>
      <c r="AD789" s="8">
        <f>Table3[[#This Row],[PrimaComercial Anual]]*Table3[[#This Row],[IVA]]</f>
        <v>3448.614</v>
      </c>
      <c r="AE789" s="15">
        <f>Table3[[#This Row],[PrimaComercial Anual Asistencia]]</f>
        <v>26527.8</v>
      </c>
      <c r="AG789">
        <v>26527.8</v>
      </c>
    </row>
    <row r="790" spans="1:33" x14ac:dyDescent="0.25">
      <c r="A790" t="s">
        <v>17</v>
      </c>
      <c r="B790">
        <v>700001</v>
      </c>
      <c r="C790">
        <v>95</v>
      </c>
      <c r="D790" s="2">
        <f>Table3[[#This Row],[PrimaTécnica]]-Table3[[#This Row],[PrimaTécnica]]*SUM(Table3[[#This Row],[Gastos Adm]:[Cobranza]])</f>
        <v>12103.911101692798</v>
      </c>
      <c r="E790">
        <v>0</v>
      </c>
      <c r="F790">
        <v>0.15</v>
      </c>
      <c r="G790">
        <v>0.05</v>
      </c>
      <c r="H790">
        <v>0.01</v>
      </c>
      <c r="I790">
        <v>0.01</v>
      </c>
      <c r="J790" s="8">
        <f>Table3[[#This Row],[PrimaTécnica]]*Table3[[#This Row],[Gastos Adm]]</f>
        <v>2327.6752118639997</v>
      </c>
      <c r="K790" s="8">
        <f>Table3[[#This Row],[PrimaTécnica]]*Table3[[#This Row],[Utilidad]]</f>
        <v>775.89173728799994</v>
      </c>
      <c r="L790" s="8">
        <f>Table3[[#This Row],[PrimaTécnica]]*Table3[[#This Row],[Marketing]]</f>
        <v>155.17834745759998</v>
      </c>
      <c r="M790" s="8">
        <f>Table3[[#This Row],[PrimaTécnica]]*Table3[[#This Row],[Cobranza]]</f>
        <v>155.17834745759998</v>
      </c>
      <c r="N79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90">
        <v>21.84</v>
      </c>
      <c r="P790">
        <v>54.6</v>
      </c>
      <c r="Q790">
        <v>80.64</v>
      </c>
      <c r="R790">
        <v>44.377200000000002</v>
      </c>
      <c r="S790">
        <v>0.2</v>
      </c>
      <c r="T790">
        <v>0.02</v>
      </c>
      <c r="U790" s="8">
        <f>Table3[[#This Row],[PrimaNeta]]*Table3[[#This Row],[Comisión]]</f>
        <v>3929.82298644</v>
      </c>
      <c r="V790" s="15">
        <f>Table3[[#This Row],[PrimaComercial Anual]]-Table3[[#This Row],[PrimaComercial Anual]]*SUM(Table3[[#This Row],[APS]:[IVA]])</f>
        <v>19649.114932199998</v>
      </c>
      <c r="W790" s="2">
        <v>1.4800000000000001E-2</v>
      </c>
      <c r="X790" s="2">
        <v>8.4501000000000007E-2</v>
      </c>
      <c r="Y790">
        <v>0.03</v>
      </c>
      <c r="Z790">
        <v>0.13</v>
      </c>
      <c r="AA790" s="20">
        <f>Table3[[#This Row],[APS]]*Table3[[#This Row],[PrimaComercial Anual]]</f>
        <v>392.61144000000002</v>
      </c>
      <c r="AB790" s="8">
        <f>Table3[[#This Row],[PrimaComercial Anual]]*Table3[[#This Row],[Recargo adicional]]</f>
        <v>2241.6256278000001</v>
      </c>
      <c r="AC790" s="8">
        <f>Table3[[#This Row],[PrimaComercial Anual]]*Table3[[#This Row],[IT]]</f>
        <v>795.83399999999995</v>
      </c>
      <c r="AD790" s="8">
        <f>Table3[[#This Row],[PrimaComercial Anual]]*Table3[[#This Row],[IVA]]</f>
        <v>3448.614</v>
      </c>
      <c r="AE790" s="15">
        <f>Table3[[#This Row],[PrimaComercial Anual Asistencia]]</f>
        <v>26527.8</v>
      </c>
      <c r="AG790">
        <v>26527.8</v>
      </c>
    </row>
    <row r="791" spans="1:33" x14ac:dyDescent="0.25">
      <c r="A791" t="s">
        <v>17</v>
      </c>
      <c r="B791">
        <v>700001</v>
      </c>
      <c r="C791">
        <v>96</v>
      </c>
      <c r="D791" s="2">
        <f>Table3[[#This Row],[PrimaTécnica]]-Table3[[#This Row],[PrimaTécnica]]*SUM(Table3[[#This Row],[Gastos Adm]:[Cobranza]])</f>
        <v>12103.911101692798</v>
      </c>
      <c r="E791">
        <v>0</v>
      </c>
      <c r="F791">
        <v>0.15</v>
      </c>
      <c r="G791">
        <v>0.05</v>
      </c>
      <c r="H791">
        <v>0.01</v>
      </c>
      <c r="I791">
        <v>0.01</v>
      </c>
      <c r="J791" s="8">
        <f>Table3[[#This Row],[PrimaTécnica]]*Table3[[#This Row],[Gastos Adm]]</f>
        <v>2327.6752118639997</v>
      </c>
      <c r="K791" s="8">
        <f>Table3[[#This Row],[PrimaTécnica]]*Table3[[#This Row],[Utilidad]]</f>
        <v>775.89173728799994</v>
      </c>
      <c r="L791" s="8">
        <f>Table3[[#This Row],[PrimaTécnica]]*Table3[[#This Row],[Marketing]]</f>
        <v>155.17834745759998</v>
      </c>
      <c r="M791" s="8">
        <f>Table3[[#This Row],[PrimaTécnica]]*Table3[[#This Row],[Cobranza]]</f>
        <v>155.17834745759998</v>
      </c>
      <c r="N79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91">
        <v>21.84</v>
      </c>
      <c r="P791">
        <v>54.6</v>
      </c>
      <c r="Q791">
        <v>80.64</v>
      </c>
      <c r="R791">
        <v>44.377200000000002</v>
      </c>
      <c r="S791">
        <v>0.2</v>
      </c>
      <c r="T791">
        <v>0.02</v>
      </c>
      <c r="U791" s="8">
        <f>Table3[[#This Row],[PrimaNeta]]*Table3[[#This Row],[Comisión]]</f>
        <v>3929.82298644</v>
      </c>
      <c r="V791" s="15">
        <f>Table3[[#This Row],[PrimaComercial Anual]]-Table3[[#This Row],[PrimaComercial Anual]]*SUM(Table3[[#This Row],[APS]:[IVA]])</f>
        <v>19649.114932199998</v>
      </c>
      <c r="W791" s="2">
        <v>1.4800000000000001E-2</v>
      </c>
      <c r="X791" s="2">
        <v>8.4501000000000007E-2</v>
      </c>
      <c r="Y791">
        <v>0.03</v>
      </c>
      <c r="Z791">
        <v>0.13</v>
      </c>
      <c r="AA791" s="20">
        <f>Table3[[#This Row],[APS]]*Table3[[#This Row],[PrimaComercial Anual]]</f>
        <v>392.61144000000002</v>
      </c>
      <c r="AB791" s="8">
        <f>Table3[[#This Row],[PrimaComercial Anual]]*Table3[[#This Row],[Recargo adicional]]</f>
        <v>2241.6256278000001</v>
      </c>
      <c r="AC791" s="8">
        <f>Table3[[#This Row],[PrimaComercial Anual]]*Table3[[#This Row],[IT]]</f>
        <v>795.83399999999995</v>
      </c>
      <c r="AD791" s="8">
        <f>Table3[[#This Row],[PrimaComercial Anual]]*Table3[[#This Row],[IVA]]</f>
        <v>3448.614</v>
      </c>
      <c r="AE791" s="15">
        <f>Table3[[#This Row],[PrimaComercial Anual Asistencia]]</f>
        <v>26527.8</v>
      </c>
      <c r="AG791">
        <v>26527.8</v>
      </c>
    </row>
    <row r="792" spans="1:33" x14ac:dyDescent="0.25">
      <c r="A792" t="s">
        <v>17</v>
      </c>
      <c r="B792">
        <v>700001</v>
      </c>
      <c r="C792">
        <v>97</v>
      </c>
      <c r="D792" s="2">
        <f>Table3[[#This Row],[PrimaTécnica]]-Table3[[#This Row],[PrimaTécnica]]*SUM(Table3[[#This Row],[Gastos Adm]:[Cobranza]])</f>
        <v>12103.911101692798</v>
      </c>
      <c r="E792">
        <v>0</v>
      </c>
      <c r="F792">
        <v>0.15</v>
      </c>
      <c r="G792">
        <v>0.05</v>
      </c>
      <c r="H792">
        <v>0.01</v>
      </c>
      <c r="I792">
        <v>0.01</v>
      </c>
      <c r="J792" s="8">
        <f>Table3[[#This Row],[PrimaTécnica]]*Table3[[#This Row],[Gastos Adm]]</f>
        <v>2327.6752118639997</v>
      </c>
      <c r="K792" s="8">
        <f>Table3[[#This Row],[PrimaTécnica]]*Table3[[#This Row],[Utilidad]]</f>
        <v>775.89173728799994</v>
      </c>
      <c r="L792" s="8">
        <f>Table3[[#This Row],[PrimaTécnica]]*Table3[[#This Row],[Marketing]]</f>
        <v>155.17834745759998</v>
      </c>
      <c r="M792" s="8">
        <f>Table3[[#This Row],[PrimaTécnica]]*Table3[[#This Row],[Cobranza]]</f>
        <v>155.17834745759998</v>
      </c>
      <c r="N79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92">
        <v>21.84</v>
      </c>
      <c r="P792">
        <v>54.6</v>
      </c>
      <c r="Q792">
        <v>80.64</v>
      </c>
      <c r="R792">
        <v>44.377200000000002</v>
      </c>
      <c r="S792">
        <v>0.2</v>
      </c>
      <c r="T792">
        <v>0.02</v>
      </c>
      <c r="U792" s="8">
        <f>Table3[[#This Row],[PrimaNeta]]*Table3[[#This Row],[Comisión]]</f>
        <v>3929.82298644</v>
      </c>
      <c r="V792" s="15">
        <f>Table3[[#This Row],[PrimaComercial Anual]]-Table3[[#This Row],[PrimaComercial Anual]]*SUM(Table3[[#This Row],[APS]:[IVA]])</f>
        <v>19649.114932199998</v>
      </c>
      <c r="W792" s="2">
        <v>1.4800000000000001E-2</v>
      </c>
      <c r="X792" s="2">
        <v>8.4501000000000007E-2</v>
      </c>
      <c r="Y792">
        <v>0.03</v>
      </c>
      <c r="Z792">
        <v>0.13</v>
      </c>
      <c r="AA792" s="20">
        <f>Table3[[#This Row],[APS]]*Table3[[#This Row],[PrimaComercial Anual]]</f>
        <v>392.61144000000002</v>
      </c>
      <c r="AB792" s="8">
        <f>Table3[[#This Row],[PrimaComercial Anual]]*Table3[[#This Row],[Recargo adicional]]</f>
        <v>2241.6256278000001</v>
      </c>
      <c r="AC792" s="8">
        <f>Table3[[#This Row],[PrimaComercial Anual]]*Table3[[#This Row],[IT]]</f>
        <v>795.83399999999995</v>
      </c>
      <c r="AD792" s="8">
        <f>Table3[[#This Row],[PrimaComercial Anual]]*Table3[[#This Row],[IVA]]</f>
        <v>3448.614</v>
      </c>
      <c r="AE792" s="15">
        <f>Table3[[#This Row],[PrimaComercial Anual Asistencia]]</f>
        <v>26527.8</v>
      </c>
      <c r="AG792">
        <v>26527.8</v>
      </c>
    </row>
    <row r="793" spans="1:33" x14ac:dyDescent="0.25">
      <c r="A793" t="s">
        <v>17</v>
      </c>
      <c r="B793">
        <v>700001</v>
      </c>
      <c r="C793">
        <v>98</v>
      </c>
      <c r="D793" s="2">
        <f>Table3[[#This Row],[PrimaTécnica]]-Table3[[#This Row],[PrimaTécnica]]*SUM(Table3[[#This Row],[Gastos Adm]:[Cobranza]])</f>
        <v>12103.911101692798</v>
      </c>
      <c r="E793">
        <v>0</v>
      </c>
      <c r="F793">
        <v>0.15</v>
      </c>
      <c r="G793">
        <v>0.05</v>
      </c>
      <c r="H793">
        <v>0.01</v>
      </c>
      <c r="I793">
        <v>0.01</v>
      </c>
      <c r="J793" s="8">
        <f>Table3[[#This Row],[PrimaTécnica]]*Table3[[#This Row],[Gastos Adm]]</f>
        <v>2327.6752118639997</v>
      </c>
      <c r="K793" s="8">
        <f>Table3[[#This Row],[PrimaTécnica]]*Table3[[#This Row],[Utilidad]]</f>
        <v>775.89173728799994</v>
      </c>
      <c r="L793" s="8">
        <f>Table3[[#This Row],[PrimaTécnica]]*Table3[[#This Row],[Marketing]]</f>
        <v>155.17834745759998</v>
      </c>
      <c r="M793" s="8">
        <f>Table3[[#This Row],[PrimaTécnica]]*Table3[[#This Row],[Cobranza]]</f>
        <v>155.17834745759998</v>
      </c>
      <c r="N79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93">
        <v>21.84</v>
      </c>
      <c r="P793">
        <v>54.6</v>
      </c>
      <c r="Q793">
        <v>80.64</v>
      </c>
      <c r="R793">
        <v>44.377200000000002</v>
      </c>
      <c r="S793">
        <v>0.2</v>
      </c>
      <c r="T793">
        <v>0.02</v>
      </c>
      <c r="U793" s="8">
        <f>Table3[[#This Row],[PrimaNeta]]*Table3[[#This Row],[Comisión]]</f>
        <v>3929.82298644</v>
      </c>
      <c r="V793" s="15">
        <f>Table3[[#This Row],[PrimaComercial Anual]]-Table3[[#This Row],[PrimaComercial Anual]]*SUM(Table3[[#This Row],[APS]:[IVA]])</f>
        <v>19649.114932199998</v>
      </c>
      <c r="W793" s="2">
        <v>1.4800000000000001E-2</v>
      </c>
      <c r="X793" s="2">
        <v>8.4501000000000007E-2</v>
      </c>
      <c r="Y793">
        <v>0.03</v>
      </c>
      <c r="Z793">
        <v>0.13</v>
      </c>
      <c r="AA793" s="20">
        <f>Table3[[#This Row],[APS]]*Table3[[#This Row],[PrimaComercial Anual]]</f>
        <v>392.61144000000002</v>
      </c>
      <c r="AB793" s="8">
        <f>Table3[[#This Row],[PrimaComercial Anual]]*Table3[[#This Row],[Recargo adicional]]</f>
        <v>2241.6256278000001</v>
      </c>
      <c r="AC793" s="8">
        <f>Table3[[#This Row],[PrimaComercial Anual]]*Table3[[#This Row],[IT]]</f>
        <v>795.83399999999995</v>
      </c>
      <c r="AD793" s="8">
        <f>Table3[[#This Row],[PrimaComercial Anual]]*Table3[[#This Row],[IVA]]</f>
        <v>3448.614</v>
      </c>
      <c r="AE793" s="15">
        <f>Table3[[#This Row],[PrimaComercial Anual Asistencia]]</f>
        <v>26527.8</v>
      </c>
      <c r="AG793">
        <v>26527.8</v>
      </c>
    </row>
    <row r="794" spans="1:33" x14ac:dyDescent="0.25">
      <c r="A794" t="s">
        <v>17</v>
      </c>
      <c r="B794">
        <v>700001</v>
      </c>
      <c r="C794">
        <v>99</v>
      </c>
      <c r="D794" s="2">
        <f>Table3[[#This Row],[PrimaTécnica]]-Table3[[#This Row],[PrimaTécnica]]*SUM(Table3[[#This Row],[Gastos Adm]:[Cobranza]])</f>
        <v>12103.911101692798</v>
      </c>
      <c r="E794">
        <v>0</v>
      </c>
      <c r="F794">
        <v>0.15</v>
      </c>
      <c r="G794">
        <v>0.05</v>
      </c>
      <c r="H794">
        <v>0.01</v>
      </c>
      <c r="I794">
        <v>0.01</v>
      </c>
      <c r="J794" s="8">
        <f>Table3[[#This Row],[PrimaTécnica]]*Table3[[#This Row],[Gastos Adm]]</f>
        <v>2327.6752118639997</v>
      </c>
      <c r="K794" s="8">
        <f>Table3[[#This Row],[PrimaTécnica]]*Table3[[#This Row],[Utilidad]]</f>
        <v>775.89173728799994</v>
      </c>
      <c r="L794" s="8">
        <f>Table3[[#This Row],[PrimaTécnica]]*Table3[[#This Row],[Marketing]]</f>
        <v>155.17834745759998</v>
      </c>
      <c r="M794" s="8">
        <f>Table3[[#This Row],[PrimaTécnica]]*Table3[[#This Row],[Cobranza]]</f>
        <v>155.17834745759998</v>
      </c>
      <c r="N79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794">
        <v>21.84</v>
      </c>
      <c r="P794">
        <v>54.6</v>
      </c>
      <c r="Q794">
        <v>80.64</v>
      </c>
      <c r="R794">
        <v>44.377200000000002</v>
      </c>
      <c r="S794">
        <v>0.2</v>
      </c>
      <c r="T794">
        <v>0.02</v>
      </c>
      <c r="U794" s="8">
        <f>Table3[[#This Row],[PrimaNeta]]*Table3[[#This Row],[Comisión]]</f>
        <v>3929.82298644</v>
      </c>
      <c r="V794" s="15">
        <f>Table3[[#This Row],[PrimaComercial Anual]]-Table3[[#This Row],[PrimaComercial Anual]]*SUM(Table3[[#This Row],[APS]:[IVA]])</f>
        <v>19649.114932199998</v>
      </c>
      <c r="W794" s="2">
        <v>1.4800000000000001E-2</v>
      </c>
      <c r="X794" s="2">
        <v>8.4501000000000007E-2</v>
      </c>
      <c r="Y794">
        <v>0.03</v>
      </c>
      <c r="Z794">
        <v>0.13</v>
      </c>
      <c r="AA794" s="20">
        <f>Table3[[#This Row],[APS]]*Table3[[#This Row],[PrimaComercial Anual]]</f>
        <v>392.61144000000002</v>
      </c>
      <c r="AB794" s="8">
        <f>Table3[[#This Row],[PrimaComercial Anual]]*Table3[[#This Row],[Recargo adicional]]</f>
        <v>2241.6256278000001</v>
      </c>
      <c r="AC794" s="8">
        <f>Table3[[#This Row],[PrimaComercial Anual]]*Table3[[#This Row],[IT]]</f>
        <v>795.83399999999995</v>
      </c>
      <c r="AD794" s="8">
        <f>Table3[[#This Row],[PrimaComercial Anual]]*Table3[[#This Row],[IVA]]</f>
        <v>3448.614</v>
      </c>
      <c r="AE794" s="15">
        <f>Table3[[#This Row],[PrimaComercial Anual Asistencia]]</f>
        <v>26527.8</v>
      </c>
      <c r="AG794">
        <v>26527.8</v>
      </c>
    </row>
    <row r="795" spans="1:33" x14ac:dyDescent="0.25">
      <c r="A795" t="s">
        <v>18</v>
      </c>
      <c r="B795">
        <v>700001</v>
      </c>
      <c r="C795">
        <v>0</v>
      </c>
      <c r="D795" s="2">
        <f>Table3[[#This Row],[PrimaTécnica]]-Table3[[#This Row],[PrimaTécnica]]*SUM(Table3[[#This Row],[Gastos Adm]:[Cobranza]])</f>
        <v>3178.163429251199</v>
      </c>
      <c r="E795">
        <v>0</v>
      </c>
      <c r="F795">
        <v>0.15</v>
      </c>
      <c r="G795">
        <v>0.05</v>
      </c>
      <c r="H795">
        <v>0.01</v>
      </c>
      <c r="I795">
        <v>0.01</v>
      </c>
      <c r="J795" s="8">
        <f>Table3[[#This Row],[PrimaTécnica]]*Table3[[#This Row],[Gastos Adm]]</f>
        <v>611.18527485599975</v>
      </c>
      <c r="K795" s="8">
        <f>Table3[[#This Row],[PrimaTécnica]]*Table3[[#This Row],[Utilidad]]</f>
        <v>203.72842495199995</v>
      </c>
      <c r="L795" s="8">
        <f>Table3[[#This Row],[PrimaTécnica]]*Table3[[#This Row],[Marketing]]</f>
        <v>40.745684990399987</v>
      </c>
      <c r="M795" s="8">
        <f>Table3[[#This Row],[PrimaTécnica]]*Table3[[#This Row],[Cobranza]]</f>
        <v>40.745684990399987</v>
      </c>
      <c r="N79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4074.5684990399986</v>
      </c>
      <c r="O795">
        <v>21.84</v>
      </c>
      <c r="P795">
        <v>54.6</v>
      </c>
      <c r="Q795">
        <v>80.64</v>
      </c>
      <c r="R795">
        <v>44.377200000000002</v>
      </c>
      <c r="S795">
        <v>0.2</v>
      </c>
      <c r="T795">
        <v>0.02</v>
      </c>
      <c r="U795" s="8">
        <f>Table3[[#This Row],[PrimaNeta]]*Table3[[#This Row],[Comisión]]</f>
        <v>1069.0064247600001</v>
      </c>
      <c r="V795" s="15">
        <f>Table3[[#This Row],[PrimaComercial Anual]]-Table3[[#This Row],[PrimaComercial Anual]]*SUM(Table3[[#This Row],[APS]:[IVA]])</f>
        <v>5345.0321237999997</v>
      </c>
      <c r="W795" s="2">
        <v>1.4800000000000001E-2</v>
      </c>
      <c r="X795" s="2">
        <v>8.4501000000000007E-2</v>
      </c>
      <c r="Y795">
        <v>0.03</v>
      </c>
      <c r="Z795">
        <v>0.13</v>
      </c>
      <c r="AA795" s="20">
        <f>Table3[[#This Row],[APS]]*Table3[[#This Row],[PrimaComercial Anual]]</f>
        <v>106.79976000000001</v>
      </c>
      <c r="AB795" s="8">
        <f>Table3[[#This Row],[PrimaComercial Anual]]*Table3[[#This Row],[Recargo adicional]]</f>
        <v>609.77611620000005</v>
      </c>
      <c r="AC795" s="8">
        <f>Table3[[#This Row],[PrimaComercial Anual]]*Table3[[#This Row],[IT]]</f>
        <v>216.48599999999999</v>
      </c>
      <c r="AD795" s="8">
        <f>Table3[[#This Row],[PrimaComercial Anual]]*Table3[[#This Row],[IVA]]</f>
        <v>938.10599999999999</v>
      </c>
      <c r="AE795" s="15">
        <f>Table3[[#This Row],[PrimaComercial Anual Asistencia]]</f>
        <v>7216.2</v>
      </c>
      <c r="AG795">
        <v>7216.2</v>
      </c>
    </row>
    <row r="796" spans="1:33" x14ac:dyDescent="0.25">
      <c r="A796" t="s">
        <v>18</v>
      </c>
      <c r="B796">
        <v>700001</v>
      </c>
      <c r="C796">
        <v>1</v>
      </c>
      <c r="D796" s="2">
        <f>Table3[[#This Row],[PrimaTécnica]]-Table3[[#This Row],[PrimaTécnica]]*SUM(Table3[[#This Row],[Gastos Adm]:[Cobranza]])</f>
        <v>3178.163429251199</v>
      </c>
      <c r="E796">
        <v>0</v>
      </c>
      <c r="F796">
        <v>0.15</v>
      </c>
      <c r="G796">
        <v>0.05</v>
      </c>
      <c r="H796">
        <v>0.01</v>
      </c>
      <c r="I796">
        <v>0.01</v>
      </c>
      <c r="J796" s="8">
        <f>Table3[[#This Row],[PrimaTécnica]]*Table3[[#This Row],[Gastos Adm]]</f>
        <v>611.18527485599975</v>
      </c>
      <c r="K796" s="8">
        <f>Table3[[#This Row],[PrimaTécnica]]*Table3[[#This Row],[Utilidad]]</f>
        <v>203.72842495199995</v>
      </c>
      <c r="L796" s="8">
        <f>Table3[[#This Row],[PrimaTécnica]]*Table3[[#This Row],[Marketing]]</f>
        <v>40.745684990399987</v>
      </c>
      <c r="M796" s="8">
        <f>Table3[[#This Row],[PrimaTécnica]]*Table3[[#This Row],[Cobranza]]</f>
        <v>40.745684990399987</v>
      </c>
      <c r="N79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4074.5684990399986</v>
      </c>
      <c r="O796">
        <v>21.84</v>
      </c>
      <c r="P796">
        <v>54.6</v>
      </c>
      <c r="Q796">
        <v>80.64</v>
      </c>
      <c r="R796">
        <v>44.377200000000002</v>
      </c>
      <c r="S796">
        <v>0.2</v>
      </c>
      <c r="T796">
        <v>0.02</v>
      </c>
      <c r="U796" s="8">
        <f>Table3[[#This Row],[PrimaNeta]]*Table3[[#This Row],[Comisión]]</f>
        <v>1069.0064247600001</v>
      </c>
      <c r="V796" s="15">
        <f>Table3[[#This Row],[PrimaComercial Anual]]-Table3[[#This Row],[PrimaComercial Anual]]*SUM(Table3[[#This Row],[APS]:[IVA]])</f>
        <v>5345.0321237999997</v>
      </c>
      <c r="W796" s="2">
        <v>1.4800000000000001E-2</v>
      </c>
      <c r="X796" s="2">
        <v>8.4501000000000007E-2</v>
      </c>
      <c r="Y796">
        <v>0.03</v>
      </c>
      <c r="Z796">
        <v>0.13</v>
      </c>
      <c r="AA796" s="20">
        <f>Table3[[#This Row],[APS]]*Table3[[#This Row],[PrimaComercial Anual]]</f>
        <v>106.79976000000001</v>
      </c>
      <c r="AB796" s="8">
        <f>Table3[[#This Row],[PrimaComercial Anual]]*Table3[[#This Row],[Recargo adicional]]</f>
        <v>609.77611620000005</v>
      </c>
      <c r="AC796" s="8">
        <f>Table3[[#This Row],[PrimaComercial Anual]]*Table3[[#This Row],[IT]]</f>
        <v>216.48599999999999</v>
      </c>
      <c r="AD796" s="8">
        <f>Table3[[#This Row],[PrimaComercial Anual]]*Table3[[#This Row],[IVA]]</f>
        <v>938.10599999999999</v>
      </c>
      <c r="AE796" s="15">
        <f>Table3[[#This Row],[PrimaComercial Anual Asistencia]]</f>
        <v>7216.2</v>
      </c>
      <c r="AG796">
        <v>7216.2</v>
      </c>
    </row>
    <row r="797" spans="1:33" x14ac:dyDescent="0.25">
      <c r="A797" t="s">
        <v>18</v>
      </c>
      <c r="B797">
        <v>700001</v>
      </c>
      <c r="C797">
        <v>2</v>
      </c>
      <c r="D797" s="2">
        <f>Table3[[#This Row],[PrimaTécnica]]-Table3[[#This Row],[PrimaTécnica]]*SUM(Table3[[#This Row],[Gastos Adm]:[Cobranza]])</f>
        <v>3178.163429251199</v>
      </c>
      <c r="E797">
        <v>0</v>
      </c>
      <c r="F797">
        <v>0.15</v>
      </c>
      <c r="G797">
        <v>0.05</v>
      </c>
      <c r="H797">
        <v>0.01</v>
      </c>
      <c r="I797">
        <v>0.01</v>
      </c>
      <c r="J797" s="8">
        <f>Table3[[#This Row],[PrimaTécnica]]*Table3[[#This Row],[Gastos Adm]]</f>
        <v>611.18527485599975</v>
      </c>
      <c r="K797" s="8">
        <f>Table3[[#This Row],[PrimaTécnica]]*Table3[[#This Row],[Utilidad]]</f>
        <v>203.72842495199995</v>
      </c>
      <c r="L797" s="8">
        <f>Table3[[#This Row],[PrimaTécnica]]*Table3[[#This Row],[Marketing]]</f>
        <v>40.745684990399987</v>
      </c>
      <c r="M797" s="8">
        <f>Table3[[#This Row],[PrimaTécnica]]*Table3[[#This Row],[Cobranza]]</f>
        <v>40.745684990399987</v>
      </c>
      <c r="N79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4074.5684990399986</v>
      </c>
      <c r="O797">
        <v>21.84</v>
      </c>
      <c r="P797">
        <v>54.6</v>
      </c>
      <c r="Q797">
        <v>80.64</v>
      </c>
      <c r="R797">
        <v>44.377200000000002</v>
      </c>
      <c r="S797">
        <v>0.2</v>
      </c>
      <c r="T797">
        <v>0.02</v>
      </c>
      <c r="U797" s="8">
        <f>Table3[[#This Row],[PrimaNeta]]*Table3[[#This Row],[Comisión]]</f>
        <v>1069.0064247600001</v>
      </c>
      <c r="V797" s="15">
        <f>Table3[[#This Row],[PrimaComercial Anual]]-Table3[[#This Row],[PrimaComercial Anual]]*SUM(Table3[[#This Row],[APS]:[IVA]])</f>
        <v>5345.0321237999997</v>
      </c>
      <c r="W797" s="2">
        <v>1.4800000000000001E-2</v>
      </c>
      <c r="X797" s="2">
        <v>8.4501000000000007E-2</v>
      </c>
      <c r="Y797">
        <v>0.03</v>
      </c>
      <c r="Z797">
        <v>0.13</v>
      </c>
      <c r="AA797" s="20">
        <f>Table3[[#This Row],[APS]]*Table3[[#This Row],[PrimaComercial Anual]]</f>
        <v>106.79976000000001</v>
      </c>
      <c r="AB797" s="8">
        <f>Table3[[#This Row],[PrimaComercial Anual]]*Table3[[#This Row],[Recargo adicional]]</f>
        <v>609.77611620000005</v>
      </c>
      <c r="AC797" s="8">
        <f>Table3[[#This Row],[PrimaComercial Anual]]*Table3[[#This Row],[IT]]</f>
        <v>216.48599999999999</v>
      </c>
      <c r="AD797" s="8">
        <f>Table3[[#This Row],[PrimaComercial Anual]]*Table3[[#This Row],[IVA]]</f>
        <v>938.10599999999999</v>
      </c>
      <c r="AE797" s="15">
        <f>Table3[[#This Row],[PrimaComercial Anual Asistencia]]</f>
        <v>7216.2</v>
      </c>
      <c r="AG797">
        <v>7216.2</v>
      </c>
    </row>
    <row r="798" spans="1:33" x14ac:dyDescent="0.25">
      <c r="A798" t="s">
        <v>18</v>
      </c>
      <c r="B798">
        <v>700001</v>
      </c>
      <c r="C798">
        <v>3</v>
      </c>
      <c r="D798" s="2">
        <f>Table3[[#This Row],[PrimaTécnica]]-Table3[[#This Row],[PrimaTécnica]]*SUM(Table3[[#This Row],[Gastos Adm]:[Cobranza]])</f>
        <v>2256.0820581312</v>
      </c>
      <c r="E798">
        <v>0</v>
      </c>
      <c r="F798">
        <v>0.15</v>
      </c>
      <c r="G798">
        <v>0.05</v>
      </c>
      <c r="H798">
        <v>0.01</v>
      </c>
      <c r="I798">
        <v>0.01</v>
      </c>
      <c r="J798" s="8">
        <f>Table3[[#This Row],[PrimaTécnica]]*Table3[[#This Row],[Gastos Adm]]</f>
        <v>433.86193425599998</v>
      </c>
      <c r="K798" s="8">
        <f>Table3[[#This Row],[PrimaTécnica]]*Table3[[#This Row],[Utilidad]]</f>
        <v>144.620644752</v>
      </c>
      <c r="L798" s="8">
        <f>Table3[[#This Row],[PrimaTécnica]]*Table3[[#This Row],[Marketing]]</f>
        <v>28.9241289504</v>
      </c>
      <c r="M798" s="8">
        <f>Table3[[#This Row],[PrimaTécnica]]*Table3[[#This Row],[Cobranza]]</f>
        <v>28.9241289504</v>
      </c>
      <c r="N79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798">
        <v>21.84</v>
      </c>
      <c r="P798">
        <v>54.6</v>
      </c>
      <c r="Q798">
        <v>80.64</v>
      </c>
      <c r="R798">
        <v>44.377200000000002</v>
      </c>
      <c r="S798">
        <v>0.2</v>
      </c>
      <c r="T798">
        <v>0.02</v>
      </c>
      <c r="U798" s="8">
        <f>Table3[[#This Row],[PrimaNeta]]*Table3[[#This Row],[Comisión]]</f>
        <v>773.46752375999995</v>
      </c>
      <c r="V798" s="15">
        <f>Table3[[#This Row],[PrimaComercial Anual]]-Table3[[#This Row],[PrimaComercial Anual]]*SUM(Table3[[#This Row],[APS]:[IVA]])</f>
        <v>3867.3376187999997</v>
      </c>
      <c r="W798" s="2">
        <v>1.4800000000000001E-2</v>
      </c>
      <c r="X798" s="2">
        <v>8.4501000000000007E-2</v>
      </c>
      <c r="Y798">
        <v>0.03</v>
      </c>
      <c r="Z798">
        <v>0.13</v>
      </c>
      <c r="AA798" s="20">
        <f>Table3[[#This Row],[APS]]*Table3[[#This Row],[PrimaComercial Anual]]</f>
        <v>77.273759999999996</v>
      </c>
      <c r="AB798" s="8">
        <f>Table3[[#This Row],[PrimaComercial Anual]]*Table3[[#This Row],[Recargo adicional]]</f>
        <v>441.19662120000004</v>
      </c>
      <c r="AC798" s="8">
        <f>Table3[[#This Row],[PrimaComercial Anual]]*Table3[[#This Row],[IT]]</f>
        <v>156.636</v>
      </c>
      <c r="AD798" s="8">
        <f>Table3[[#This Row],[PrimaComercial Anual]]*Table3[[#This Row],[IVA]]</f>
        <v>678.75599999999997</v>
      </c>
      <c r="AE798" s="15">
        <f>Table3[[#This Row],[PrimaComercial Anual Asistencia]]</f>
        <v>5221.2</v>
      </c>
      <c r="AG798">
        <v>5221.2</v>
      </c>
    </row>
    <row r="799" spans="1:33" x14ac:dyDescent="0.25">
      <c r="A799" t="s">
        <v>18</v>
      </c>
      <c r="B799">
        <v>700001</v>
      </c>
      <c r="C799">
        <v>4</v>
      </c>
      <c r="D799" s="2">
        <f>Table3[[#This Row],[PrimaTécnica]]-Table3[[#This Row],[PrimaTécnica]]*SUM(Table3[[#This Row],[Gastos Adm]:[Cobranza]])</f>
        <v>2256.0820581312</v>
      </c>
      <c r="E799">
        <v>0</v>
      </c>
      <c r="F799">
        <v>0.15</v>
      </c>
      <c r="G799">
        <v>0.05</v>
      </c>
      <c r="H799">
        <v>0.01</v>
      </c>
      <c r="I799">
        <v>0.01</v>
      </c>
      <c r="J799" s="8">
        <f>Table3[[#This Row],[PrimaTécnica]]*Table3[[#This Row],[Gastos Adm]]</f>
        <v>433.86193425599998</v>
      </c>
      <c r="K799" s="8">
        <f>Table3[[#This Row],[PrimaTécnica]]*Table3[[#This Row],[Utilidad]]</f>
        <v>144.620644752</v>
      </c>
      <c r="L799" s="8">
        <f>Table3[[#This Row],[PrimaTécnica]]*Table3[[#This Row],[Marketing]]</f>
        <v>28.9241289504</v>
      </c>
      <c r="M799" s="8">
        <f>Table3[[#This Row],[PrimaTécnica]]*Table3[[#This Row],[Cobranza]]</f>
        <v>28.9241289504</v>
      </c>
      <c r="N79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799">
        <v>21.84</v>
      </c>
      <c r="P799">
        <v>54.6</v>
      </c>
      <c r="Q799">
        <v>80.64</v>
      </c>
      <c r="R799">
        <v>44.377200000000002</v>
      </c>
      <c r="S799">
        <v>0.2</v>
      </c>
      <c r="T799">
        <v>0.02</v>
      </c>
      <c r="U799" s="8">
        <f>Table3[[#This Row],[PrimaNeta]]*Table3[[#This Row],[Comisión]]</f>
        <v>773.46752375999995</v>
      </c>
      <c r="V799" s="15">
        <f>Table3[[#This Row],[PrimaComercial Anual]]-Table3[[#This Row],[PrimaComercial Anual]]*SUM(Table3[[#This Row],[APS]:[IVA]])</f>
        <v>3867.3376187999997</v>
      </c>
      <c r="W799" s="2">
        <v>1.4800000000000001E-2</v>
      </c>
      <c r="X799" s="2">
        <v>8.4501000000000007E-2</v>
      </c>
      <c r="Y799">
        <v>0.03</v>
      </c>
      <c r="Z799">
        <v>0.13</v>
      </c>
      <c r="AA799" s="20">
        <f>Table3[[#This Row],[APS]]*Table3[[#This Row],[PrimaComercial Anual]]</f>
        <v>77.273759999999996</v>
      </c>
      <c r="AB799" s="8">
        <f>Table3[[#This Row],[PrimaComercial Anual]]*Table3[[#This Row],[Recargo adicional]]</f>
        <v>441.19662120000004</v>
      </c>
      <c r="AC799" s="8">
        <f>Table3[[#This Row],[PrimaComercial Anual]]*Table3[[#This Row],[IT]]</f>
        <v>156.636</v>
      </c>
      <c r="AD799" s="8">
        <f>Table3[[#This Row],[PrimaComercial Anual]]*Table3[[#This Row],[IVA]]</f>
        <v>678.75599999999997</v>
      </c>
      <c r="AE799" s="15">
        <f>Table3[[#This Row],[PrimaComercial Anual Asistencia]]</f>
        <v>5221.2</v>
      </c>
      <c r="AG799">
        <v>5221.2</v>
      </c>
    </row>
    <row r="800" spans="1:33" x14ac:dyDescent="0.25">
      <c r="A800" t="s">
        <v>18</v>
      </c>
      <c r="B800">
        <v>700001</v>
      </c>
      <c r="C800">
        <v>5</v>
      </c>
      <c r="D800" s="2">
        <f>Table3[[#This Row],[PrimaTécnica]]-Table3[[#This Row],[PrimaTécnica]]*SUM(Table3[[#This Row],[Gastos Adm]:[Cobranza]])</f>
        <v>2256.0820581312</v>
      </c>
      <c r="E800">
        <v>0</v>
      </c>
      <c r="F800">
        <v>0.15</v>
      </c>
      <c r="G800">
        <v>0.05</v>
      </c>
      <c r="H800">
        <v>0.01</v>
      </c>
      <c r="I800">
        <v>0.01</v>
      </c>
      <c r="J800" s="8">
        <f>Table3[[#This Row],[PrimaTécnica]]*Table3[[#This Row],[Gastos Adm]]</f>
        <v>433.86193425599998</v>
      </c>
      <c r="K800" s="8">
        <f>Table3[[#This Row],[PrimaTécnica]]*Table3[[#This Row],[Utilidad]]</f>
        <v>144.620644752</v>
      </c>
      <c r="L800" s="8">
        <f>Table3[[#This Row],[PrimaTécnica]]*Table3[[#This Row],[Marketing]]</f>
        <v>28.9241289504</v>
      </c>
      <c r="M800" s="8">
        <f>Table3[[#This Row],[PrimaTécnica]]*Table3[[#This Row],[Cobranza]]</f>
        <v>28.9241289504</v>
      </c>
      <c r="N80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800">
        <v>21.84</v>
      </c>
      <c r="P800">
        <v>54.6</v>
      </c>
      <c r="Q800">
        <v>80.64</v>
      </c>
      <c r="R800">
        <v>44.377200000000002</v>
      </c>
      <c r="S800">
        <v>0.2</v>
      </c>
      <c r="T800">
        <v>0.02</v>
      </c>
      <c r="U800" s="8">
        <f>Table3[[#This Row],[PrimaNeta]]*Table3[[#This Row],[Comisión]]</f>
        <v>773.46752375999995</v>
      </c>
      <c r="V800" s="15">
        <f>Table3[[#This Row],[PrimaComercial Anual]]-Table3[[#This Row],[PrimaComercial Anual]]*SUM(Table3[[#This Row],[APS]:[IVA]])</f>
        <v>3867.3376187999997</v>
      </c>
      <c r="W800" s="2">
        <v>1.4800000000000001E-2</v>
      </c>
      <c r="X800" s="2">
        <v>8.4501000000000007E-2</v>
      </c>
      <c r="Y800">
        <v>0.03</v>
      </c>
      <c r="Z800">
        <v>0.13</v>
      </c>
      <c r="AA800" s="20">
        <f>Table3[[#This Row],[APS]]*Table3[[#This Row],[PrimaComercial Anual]]</f>
        <v>77.273759999999996</v>
      </c>
      <c r="AB800" s="8">
        <f>Table3[[#This Row],[PrimaComercial Anual]]*Table3[[#This Row],[Recargo adicional]]</f>
        <v>441.19662120000004</v>
      </c>
      <c r="AC800" s="8">
        <f>Table3[[#This Row],[PrimaComercial Anual]]*Table3[[#This Row],[IT]]</f>
        <v>156.636</v>
      </c>
      <c r="AD800" s="8">
        <f>Table3[[#This Row],[PrimaComercial Anual]]*Table3[[#This Row],[IVA]]</f>
        <v>678.75599999999997</v>
      </c>
      <c r="AE800" s="15">
        <f>Table3[[#This Row],[PrimaComercial Anual Asistencia]]</f>
        <v>5221.2</v>
      </c>
      <c r="AG800">
        <v>5221.2</v>
      </c>
    </row>
    <row r="801" spans="1:33" x14ac:dyDescent="0.25">
      <c r="A801" t="s">
        <v>18</v>
      </c>
      <c r="B801">
        <v>700001</v>
      </c>
      <c r="C801">
        <v>6</v>
      </c>
      <c r="D801" s="2">
        <f>Table3[[#This Row],[PrimaTécnica]]-Table3[[#This Row],[PrimaTécnica]]*SUM(Table3[[#This Row],[Gastos Adm]:[Cobranza]])</f>
        <v>2256.0820581312</v>
      </c>
      <c r="E801">
        <v>0</v>
      </c>
      <c r="F801">
        <v>0.15</v>
      </c>
      <c r="G801">
        <v>0.05</v>
      </c>
      <c r="H801">
        <v>0.01</v>
      </c>
      <c r="I801">
        <v>0.01</v>
      </c>
      <c r="J801" s="8">
        <f>Table3[[#This Row],[PrimaTécnica]]*Table3[[#This Row],[Gastos Adm]]</f>
        <v>433.86193425599998</v>
      </c>
      <c r="K801" s="8">
        <f>Table3[[#This Row],[PrimaTécnica]]*Table3[[#This Row],[Utilidad]]</f>
        <v>144.620644752</v>
      </c>
      <c r="L801" s="8">
        <f>Table3[[#This Row],[PrimaTécnica]]*Table3[[#This Row],[Marketing]]</f>
        <v>28.9241289504</v>
      </c>
      <c r="M801" s="8">
        <f>Table3[[#This Row],[PrimaTécnica]]*Table3[[#This Row],[Cobranza]]</f>
        <v>28.9241289504</v>
      </c>
      <c r="N80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801">
        <v>21.84</v>
      </c>
      <c r="P801">
        <v>54.6</v>
      </c>
      <c r="Q801">
        <v>80.64</v>
      </c>
      <c r="R801">
        <v>44.377200000000002</v>
      </c>
      <c r="S801">
        <v>0.2</v>
      </c>
      <c r="T801">
        <v>0.02</v>
      </c>
      <c r="U801" s="8">
        <f>Table3[[#This Row],[PrimaNeta]]*Table3[[#This Row],[Comisión]]</f>
        <v>773.46752375999995</v>
      </c>
      <c r="V801" s="15">
        <f>Table3[[#This Row],[PrimaComercial Anual]]-Table3[[#This Row],[PrimaComercial Anual]]*SUM(Table3[[#This Row],[APS]:[IVA]])</f>
        <v>3867.3376187999997</v>
      </c>
      <c r="W801" s="2">
        <v>1.4800000000000001E-2</v>
      </c>
      <c r="X801" s="2">
        <v>8.4501000000000007E-2</v>
      </c>
      <c r="Y801">
        <v>0.03</v>
      </c>
      <c r="Z801">
        <v>0.13</v>
      </c>
      <c r="AA801" s="20">
        <f>Table3[[#This Row],[APS]]*Table3[[#This Row],[PrimaComercial Anual]]</f>
        <v>77.273759999999996</v>
      </c>
      <c r="AB801" s="8">
        <f>Table3[[#This Row],[PrimaComercial Anual]]*Table3[[#This Row],[Recargo adicional]]</f>
        <v>441.19662120000004</v>
      </c>
      <c r="AC801" s="8">
        <f>Table3[[#This Row],[PrimaComercial Anual]]*Table3[[#This Row],[IT]]</f>
        <v>156.636</v>
      </c>
      <c r="AD801" s="8">
        <f>Table3[[#This Row],[PrimaComercial Anual]]*Table3[[#This Row],[IVA]]</f>
        <v>678.75599999999997</v>
      </c>
      <c r="AE801" s="15">
        <f>Table3[[#This Row],[PrimaComercial Anual Asistencia]]</f>
        <v>5221.2</v>
      </c>
      <c r="AG801">
        <v>5221.2</v>
      </c>
    </row>
    <row r="802" spans="1:33" x14ac:dyDescent="0.25">
      <c r="A802" t="s">
        <v>18</v>
      </c>
      <c r="B802">
        <v>700001</v>
      </c>
      <c r="C802">
        <v>7</v>
      </c>
      <c r="D802" s="2">
        <f>Table3[[#This Row],[PrimaTécnica]]-Table3[[#This Row],[PrimaTécnica]]*SUM(Table3[[#This Row],[Gastos Adm]:[Cobranza]])</f>
        <v>2256.0820581312</v>
      </c>
      <c r="E802">
        <v>0</v>
      </c>
      <c r="F802">
        <v>0.15</v>
      </c>
      <c r="G802">
        <v>0.05</v>
      </c>
      <c r="H802">
        <v>0.01</v>
      </c>
      <c r="I802">
        <v>0.01</v>
      </c>
      <c r="J802" s="8">
        <f>Table3[[#This Row],[PrimaTécnica]]*Table3[[#This Row],[Gastos Adm]]</f>
        <v>433.86193425599998</v>
      </c>
      <c r="K802" s="8">
        <f>Table3[[#This Row],[PrimaTécnica]]*Table3[[#This Row],[Utilidad]]</f>
        <v>144.620644752</v>
      </c>
      <c r="L802" s="8">
        <f>Table3[[#This Row],[PrimaTécnica]]*Table3[[#This Row],[Marketing]]</f>
        <v>28.9241289504</v>
      </c>
      <c r="M802" s="8">
        <f>Table3[[#This Row],[PrimaTécnica]]*Table3[[#This Row],[Cobranza]]</f>
        <v>28.9241289504</v>
      </c>
      <c r="N80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802">
        <v>21.84</v>
      </c>
      <c r="P802">
        <v>54.6</v>
      </c>
      <c r="Q802">
        <v>80.64</v>
      </c>
      <c r="R802">
        <v>44.377200000000002</v>
      </c>
      <c r="S802">
        <v>0.2</v>
      </c>
      <c r="T802">
        <v>0.02</v>
      </c>
      <c r="U802" s="8">
        <f>Table3[[#This Row],[PrimaNeta]]*Table3[[#This Row],[Comisión]]</f>
        <v>773.46752375999995</v>
      </c>
      <c r="V802" s="15">
        <f>Table3[[#This Row],[PrimaComercial Anual]]-Table3[[#This Row],[PrimaComercial Anual]]*SUM(Table3[[#This Row],[APS]:[IVA]])</f>
        <v>3867.3376187999997</v>
      </c>
      <c r="W802" s="2">
        <v>1.4800000000000001E-2</v>
      </c>
      <c r="X802" s="2">
        <v>8.4501000000000007E-2</v>
      </c>
      <c r="Y802">
        <v>0.03</v>
      </c>
      <c r="Z802">
        <v>0.13</v>
      </c>
      <c r="AA802" s="20">
        <f>Table3[[#This Row],[APS]]*Table3[[#This Row],[PrimaComercial Anual]]</f>
        <v>77.273759999999996</v>
      </c>
      <c r="AB802" s="8">
        <f>Table3[[#This Row],[PrimaComercial Anual]]*Table3[[#This Row],[Recargo adicional]]</f>
        <v>441.19662120000004</v>
      </c>
      <c r="AC802" s="8">
        <f>Table3[[#This Row],[PrimaComercial Anual]]*Table3[[#This Row],[IT]]</f>
        <v>156.636</v>
      </c>
      <c r="AD802" s="8">
        <f>Table3[[#This Row],[PrimaComercial Anual]]*Table3[[#This Row],[IVA]]</f>
        <v>678.75599999999997</v>
      </c>
      <c r="AE802" s="15">
        <f>Table3[[#This Row],[PrimaComercial Anual Asistencia]]</f>
        <v>5221.2</v>
      </c>
      <c r="AG802">
        <v>5221.2</v>
      </c>
    </row>
    <row r="803" spans="1:33" x14ac:dyDescent="0.25">
      <c r="A803" t="s">
        <v>18</v>
      </c>
      <c r="B803">
        <v>700001</v>
      </c>
      <c r="C803">
        <v>8</v>
      </c>
      <c r="D803" s="2">
        <f>Table3[[#This Row],[PrimaTécnica]]-Table3[[#This Row],[PrimaTécnica]]*SUM(Table3[[#This Row],[Gastos Adm]:[Cobranza]])</f>
        <v>2256.0820581312</v>
      </c>
      <c r="E803">
        <v>0</v>
      </c>
      <c r="F803">
        <v>0.15</v>
      </c>
      <c r="G803">
        <v>0.05</v>
      </c>
      <c r="H803">
        <v>0.01</v>
      </c>
      <c r="I803">
        <v>0.01</v>
      </c>
      <c r="J803" s="8">
        <f>Table3[[#This Row],[PrimaTécnica]]*Table3[[#This Row],[Gastos Adm]]</f>
        <v>433.86193425599998</v>
      </c>
      <c r="K803" s="8">
        <f>Table3[[#This Row],[PrimaTécnica]]*Table3[[#This Row],[Utilidad]]</f>
        <v>144.620644752</v>
      </c>
      <c r="L803" s="8">
        <f>Table3[[#This Row],[PrimaTécnica]]*Table3[[#This Row],[Marketing]]</f>
        <v>28.9241289504</v>
      </c>
      <c r="M803" s="8">
        <f>Table3[[#This Row],[PrimaTécnica]]*Table3[[#This Row],[Cobranza]]</f>
        <v>28.9241289504</v>
      </c>
      <c r="N80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803">
        <v>21.84</v>
      </c>
      <c r="P803">
        <v>54.6</v>
      </c>
      <c r="Q803">
        <v>80.64</v>
      </c>
      <c r="R803">
        <v>44.377200000000002</v>
      </c>
      <c r="S803">
        <v>0.2</v>
      </c>
      <c r="T803">
        <v>0.02</v>
      </c>
      <c r="U803" s="8">
        <f>Table3[[#This Row],[PrimaNeta]]*Table3[[#This Row],[Comisión]]</f>
        <v>773.46752375999995</v>
      </c>
      <c r="V803" s="15">
        <f>Table3[[#This Row],[PrimaComercial Anual]]-Table3[[#This Row],[PrimaComercial Anual]]*SUM(Table3[[#This Row],[APS]:[IVA]])</f>
        <v>3867.3376187999997</v>
      </c>
      <c r="W803" s="2">
        <v>1.4800000000000001E-2</v>
      </c>
      <c r="X803" s="2">
        <v>8.4501000000000007E-2</v>
      </c>
      <c r="Y803">
        <v>0.03</v>
      </c>
      <c r="Z803">
        <v>0.13</v>
      </c>
      <c r="AA803" s="20">
        <f>Table3[[#This Row],[APS]]*Table3[[#This Row],[PrimaComercial Anual]]</f>
        <v>77.273759999999996</v>
      </c>
      <c r="AB803" s="8">
        <f>Table3[[#This Row],[PrimaComercial Anual]]*Table3[[#This Row],[Recargo adicional]]</f>
        <v>441.19662120000004</v>
      </c>
      <c r="AC803" s="8">
        <f>Table3[[#This Row],[PrimaComercial Anual]]*Table3[[#This Row],[IT]]</f>
        <v>156.636</v>
      </c>
      <c r="AD803" s="8">
        <f>Table3[[#This Row],[PrimaComercial Anual]]*Table3[[#This Row],[IVA]]</f>
        <v>678.75599999999997</v>
      </c>
      <c r="AE803" s="15">
        <f>Table3[[#This Row],[PrimaComercial Anual Asistencia]]</f>
        <v>5221.2</v>
      </c>
      <c r="AG803">
        <v>5221.2</v>
      </c>
    </row>
    <row r="804" spans="1:33" x14ac:dyDescent="0.25">
      <c r="A804" t="s">
        <v>18</v>
      </c>
      <c r="B804">
        <v>700001</v>
      </c>
      <c r="C804">
        <v>9</v>
      </c>
      <c r="D804" s="2">
        <f>Table3[[#This Row],[PrimaTécnica]]-Table3[[#This Row],[PrimaTécnica]]*SUM(Table3[[#This Row],[Gastos Adm]:[Cobranza]])</f>
        <v>2256.0820581312</v>
      </c>
      <c r="E804">
        <v>0</v>
      </c>
      <c r="F804">
        <v>0.15</v>
      </c>
      <c r="G804">
        <v>0.05</v>
      </c>
      <c r="H804">
        <v>0.01</v>
      </c>
      <c r="I804">
        <v>0.01</v>
      </c>
      <c r="J804" s="8">
        <f>Table3[[#This Row],[PrimaTécnica]]*Table3[[#This Row],[Gastos Adm]]</f>
        <v>433.86193425599998</v>
      </c>
      <c r="K804" s="8">
        <f>Table3[[#This Row],[PrimaTécnica]]*Table3[[#This Row],[Utilidad]]</f>
        <v>144.620644752</v>
      </c>
      <c r="L804" s="8">
        <f>Table3[[#This Row],[PrimaTécnica]]*Table3[[#This Row],[Marketing]]</f>
        <v>28.9241289504</v>
      </c>
      <c r="M804" s="8">
        <f>Table3[[#This Row],[PrimaTécnica]]*Table3[[#This Row],[Cobranza]]</f>
        <v>28.9241289504</v>
      </c>
      <c r="N80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804">
        <v>21.84</v>
      </c>
      <c r="P804">
        <v>54.6</v>
      </c>
      <c r="Q804">
        <v>80.64</v>
      </c>
      <c r="R804">
        <v>44.377200000000002</v>
      </c>
      <c r="S804">
        <v>0.2</v>
      </c>
      <c r="T804">
        <v>0.02</v>
      </c>
      <c r="U804" s="8">
        <f>Table3[[#This Row],[PrimaNeta]]*Table3[[#This Row],[Comisión]]</f>
        <v>773.46752375999995</v>
      </c>
      <c r="V804" s="15">
        <f>Table3[[#This Row],[PrimaComercial Anual]]-Table3[[#This Row],[PrimaComercial Anual]]*SUM(Table3[[#This Row],[APS]:[IVA]])</f>
        <v>3867.3376187999997</v>
      </c>
      <c r="W804" s="2">
        <v>1.4800000000000001E-2</v>
      </c>
      <c r="X804" s="2">
        <v>8.4501000000000007E-2</v>
      </c>
      <c r="Y804">
        <v>0.03</v>
      </c>
      <c r="Z804">
        <v>0.13</v>
      </c>
      <c r="AA804" s="20">
        <f>Table3[[#This Row],[APS]]*Table3[[#This Row],[PrimaComercial Anual]]</f>
        <v>77.273759999999996</v>
      </c>
      <c r="AB804" s="8">
        <f>Table3[[#This Row],[PrimaComercial Anual]]*Table3[[#This Row],[Recargo adicional]]</f>
        <v>441.19662120000004</v>
      </c>
      <c r="AC804" s="8">
        <f>Table3[[#This Row],[PrimaComercial Anual]]*Table3[[#This Row],[IT]]</f>
        <v>156.636</v>
      </c>
      <c r="AD804" s="8">
        <f>Table3[[#This Row],[PrimaComercial Anual]]*Table3[[#This Row],[IVA]]</f>
        <v>678.75599999999997</v>
      </c>
      <c r="AE804" s="15">
        <f>Table3[[#This Row],[PrimaComercial Anual Asistencia]]</f>
        <v>5221.2</v>
      </c>
      <c r="AG804">
        <v>5221.2</v>
      </c>
    </row>
    <row r="805" spans="1:33" x14ac:dyDescent="0.25">
      <c r="A805" t="s">
        <v>18</v>
      </c>
      <c r="B805">
        <v>700001</v>
      </c>
      <c r="C805">
        <v>10</v>
      </c>
      <c r="D805" s="2">
        <f>Table3[[#This Row],[PrimaTécnica]]-Table3[[#This Row],[PrimaTécnica]]*SUM(Table3[[#This Row],[Gastos Adm]:[Cobranza]])</f>
        <v>2256.0820581312</v>
      </c>
      <c r="E805">
        <v>0</v>
      </c>
      <c r="F805">
        <v>0.15</v>
      </c>
      <c r="G805">
        <v>0.05</v>
      </c>
      <c r="H805">
        <v>0.01</v>
      </c>
      <c r="I805">
        <v>0.01</v>
      </c>
      <c r="J805" s="8">
        <f>Table3[[#This Row],[PrimaTécnica]]*Table3[[#This Row],[Gastos Adm]]</f>
        <v>433.86193425599998</v>
      </c>
      <c r="K805" s="8">
        <f>Table3[[#This Row],[PrimaTécnica]]*Table3[[#This Row],[Utilidad]]</f>
        <v>144.620644752</v>
      </c>
      <c r="L805" s="8">
        <f>Table3[[#This Row],[PrimaTécnica]]*Table3[[#This Row],[Marketing]]</f>
        <v>28.9241289504</v>
      </c>
      <c r="M805" s="8">
        <f>Table3[[#This Row],[PrimaTécnica]]*Table3[[#This Row],[Cobranza]]</f>
        <v>28.9241289504</v>
      </c>
      <c r="N80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805">
        <v>21.84</v>
      </c>
      <c r="P805">
        <v>54.6</v>
      </c>
      <c r="Q805">
        <v>80.64</v>
      </c>
      <c r="R805">
        <v>44.377200000000002</v>
      </c>
      <c r="S805">
        <v>0.2</v>
      </c>
      <c r="T805">
        <v>0.02</v>
      </c>
      <c r="U805" s="8">
        <f>Table3[[#This Row],[PrimaNeta]]*Table3[[#This Row],[Comisión]]</f>
        <v>773.46752375999995</v>
      </c>
      <c r="V805" s="15">
        <f>Table3[[#This Row],[PrimaComercial Anual]]-Table3[[#This Row],[PrimaComercial Anual]]*SUM(Table3[[#This Row],[APS]:[IVA]])</f>
        <v>3867.3376187999997</v>
      </c>
      <c r="W805" s="2">
        <v>1.4800000000000001E-2</v>
      </c>
      <c r="X805" s="2">
        <v>8.4501000000000007E-2</v>
      </c>
      <c r="Y805">
        <v>0.03</v>
      </c>
      <c r="Z805">
        <v>0.13</v>
      </c>
      <c r="AA805" s="20">
        <f>Table3[[#This Row],[APS]]*Table3[[#This Row],[PrimaComercial Anual]]</f>
        <v>77.273759999999996</v>
      </c>
      <c r="AB805" s="8">
        <f>Table3[[#This Row],[PrimaComercial Anual]]*Table3[[#This Row],[Recargo adicional]]</f>
        <v>441.19662120000004</v>
      </c>
      <c r="AC805" s="8">
        <f>Table3[[#This Row],[PrimaComercial Anual]]*Table3[[#This Row],[IT]]</f>
        <v>156.636</v>
      </c>
      <c r="AD805" s="8">
        <f>Table3[[#This Row],[PrimaComercial Anual]]*Table3[[#This Row],[IVA]]</f>
        <v>678.75599999999997</v>
      </c>
      <c r="AE805" s="15">
        <f>Table3[[#This Row],[PrimaComercial Anual Asistencia]]</f>
        <v>5221.2</v>
      </c>
      <c r="AG805">
        <v>5221.2</v>
      </c>
    </row>
    <row r="806" spans="1:33" x14ac:dyDescent="0.25">
      <c r="A806" t="s">
        <v>18</v>
      </c>
      <c r="B806">
        <v>700001</v>
      </c>
      <c r="C806">
        <v>11</v>
      </c>
      <c r="D806" s="2">
        <f>Table3[[#This Row],[PrimaTécnica]]-Table3[[#This Row],[PrimaTécnica]]*SUM(Table3[[#This Row],[Gastos Adm]:[Cobranza]])</f>
        <v>2256.0820581312</v>
      </c>
      <c r="E806">
        <v>0</v>
      </c>
      <c r="F806">
        <v>0.15</v>
      </c>
      <c r="G806">
        <v>0.05</v>
      </c>
      <c r="H806">
        <v>0.01</v>
      </c>
      <c r="I806">
        <v>0.01</v>
      </c>
      <c r="J806" s="8">
        <f>Table3[[#This Row],[PrimaTécnica]]*Table3[[#This Row],[Gastos Adm]]</f>
        <v>433.86193425599998</v>
      </c>
      <c r="K806" s="8">
        <f>Table3[[#This Row],[PrimaTécnica]]*Table3[[#This Row],[Utilidad]]</f>
        <v>144.620644752</v>
      </c>
      <c r="L806" s="8">
        <f>Table3[[#This Row],[PrimaTécnica]]*Table3[[#This Row],[Marketing]]</f>
        <v>28.9241289504</v>
      </c>
      <c r="M806" s="8">
        <f>Table3[[#This Row],[PrimaTécnica]]*Table3[[#This Row],[Cobranza]]</f>
        <v>28.9241289504</v>
      </c>
      <c r="N80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806">
        <v>21.84</v>
      </c>
      <c r="P806">
        <v>54.6</v>
      </c>
      <c r="Q806">
        <v>80.64</v>
      </c>
      <c r="R806">
        <v>44.377200000000002</v>
      </c>
      <c r="S806">
        <v>0.2</v>
      </c>
      <c r="T806">
        <v>0.02</v>
      </c>
      <c r="U806" s="8">
        <f>Table3[[#This Row],[PrimaNeta]]*Table3[[#This Row],[Comisión]]</f>
        <v>773.46752375999995</v>
      </c>
      <c r="V806" s="15">
        <f>Table3[[#This Row],[PrimaComercial Anual]]-Table3[[#This Row],[PrimaComercial Anual]]*SUM(Table3[[#This Row],[APS]:[IVA]])</f>
        <v>3867.3376187999997</v>
      </c>
      <c r="W806" s="2">
        <v>1.4800000000000001E-2</v>
      </c>
      <c r="X806" s="2">
        <v>8.4501000000000007E-2</v>
      </c>
      <c r="Y806">
        <v>0.03</v>
      </c>
      <c r="Z806">
        <v>0.13</v>
      </c>
      <c r="AA806" s="20">
        <f>Table3[[#This Row],[APS]]*Table3[[#This Row],[PrimaComercial Anual]]</f>
        <v>77.273759999999996</v>
      </c>
      <c r="AB806" s="8">
        <f>Table3[[#This Row],[PrimaComercial Anual]]*Table3[[#This Row],[Recargo adicional]]</f>
        <v>441.19662120000004</v>
      </c>
      <c r="AC806" s="8">
        <f>Table3[[#This Row],[PrimaComercial Anual]]*Table3[[#This Row],[IT]]</f>
        <v>156.636</v>
      </c>
      <c r="AD806" s="8">
        <f>Table3[[#This Row],[PrimaComercial Anual]]*Table3[[#This Row],[IVA]]</f>
        <v>678.75599999999997</v>
      </c>
      <c r="AE806" s="15">
        <f>Table3[[#This Row],[PrimaComercial Anual Asistencia]]</f>
        <v>5221.2</v>
      </c>
      <c r="AG806">
        <v>5221.2</v>
      </c>
    </row>
    <row r="807" spans="1:33" x14ac:dyDescent="0.25">
      <c r="A807" t="s">
        <v>18</v>
      </c>
      <c r="B807">
        <v>700001</v>
      </c>
      <c r="C807">
        <v>12</v>
      </c>
      <c r="D807" s="2">
        <f>Table3[[#This Row],[PrimaTécnica]]-Table3[[#This Row],[PrimaTécnica]]*SUM(Table3[[#This Row],[Gastos Adm]:[Cobranza]])</f>
        <v>2256.0820581312</v>
      </c>
      <c r="E807">
        <v>0</v>
      </c>
      <c r="F807">
        <v>0.15</v>
      </c>
      <c r="G807">
        <v>0.05</v>
      </c>
      <c r="H807">
        <v>0.01</v>
      </c>
      <c r="I807">
        <v>0.01</v>
      </c>
      <c r="J807" s="8">
        <f>Table3[[#This Row],[PrimaTécnica]]*Table3[[#This Row],[Gastos Adm]]</f>
        <v>433.86193425599998</v>
      </c>
      <c r="K807" s="8">
        <f>Table3[[#This Row],[PrimaTécnica]]*Table3[[#This Row],[Utilidad]]</f>
        <v>144.620644752</v>
      </c>
      <c r="L807" s="8">
        <f>Table3[[#This Row],[PrimaTécnica]]*Table3[[#This Row],[Marketing]]</f>
        <v>28.9241289504</v>
      </c>
      <c r="M807" s="8">
        <f>Table3[[#This Row],[PrimaTécnica]]*Table3[[#This Row],[Cobranza]]</f>
        <v>28.9241289504</v>
      </c>
      <c r="N80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807">
        <v>21.84</v>
      </c>
      <c r="P807">
        <v>54.6</v>
      </c>
      <c r="Q807">
        <v>80.64</v>
      </c>
      <c r="R807">
        <v>44.377200000000002</v>
      </c>
      <c r="S807">
        <v>0.2</v>
      </c>
      <c r="T807">
        <v>0.02</v>
      </c>
      <c r="U807" s="8">
        <f>Table3[[#This Row],[PrimaNeta]]*Table3[[#This Row],[Comisión]]</f>
        <v>773.46752375999995</v>
      </c>
      <c r="V807" s="15">
        <f>Table3[[#This Row],[PrimaComercial Anual]]-Table3[[#This Row],[PrimaComercial Anual]]*SUM(Table3[[#This Row],[APS]:[IVA]])</f>
        <v>3867.3376187999997</v>
      </c>
      <c r="W807" s="2">
        <v>1.4800000000000001E-2</v>
      </c>
      <c r="X807" s="2">
        <v>8.4501000000000007E-2</v>
      </c>
      <c r="Y807">
        <v>0.03</v>
      </c>
      <c r="Z807">
        <v>0.13</v>
      </c>
      <c r="AA807" s="20">
        <f>Table3[[#This Row],[APS]]*Table3[[#This Row],[PrimaComercial Anual]]</f>
        <v>77.273759999999996</v>
      </c>
      <c r="AB807" s="8">
        <f>Table3[[#This Row],[PrimaComercial Anual]]*Table3[[#This Row],[Recargo adicional]]</f>
        <v>441.19662120000004</v>
      </c>
      <c r="AC807" s="8">
        <f>Table3[[#This Row],[PrimaComercial Anual]]*Table3[[#This Row],[IT]]</f>
        <v>156.636</v>
      </c>
      <c r="AD807" s="8">
        <f>Table3[[#This Row],[PrimaComercial Anual]]*Table3[[#This Row],[IVA]]</f>
        <v>678.75599999999997</v>
      </c>
      <c r="AE807" s="15">
        <f>Table3[[#This Row],[PrimaComercial Anual Asistencia]]</f>
        <v>5221.2</v>
      </c>
      <c r="AG807">
        <v>5221.2</v>
      </c>
    </row>
    <row r="808" spans="1:33" x14ac:dyDescent="0.25">
      <c r="A808" t="s">
        <v>18</v>
      </c>
      <c r="B808">
        <v>700001</v>
      </c>
      <c r="C808">
        <v>13</v>
      </c>
      <c r="D808" s="2">
        <f>Table3[[#This Row],[PrimaTécnica]]-Table3[[#This Row],[PrimaTécnica]]*SUM(Table3[[#This Row],[Gastos Adm]:[Cobranza]])</f>
        <v>2256.0820581312</v>
      </c>
      <c r="E808">
        <v>0</v>
      </c>
      <c r="F808">
        <v>0.15</v>
      </c>
      <c r="G808">
        <v>0.05</v>
      </c>
      <c r="H808">
        <v>0.01</v>
      </c>
      <c r="I808">
        <v>0.01</v>
      </c>
      <c r="J808" s="8">
        <f>Table3[[#This Row],[PrimaTécnica]]*Table3[[#This Row],[Gastos Adm]]</f>
        <v>433.86193425599998</v>
      </c>
      <c r="K808" s="8">
        <f>Table3[[#This Row],[PrimaTécnica]]*Table3[[#This Row],[Utilidad]]</f>
        <v>144.620644752</v>
      </c>
      <c r="L808" s="8">
        <f>Table3[[#This Row],[PrimaTécnica]]*Table3[[#This Row],[Marketing]]</f>
        <v>28.9241289504</v>
      </c>
      <c r="M808" s="8">
        <f>Table3[[#This Row],[PrimaTécnica]]*Table3[[#This Row],[Cobranza]]</f>
        <v>28.9241289504</v>
      </c>
      <c r="N80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808">
        <v>21.84</v>
      </c>
      <c r="P808">
        <v>54.6</v>
      </c>
      <c r="Q808">
        <v>80.64</v>
      </c>
      <c r="R808">
        <v>44.377200000000002</v>
      </c>
      <c r="S808">
        <v>0.2</v>
      </c>
      <c r="T808">
        <v>0.02</v>
      </c>
      <c r="U808" s="8">
        <f>Table3[[#This Row],[PrimaNeta]]*Table3[[#This Row],[Comisión]]</f>
        <v>773.46752375999995</v>
      </c>
      <c r="V808" s="15">
        <f>Table3[[#This Row],[PrimaComercial Anual]]-Table3[[#This Row],[PrimaComercial Anual]]*SUM(Table3[[#This Row],[APS]:[IVA]])</f>
        <v>3867.3376187999997</v>
      </c>
      <c r="W808" s="2">
        <v>1.4800000000000001E-2</v>
      </c>
      <c r="X808" s="2">
        <v>8.4501000000000007E-2</v>
      </c>
      <c r="Y808">
        <v>0.03</v>
      </c>
      <c r="Z808">
        <v>0.13</v>
      </c>
      <c r="AA808" s="20">
        <f>Table3[[#This Row],[APS]]*Table3[[#This Row],[PrimaComercial Anual]]</f>
        <v>77.273759999999996</v>
      </c>
      <c r="AB808" s="8">
        <f>Table3[[#This Row],[PrimaComercial Anual]]*Table3[[#This Row],[Recargo adicional]]</f>
        <v>441.19662120000004</v>
      </c>
      <c r="AC808" s="8">
        <f>Table3[[#This Row],[PrimaComercial Anual]]*Table3[[#This Row],[IT]]</f>
        <v>156.636</v>
      </c>
      <c r="AD808" s="8">
        <f>Table3[[#This Row],[PrimaComercial Anual]]*Table3[[#This Row],[IVA]]</f>
        <v>678.75599999999997</v>
      </c>
      <c r="AE808" s="15">
        <f>Table3[[#This Row],[PrimaComercial Anual Asistencia]]</f>
        <v>5221.2</v>
      </c>
      <c r="AG808">
        <v>5221.2</v>
      </c>
    </row>
    <row r="809" spans="1:33" x14ac:dyDescent="0.25">
      <c r="A809" t="s">
        <v>18</v>
      </c>
      <c r="B809">
        <v>700001</v>
      </c>
      <c r="C809">
        <v>14</v>
      </c>
      <c r="D809" s="2">
        <f>Table3[[#This Row],[PrimaTécnica]]-Table3[[#This Row],[PrimaTécnica]]*SUM(Table3[[#This Row],[Gastos Adm]:[Cobranza]])</f>
        <v>2256.0820581312</v>
      </c>
      <c r="E809">
        <v>0</v>
      </c>
      <c r="F809">
        <v>0.15</v>
      </c>
      <c r="G809">
        <v>0.05</v>
      </c>
      <c r="H809">
        <v>0.01</v>
      </c>
      <c r="I809">
        <v>0.01</v>
      </c>
      <c r="J809" s="8">
        <f>Table3[[#This Row],[PrimaTécnica]]*Table3[[#This Row],[Gastos Adm]]</f>
        <v>433.86193425599998</v>
      </c>
      <c r="K809" s="8">
        <f>Table3[[#This Row],[PrimaTécnica]]*Table3[[#This Row],[Utilidad]]</f>
        <v>144.620644752</v>
      </c>
      <c r="L809" s="8">
        <f>Table3[[#This Row],[PrimaTécnica]]*Table3[[#This Row],[Marketing]]</f>
        <v>28.9241289504</v>
      </c>
      <c r="M809" s="8">
        <f>Table3[[#This Row],[PrimaTécnica]]*Table3[[#This Row],[Cobranza]]</f>
        <v>28.9241289504</v>
      </c>
      <c r="N80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809">
        <v>21.84</v>
      </c>
      <c r="P809">
        <v>54.6</v>
      </c>
      <c r="Q809">
        <v>80.64</v>
      </c>
      <c r="R809">
        <v>44.377200000000002</v>
      </c>
      <c r="S809">
        <v>0.2</v>
      </c>
      <c r="T809">
        <v>0.02</v>
      </c>
      <c r="U809" s="8">
        <f>Table3[[#This Row],[PrimaNeta]]*Table3[[#This Row],[Comisión]]</f>
        <v>773.46752375999995</v>
      </c>
      <c r="V809" s="15">
        <f>Table3[[#This Row],[PrimaComercial Anual]]-Table3[[#This Row],[PrimaComercial Anual]]*SUM(Table3[[#This Row],[APS]:[IVA]])</f>
        <v>3867.3376187999997</v>
      </c>
      <c r="W809" s="2">
        <v>1.4800000000000001E-2</v>
      </c>
      <c r="X809" s="2">
        <v>8.4501000000000007E-2</v>
      </c>
      <c r="Y809">
        <v>0.03</v>
      </c>
      <c r="Z809">
        <v>0.13</v>
      </c>
      <c r="AA809" s="20">
        <f>Table3[[#This Row],[APS]]*Table3[[#This Row],[PrimaComercial Anual]]</f>
        <v>77.273759999999996</v>
      </c>
      <c r="AB809" s="8">
        <f>Table3[[#This Row],[PrimaComercial Anual]]*Table3[[#This Row],[Recargo adicional]]</f>
        <v>441.19662120000004</v>
      </c>
      <c r="AC809" s="8">
        <f>Table3[[#This Row],[PrimaComercial Anual]]*Table3[[#This Row],[IT]]</f>
        <v>156.636</v>
      </c>
      <c r="AD809" s="8">
        <f>Table3[[#This Row],[PrimaComercial Anual]]*Table3[[#This Row],[IVA]]</f>
        <v>678.75599999999997</v>
      </c>
      <c r="AE809" s="15">
        <f>Table3[[#This Row],[PrimaComercial Anual Asistencia]]</f>
        <v>5221.2</v>
      </c>
      <c r="AG809">
        <v>5221.2</v>
      </c>
    </row>
    <row r="810" spans="1:33" x14ac:dyDescent="0.25">
      <c r="A810" t="s">
        <v>18</v>
      </c>
      <c r="B810">
        <v>700001</v>
      </c>
      <c r="C810">
        <v>15</v>
      </c>
      <c r="D810" s="2">
        <f>Table3[[#This Row],[PrimaTécnica]]-Table3[[#This Row],[PrimaTécnica]]*SUM(Table3[[#This Row],[Gastos Adm]:[Cobranza]])</f>
        <v>2256.0820581312</v>
      </c>
      <c r="E810">
        <v>0</v>
      </c>
      <c r="F810">
        <v>0.15</v>
      </c>
      <c r="G810">
        <v>0.05</v>
      </c>
      <c r="H810">
        <v>0.01</v>
      </c>
      <c r="I810">
        <v>0.01</v>
      </c>
      <c r="J810" s="8">
        <f>Table3[[#This Row],[PrimaTécnica]]*Table3[[#This Row],[Gastos Adm]]</f>
        <v>433.86193425599998</v>
      </c>
      <c r="K810" s="8">
        <f>Table3[[#This Row],[PrimaTécnica]]*Table3[[#This Row],[Utilidad]]</f>
        <v>144.620644752</v>
      </c>
      <c r="L810" s="8">
        <f>Table3[[#This Row],[PrimaTécnica]]*Table3[[#This Row],[Marketing]]</f>
        <v>28.9241289504</v>
      </c>
      <c r="M810" s="8">
        <f>Table3[[#This Row],[PrimaTécnica]]*Table3[[#This Row],[Cobranza]]</f>
        <v>28.9241289504</v>
      </c>
      <c r="N81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810">
        <v>21.84</v>
      </c>
      <c r="P810">
        <v>54.6</v>
      </c>
      <c r="Q810">
        <v>80.64</v>
      </c>
      <c r="R810">
        <v>44.377200000000002</v>
      </c>
      <c r="S810">
        <v>0.2</v>
      </c>
      <c r="T810">
        <v>0.02</v>
      </c>
      <c r="U810" s="8">
        <f>Table3[[#This Row],[PrimaNeta]]*Table3[[#This Row],[Comisión]]</f>
        <v>773.46752375999995</v>
      </c>
      <c r="V810" s="15">
        <f>Table3[[#This Row],[PrimaComercial Anual]]-Table3[[#This Row],[PrimaComercial Anual]]*SUM(Table3[[#This Row],[APS]:[IVA]])</f>
        <v>3867.3376187999997</v>
      </c>
      <c r="W810" s="2">
        <v>1.4800000000000001E-2</v>
      </c>
      <c r="X810" s="2">
        <v>8.4501000000000007E-2</v>
      </c>
      <c r="Y810">
        <v>0.03</v>
      </c>
      <c r="Z810">
        <v>0.13</v>
      </c>
      <c r="AA810" s="20">
        <f>Table3[[#This Row],[APS]]*Table3[[#This Row],[PrimaComercial Anual]]</f>
        <v>77.273759999999996</v>
      </c>
      <c r="AB810" s="8">
        <f>Table3[[#This Row],[PrimaComercial Anual]]*Table3[[#This Row],[Recargo adicional]]</f>
        <v>441.19662120000004</v>
      </c>
      <c r="AC810" s="8">
        <f>Table3[[#This Row],[PrimaComercial Anual]]*Table3[[#This Row],[IT]]</f>
        <v>156.636</v>
      </c>
      <c r="AD810" s="8">
        <f>Table3[[#This Row],[PrimaComercial Anual]]*Table3[[#This Row],[IVA]]</f>
        <v>678.75599999999997</v>
      </c>
      <c r="AE810" s="15">
        <f>Table3[[#This Row],[PrimaComercial Anual Asistencia]]</f>
        <v>5221.2</v>
      </c>
      <c r="AG810">
        <v>5221.2</v>
      </c>
    </row>
    <row r="811" spans="1:33" x14ac:dyDescent="0.25">
      <c r="A811" t="s">
        <v>18</v>
      </c>
      <c r="B811">
        <v>700001</v>
      </c>
      <c r="C811">
        <v>16</v>
      </c>
      <c r="D811" s="2">
        <f>Table3[[#This Row],[PrimaTécnica]]-Table3[[#This Row],[PrimaTécnica]]*SUM(Table3[[#This Row],[Gastos Adm]:[Cobranza]])</f>
        <v>2256.0820581312</v>
      </c>
      <c r="E811">
        <v>0</v>
      </c>
      <c r="F811">
        <v>0.15</v>
      </c>
      <c r="G811">
        <v>0.05</v>
      </c>
      <c r="H811">
        <v>0.01</v>
      </c>
      <c r="I811">
        <v>0.01</v>
      </c>
      <c r="J811" s="8">
        <f>Table3[[#This Row],[PrimaTécnica]]*Table3[[#This Row],[Gastos Adm]]</f>
        <v>433.86193425599998</v>
      </c>
      <c r="K811" s="8">
        <f>Table3[[#This Row],[PrimaTécnica]]*Table3[[#This Row],[Utilidad]]</f>
        <v>144.620644752</v>
      </c>
      <c r="L811" s="8">
        <f>Table3[[#This Row],[PrimaTécnica]]*Table3[[#This Row],[Marketing]]</f>
        <v>28.9241289504</v>
      </c>
      <c r="M811" s="8">
        <f>Table3[[#This Row],[PrimaTécnica]]*Table3[[#This Row],[Cobranza]]</f>
        <v>28.9241289504</v>
      </c>
      <c r="N81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811">
        <v>21.84</v>
      </c>
      <c r="P811">
        <v>54.6</v>
      </c>
      <c r="Q811">
        <v>80.64</v>
      </c>
      <c r="R811">
        <v>44.377200000000002</v>
      </c>
      <c r="S811">
        <v>0.2</v>
      </c>
      <c r="T811">
        <v>0.02</v>
      </c>
      <c r="U811" s="8">
        <f>Table3[[#This Row],[PrimaNeta]]*Table3[[#This Row],[Comisión]]</f>
        <v>773.46752375999995</v>
      </c>
      <c r="V811" s="15">
        <f>Table3[[#This Row],[PrimaComercial Anual]]-Table3[[#This Row],[PrimaComercial Anual]]*SUM(Table3[[#This Row],[APS]:[IVA]])</f>
        <v>3867.3376187999997</v>
      </c>
      <c r="W811" s="2">
        <v>1.4800000000000001E-2</v>
      </c>
      <c r="X811" s="2">
        <v>8.4501000000000007E-2</v>
      </c>
      <c r="Y811">
        <v>0.03</v>
      </c>
      <c r="Z811">
        <v>0.13</v>
      </c>
      <c r="AA811" s="20">
        <f>Table3[[#This Row],[APS]]*Table3[[#This Row],[PrimaComercial Anual]]</f>
        <v>77.273759999999996</v>
      </c>
      <c r="AB811" s="8">
        <f>Table3[[#This Row],[PrimaComercial Anual]]*Table3[[#This Row],[Recargo adicional]]</f>
        <v>441.19662120000004</v>
      </c>
      <c r="AC811" s="8">
        <f>Table3[[#This Row],[PrimaComercial Anual]]*Table3[[#This Row],[IT]]</f>
        <v>156.636</v>
      </c>
      <c r="AD811" s="8">
        <f>Table3[[#This Row],[PrimaComercial Anual]]*Table3[[#This Row],[IVA]]</f>
        <v>678.75599999999997</v>
      </c>
      <c r="AE811" s="15">
        <f>Table3[[#This Row],[PrimaComercial Anual Asistencia]]</f>
        <v>5221.2</v>
      </c>
      <c r="AG811">
        <v>5221.2</v>
      </c>
    </row>
    <row r="812" spans="1:33" x14ac:dyDescent="0.25">
      <c r="A812" t="s">
        <v>18</v>
      </c>
      <c r="B812">
        <v>700001</v>
      </c>
      <c r="C812">
        <v>17</v>
      </c>
      <c r="D812" s="2">
        <f>Table3[[#This Row],[PrimaTécnica]]-Table3[[#This Row],[PrimaTécnica]]*SUM(Table3[[#This Row],[Gastos Adm]:[Cobranza]])</f>
        <v>2256.0820581312</v>
      </c>
      <c r="E812">
        <v>0</v>
      </c>
      <c r="F812">
        <v>0.15</v>
      </c>
      <c r="G812">
        <v>0.05</v>
      </c>
      <c r="H812">
        <v>0.01</v>
      </c>
      <c r="I812">
        <v>0.01</v>
      </c>
      <c r="J812" s="8">
        <f>Table3[[#This Row],[PrimaTécnica]]*Table3[[#This Row],[Gastos Adm]]</f>
        <v>433.86193425599998</v>
      </c>
      <c r="K812" s="8">
        <f>Table3[[#This Row],[PrimaTécnica]]*Table3[[#This Row],[Utilidad]]</f>
        <v>144.620644752</v>
      </c>
      <c r="L812" s="8">
        <f>Table3[[#This Row],[PrimaTécnica]]*Table3[[#This Row],[Marketing]]</f>
        <v>28.9241289504</v>
      </c>
      <c r="M812" s="8">
        <f>Table3[[#This Row],[PrimaTécnica]]*Table3[[#This Row],[Cobranza]]</f>
        <v>28.9241289504</v>
      </c>
      <c r="N81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812">
        <v>21.84</v>
      </c>
      <c r="P812">
        <v>54.6</v>
      </c>
      <c r="Q812">
        <v>80.64</v>
      </c>
      <c r="R812">
        <v>44.377200000000002</v>
      </c>
      <c r="S812">
        <v>0.2</v>
      </c>
      <c r="T812">
        <v>0.02</v>
      </c>
      <c r="U812" s="8">
        <f>Table3[[#This Row],[PrimaNeta]]*Table3[[#This Row],[Comisión]]</f>
        <v>773.46752375999995</v>
      </c>
      <c r="V812" s="15">
        <f>Table3[[#This Row],[PrimaComercial Anual]]-Table3[[#This Row],[PrimaComercial Anual]]*SUM(Table3[[#This Row],[APS]:[IVA]])</f>
        <v>3867.3376187999997</v>
      </c>
      <c r="W812" s="2">
        <v>1.4800000000000001E-2</v>
      </c>
      <c r="X812" s="2">
        <v>8.4501000000000007E-2</v>
      </c>
      <c r="Y812">
        <v>0.03</v>
      </c>
      <c r="Z812">
        <v>0.13</v>
      </c>
      <c r="AA812" s="20">
        <f>Table3[[#This Row],[APS]]*Table3[[#This Row],[PrimaComercial Anual]]</f>
        <v>77.273759999999996</v>
      </c>
      <c r="AB812" s="8">
        <f>Table3[[#This Row],[PrimaComercial Anual]]*Table3[[#This Row],[Recargo adicional]]</f>
        <v>441.19662120000004</v>
      </c>
      <c r="AC812" s="8">
        <f>Table3[[#This Row],[PrimaComercial Anual]]*Table3[[#This Row],[IT]]</f>
        <v>156.636</v>
      </c>
      <c r="AD812" s="8">
        <f>Table3[[#This Row],[PrimaComercial Anual]]*Table3[[#This Row],[IVA]]</f>
        <v>678.75599999999997</v>
      </c>
      <c r="AE812" s="15">
        <f>Table3[[#This Row],[PrimaComercial Anual Asistencia]]</f>
        <v>5221.2</v>
      </c>
      <c r="AG812">
        <v>5221.2</v>
      </c>
    </row>
    <row r="813" spans="1:33" x14ac:dyDescent="0.25">
      <c r="A813" t="s">
        <v>18</v>
      </c>
      <c r="B813">
        <v>700001</v>
      </c>
      <c r="C813">
        <v>18</v>
      </c>
      <c r="D813" s="2">
        <f>Table3[[#This Row],[PrimaTécnica]]-Table3[[#This Row],[PrimaTécnica]]*SUM(Table3[[#This Row],[Gastos Adm]:[Cobranza]])</f>
        <v>2256.0820581312</v>
      </c>
      <c r="E813">
        <v>0</v>
      </c>
      <c r="F813">
        <v>0.15</v>
      </c>
      <c r="G813">
        <v>0.05</v>
      </c>
      <c r="H813">
        <v>0.01</v>
      </c>
      <c r="I813">
        <v>0.01</v>
      </c>
      <c r="J813" s="8">
        <f>Table3[[#This Row],[PrimaTécnica]]*Table3[[#This Row],[Gastos Adm]]</f>
        <v>433.86193425599998</v>
      </c>
      <c r="K813" s="8">
        <f>Table3[[#This Row],[PrimaTécnica]]*Table3[[#This Row],[Utilidad]]</f>
        <v>144.620644752</v>
      </c>
      <c r="L813" s="8">
        <f>Table3[[#This Row],[PrimaTécnica]]*Table3[[#This Row],[Marketing]]</f>
        <v>28.9241289504</v>
      </c>
      <c r="M813" s="8">
        <f>Table3[[#This Row],[PrimaTécnica]]*Table3[[#This Row],[Cobranza]]</f>
        <v>28.9241289504</v>
      </c>
      <c r="N81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813">
        <v>21.84</v>
      </c>
      <c r="P813">
        <v>54.6</v>
      </c>
      <c r="Q813">
        <v>80.64</v>
      </c>
      <c r="R813">
        <v>44.377200000000002</v>
      </c>
      <c r="S813">
        <v>0.2</v>
      </c>
      <c r="T813">
        <v>0.02</v>
      </c>
      <c r="U813" s="8">
        <f>Table3[[#This Row],[PrimaNeta]]*Table3[[#This Row],[Comisión]]</f>
        <v>773.46752375999995</v>
      </c>
      <c r="V813" s="15">
        <f>Table3[[#This Row],[PrimaComercial Anual]]-Table3[[#This Row],[PrimaComercial Anual]]*SUM(Table3[[#This Row],[APS]:[IVA]])</f>
        <v>3867.3376187999997</v>
      </c>
      <c r="W813" s="2">
        <v>1.4800000000000001E-2</v>
      </c>
      <c r="X813" s="2">
        <v>8.4501000000000007E-2</v>
      </c>
      <c r="Y813">
        <v>0.03</v>
      </c>
      <c r="Z813">
        <v>0.13</v>
      </c>
      <c r="AA813" s="20">
        <f>Table3[[#This Row],[APS]]*Table3[[#This Row],[PrimaComercial Anual]]</f>
        <v>77.273759999999996</v>
      </c>
      <c r="AB813" s="8">
        <f>Table3[[#This Row],[PrimaComercial Anual]]*Table3[[#This Row],[Recargo adicional]]</f>
        <v>441.19662120000004</v>
      </c>
      <c r="AC813" s="8">
        <f>Table3[[#This Row],[PrimaComercial Anual]]*Table3[[#This Row],[IT]]</f>
        <v>156.636</v>
      </c>
      <c r="AD813" s="8">
        <f>Table3[[#This Row],[PrimaComercial Anual]]*Table3[[#This Row],[IVA]]</f>
        <v>678.75599999999997</v>
      </c>
      <c r="AE813" s="15">
        <f>Table3[[#This Row],[PrimaComercial Anual Asistencia]]</f>
        <v>5221.2</v>
      </c>
      <c r="AG813">
        <v>5221.2</v>
      </c>
    </row>
    <row r="814" spans="1:33" x14ac:dyDescent="0.25">
      <c r="A814" t="s">
        <v>18</v>
      </c>
      <c r="B814">
        <v>700001</v>
      </c>
      <c r="C814">
        <v>19</v>
      </c>
      <c r="D814" s="2">
        <f>Table3[[#This Row],[PrimaTécnica]]-Table3[[#This Row],[PrimaTécnica]]*SUM(Table3[[#This Row],[Gastos Adm]:[Cobranza]])</f>
        <v>2403.6150775104002</v>
      </c>
      <c r="E814">
        <v>0</v>
      </c>
      <c r="F814">
        <v>0.15</v>
      </c>
      <c r="G814">
        <v>0.05</v>
      </c>
      <c r="H814">
        <v>0.01</v>
      </c>
      <c r="I814">
        <v>0.01</v>
      </c>
      <c r="J814" s="8">
        <f>Table3[[#This Row],[PrimaTécnica]]*Table3[[#This Row],[Gastos Adm]]</f>
        <v>462.23366875200003</v>
      </c>
      <c r="K814" s="8">
        <f>Table3[[#This Row],[PrimaTécnica]]*Table3[[#This Row],[Utilidad]]</f>
        <v>154.07788958400002</v>
      </c>
      <c r="L814" s="8">
        <f>Table3[[#This Row],[PrimaTécnica]]*Table3[[#This Row],[Marketing]]</f>
        <v>30.815577916800002</v>
      </c>
      <c r="M814" s="8">
        <f>Table3[[#This Row],[PrimaTécnica]]*Table3[[#This Row],[Cobranza]]</f>
        <v>30.815577916800002</v>
      </c>
      <c r="N81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814">
        <v>21.84</v>
      </c>
      <c r="P814">
        <v>54.6</v>
      </c>
      <c r="Q814">
        <v>80.64</v>
      </c>
      <c r="R814">
        <v>44.377200000000002</v>
      </c>
      <c r="S814">
        <v>0.2</v>
      </c>
      <c r="T814">
        <v>0.02</v>
      </c>
      <c r="U814" s="8">
        <f>Table3[[#This Row],[PrimaNeta]]*Table3[[#This Row],[Comisión]]</f>
        <v>820.75374792000002</v>
      </c>
      <c r="V814" s="15">
        <f>Table3[[#This Row],[PrimaComercial Anual]]-Table3[[#This Row],[PrimaComercial Anual]]*SUM(Table3[[#This Row],[APS]:[IVA]])</f>
        <v>4103.7687396000001</v>
      </c>
      <c r="W814" s="2">
        <v>1.4800000000000001E-2</v>
      </c>
      <c r="X814" s="2">
        <v>8.4501000000000007E-2</v>
      </c>
      <c r="Y814">
        <v>0.03</v>
      </c>
      <c r="Z814">
        <v>0.13</v>
      </c>
      <c r="AA814" s="20">
        <f>Table3[[#This Row],[APS]]*Table3[[#This Row],[PrimaComercial Anual]]</f>
        <v>81.997919999999993</v>
      </c>
      <c r="AB814" s="8">
        <f>Table3[[#This Row],[PrimaComercial Anual]]*Table3[[#This Row],[Recargo adicional]]</f>
        <v>468.16934040000001</v>
      </c>
      <c r="AC814" s="8">
        <f>Table3[[#This Row],[PrimaComercial Anual]]*Table3[[#This Row],[IT]]</f>
        <v>166.21199999999999</v>
      </c>
      <c r="AD814" s="8">
        <f>Table3[[#This Row],[PrimaComercial Anual]]*Table3[[#This Row],[IVA]]</f>
        <v>720.25199999999995</v>
      </c>
      <c r="AE814" s="15">
        <f>Table3[[#This Row],[PrimaComercial Anual Asistencia]]</f>
        <v>5540.4</v>
      </c>
      <c r="AG814">
        <v>5540.4</v>
      </c>
    </row>
    <row r="815" spans="1:33" x14ac:dyDescent="0.25">
      <c r="A815" t="s">
        <v>18</v>
      </c>
      <c r="B815">
        <v>700001</v>
      </c>
      <c r="C815">
        <v>20</v>
      </c>
      <c r="D815" s="2">
        <f>Table3[[#This Row],[PrimaTécnica]]-Table3[[#This Row],[PrimaTécnica]]*SUM(Table3[[#This Row],[Gastos Adm]:[Cobranza]])</f>
        <v>2403.6150775104002</v>
      </c>
      <c r="E815">
        <v>0</v>
      </c>
      <c r="F815">
        <v>0.15</v>
      </c>
      <c r="G815">
        <v>0.05</v>
      </c>
      <c r="H815">
        <v>0.01</v>
      </c>
      <c r="I815">
        <v>0.01</v>
      </c>
      <c r="J815" s="8">
        <f>Table3[[#This Row],[PrimaTécnica]]*Table3[[#This Row],[Gastos Adm]]</f>
        <v>462.23366875200003</v>
      </c>
      <c r="K815" s="8">
        <f>Table3[[#This Row],[PrimaTécnica]]*Table3[[#This Row],[Utilidad]]</f>
        <v>154.07788958400002</v>
      </c>
      <c r="L815" s="8">
        <f>Table3[[#This Row],[PrimaTécnica]]*Table3[[#This Row],[Marketing]]</f>
        <v>30.815577916800002</v>
      </c>
      <c r="M815" s="8">
        <f>Table3[[#This Row],[PrimaTécnica]]*Table3[[#This Row],[Cobranza]]</f>
        <v>30.815577916800002</v>
      </c>
      <c r="N81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815">
        <v>21.84</v>
      </c>
      <c r="P815">
        <v>54.6</v>
      </c>
      <c r="Q815">
        <v>80.64</v>
      </c>
      <c r="R815">
        <v>44.377200000000002</v>
      </c>
      <c r="S815">
        <v>0.2</v>
      </c>
      <c r="T815">
        <v>0.02</v>
      </c>
      <c r="U815" s="8">
        <f>Table3[[#This Row],[PrimaNeta]]*Table3[[#This Row],[Comisión]]</f>
        <v>820.75374792000002</v>
      </c>
      <c r="V815" s="15">
        <f>Table3[[#This Row],[PrimaComercial Anual]]-Table3[[#This Row],[PrimaComercial Anual]]*SUM(Table3[[#This Row],[APS]:[IVA]])</f>
        <v>4103.7687396000001</v>
      </c>
      <c r="W815" s="2">
        <v>1.4800000000000001E-2</v>
      </c>
      <c r="X815" s="2">
        <v>8.4501000000000007E-2</v>
      </c>
      <c r="Y815">
        <v>0.03</v>
      </c>
      <c r="Z815">
        <v>0.13</v>
      </c>
      <c r="AA815" s="20">
        <f>Table3[[#This Row],[APS]]*Table3[[#This Row],[PrimaComercial Anual]]</f>
        <v>81.997919999999993</v>
      </c>
      <c r="AB815" s="8">
        <f>Table3[[#This Row],[PrimaComercial Anual]]*Table3[[#This Row],[Recargo adicional]]</f>
        <v>468.16934040000001</v>
      </c>
      <c r="AC815" s="8">
        <f>Table3[[#This Row],[PrimaComercial Anual]]*Table3[[#This Row],[IT]]</f>
        <v>166.21199999999999</v>
      </c>
      <c r="AD815" s="8">
        <f>Table3[[#This Row],[PrimaComercial Anual]]*Table3[[#This Row],[IVA]]</f>
        <v>720.25199999999995</v>
      </c>
      <c r="AE815" s="15">
        <f>Table3[[#This Row],[PrimaComercial Anual Asistencia]]</f>
        <v>5540.4</v>
      </c>
      <c r="AG815">
        <v>5540.4</v>
      </c>
    </row>
    <row r="816" spans="1:33" x14ac:dyDescent="0.25">
      <c r="A816" t="s">
        <v>18</v>
      </c>
      <c r="B816">
        <v>700001</v>
      </c>
      <c r="C816">
        <v>21</v>
      </c>
      <c r="D816" s="2">
        <f>Table3[[#This Row],[PrimaTécnica]]-Table3[[#This Row],[PrimaTécnica]]*SUM(Table3[[#This Row],[Gastos Adm]:[Cobranza]])</f>
        <v>2403.6150775104002</v>
      </c>
      <c r="E816">
        <v>0</v>
      </c>
      <c r="F816">
        <v>0.15</v>
      </c>
      <c r="G816">
        <v>0.05</v>
      </c>
      <c r="H816">
        <v>0.01</v>
      </c>
      <c r="I816">
        <v>0.01</v>
      </c>
      <c r="J816" s="8">
        <f>Table3[[#This Row],[PrimaTécnica]]*Table3[[#This Row],[Gastos Adm]]</f>
        <v>462.23366875200003</v>
      </c>
      <c r="K816" s="8">
        <f>Table3[[#This Row],[PrimaTécnica]]*Table3[[#This Row],[Utilidad]]</f>
        <v>154.07788958400002</v>
      </c>
      <c r="L816" s="8">
        <f>Table3[[#This Row],[PrimaTécnica]]*Table3[[#This Row],[Marketing]]</f>
        <v>30.815577916800002</v>
      </c>
      <c r="M816" s="8">
        <f>Table3[[#This Row],[PrimaTécnica]]*Table3[[#This Row],[Cobranza]]</f>
        <v>30.815577916800002</v>
      </c>
      <c r="N81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816">
        <v>21.84</v>
      </c>
      <c r="P816">
        <v>54.6</v>
      </c>
      <c r="Q816">
        <v>80.64</v>
      </c>
      <c r="R816">
        <v>44.377200000000002</v>
      </c>
      <c r="S816">
        <v>0.2</v>
      </c>
      <c r="T816">
        <v>0.02</v>
      </c>
      <c r="U816" s="8">
        <f>Table3[[#This Row],[PrimaNeta]]*Table3[[#This Row],[Comisión]]</f>
        <v>820.75374792000002</v>
      </c>
      <c r="V816" s="15">
        <f>Table3[[#This Row],[PrimaComercial Anual]]-Table3[[#This Row],[PrimaComercial Anual]]*SUM(Table3[[#This Row],[APS]:[IVA]])</f>
        <v>4103.7687396000001</v>
      </c>
      <c r="W816" s="2">
        <v>1.4800000000000001E-2</v>
      </c>
      <c r="X816" s="2">
        <v>8.4501000000000007E-2</v>
      </c>
      <c r="Y816">
        <v>0.03</v>
      </c>
      <c r="Z816">
        <v>0.13</v>
      </c>
      <c r="AA816" s="20">
        <f>Table3[[#This Row],[APS]]*Table3[[#This Row],[PrimaComercial Anual]]</f>
        <v>81.997919999999993</v>
      </c>
      <c r="AB816" s="8">
        <f>Table3[[#This Row],[PrimaComercial Anual]]*Table3[[#This Row],[Recargo adicional]]</f>
        <v>468.16934040000001</v>
      </c>
      <c r="AC816" s="8">
        <f>Table3[[#This Row],[PrimaComercial Anual]]*Table3[[#This Row],[IT]]</f>
        <v>166.21199999999999</v>
      </c>
      <c r="AD816" s="8">
        <f>Table3[[#This Row],[PrimaComercial Anual]]*Table3[[#This Row],[IVA]]</f>
        <v>720.25199999999995</v>
      </c>
      <c r="AE816" s="15">
        <f>Table3[[#This Row],[PrimaComercial Anual Asistencia]]</f>
        <v>5540.4</v>
      </c>
      <c r="AG816">
        <v>5540.4</v>
      </c>
    </row>
    <row r="817" spans="1:33" x14ac:dyDescent="0.25">
      <c r="A817" t="s">
        <v>18</v>
      </c>
      <c r="B817">
        <v>700001</v>
      </c>
      <c r="C817">
        <v>22</v>
      </c>
      <c r="D817" s="2">
        <f>Table3[[#This Row],[PrimaTécnica]]-Table3[[#This Row],[PrimaTécnica]]*SUM(Table3[[#This Row],[Gastos Adm]:[Cobranza]])</f>
        <v>2403.6150775104002</v>
      </c>
      <c r="E817">
        <v>0</v>
      </c>
      <c r="F817">
        <v>0.15</v>
      </c>
      <c r="G817">
        <v>0.05</v>
      </c>
      <c r="H817">
        <v>0.01</v>
      </c>
      <c r="I817">
        <v>0.01</v>
      </c>
      <c r="J817" s="8">
        <f>Table3[[#This Row],[PrimaTécnica]]*Table3[[#This Row],[Gastos Adm]]</f>
        <v>462.23366875200003</v>
      </c>
      <c r="K817" s="8">
        <f>Table3[[#This Row],[PrimaTécnica]]*Table3[[#This Row],[Utilidad]]</f>
        <v>154.07788958400002</v>
      </c>
      <c r="L817" s="8">
        <f>Table3[[#This Row],[PrimaTécnica]]*Table3[[#This Row],[Marketing]]</f>
        <v>30.815577916800002</v>
      </c>
      <c r="M817" s="8">
        <f>Table3[[#This Row],[PrimaTécnica]]*Table3[[#This Row],[Cobranza]]</f>
        <v>30.815577916800002</v>
      </c>
      <c r="N81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817">
        <v>21.84</v>
      </c>
      <c r="P817">
        <v>54.6</v>
      </c>
      <c r="Q817">
        <v>80.64</v>
      </c>
      <c r="R817">
        <v>44.377200000000002</v>
      </c>
      <c r="S817">
        <v>0.2</v>
      </c>
      <c r="T817">
        <v>0.02</v>
      </c>
      <c r="U817" s="8">
        <f>Table3[[#This Row],[PrimaNeta]]*Table3[[#This Row],[Comisión]]</f>
        <v>820.75374792000002</v>
      </c>
      <c r="V817" s="15">
        <f>Table3[[#This Row],[PrimaComercial Anual]]-Table3[[#This Row],[PrimaComercial Anual]]*SUM(Table3[[#This Row],[APS]:[IVA]])</f>
        <v>4103.7687396000001</v>
      </c>
      <c r="W817" s="2">
        <v>1.4800000000000001E-2</v>
      </c>
      <c r="X817" s="2">
        <v>8.4501000000000007E-2</v>
      </c>
      <c r="Y817">
        <v>0.03</v>
      </c>
      <c r="Z817">
        <v>0.13</v>
      </c>
      <c r="AA817" s="20">
        <f>Table3[[#This Row],[APS]]*Table3[[#This Row],[PrimaComercial Anual]]</f>
        <v>81.997919999999993</v>
      </c>
      <c r="AB817" s="8">
        <f>Table3[[#This Row],[PrimaComercial Anual]]*Table3[[#This Row],[Recargo adicional]]</f>
        <v>468.16934040000001</v>
      </c>
      <c r="AC817" s="8">
        <f>Table3[[#This Row],[PrimaComercial Anual]]*Table3[[#This Row],[IT]]</f>
        <v>166.21199999999999</v>
      </c>
      <c r="AD817" s="8">
        <f>Table3[[#This Row],[PrimaComercial Anual]]*Table3[[#This Row],[IVA]]</f>
        <v>720.25199999999995</v>
      </c>
      <c r="AE817" s="15">
        <f>Table3[[#This Row],[PrimaComercial Anual Asistencia]]</f>
        <v>5540.4</v>
      </c>
      <c r="AG817">
        <v>5540.4</v>
      </c>
    </row>
    <row r="818" spans="1:33" x14ac:dyDescent="0.25">
      <c r="A818" t="s">
        <v>18</v>
      </c>
      <c r="B818">
        <v>700001</v>
      </c>
      <c r="C818">
        <v>23</v>
      </c>
      <c r="D818" s="2">
        <f>Table3[[#This Row],[PrimaTécnica]]-Table3[[#This Row],[PrimaTécnica]]*SUM(Table3[[#This Row],[Gastos Adm]:[Cobranza]])</f>
        <v>2403.6150775104002</v>
      </c>
      <c r="E818">
        <v>0</v>
      </c>
      <c r="F818">
        <v>0.15</v>
      </c>
      <c r="G818">
        <v>0.05</v>
      </c>
      <c r="H818">
        <v>0.01</v>
      </c>
      <c r="I818">
        <v>0.01</v>
      </c>
      <c r="J818" s="8">
        <f>Table3[[#This Row],[PrimaTécnica]]*Table3[[#This Row],[Gastos Adm]]</f>
        <v>462.23366875200003</v>
      </c>
      <c r="K818" s="8">
        <f>Table3[[#This Row],[PrimaTécnica]]*Table3[[#This Row],[Utilidad]]</f>
        <v>154.07788958400002</v>
      </c>
      <c r="L818" s="8">
        <f>Table3[[#This Row],[PrimaTécnica]]*Table3[[#This Row],[Marketing]]</f>
        <v>30.815577916800002</v>
      </c>
      <c r="M818" s="8">
        <f>Table3[[#This Row],[PrimaTécnica]]*Table3[[#This Row],[Cobranza]]</f>
        <v>30.815577916800002</v>
      </c>
      <c r="N81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818">
        <v>21.84</v>
      </c>
      <c r="P818">
        <v>54.6</v>
      </c>
      <c r="Q818">
        <v>80.64</v>
      </c>
      <c r="R818">
        <v>44.377200000000002</v>
      </c>
      <c r="S818">
        <v>0.2</v>
      </c>
      <c r="T818">
        <v>0.02</v>
      </c>
      <c r="U818" s="8">
        <f>Table3[[#This Row],[PrimaNeta]]*Table3[[#This Row],[Comisión]]</f>
        <v>820.75374792000002</v>
      </c>
      <c r="V818" s="15">
        <f>Table3[[#This Row],[PrimaComercial Anual]]-Table3[[#This Row],[PrimaComercial Anual]]*SUM(Table3[[#This Row],[APS]:[IVA]])</f>
        <v>4103.7687396000001</v>
      </c>
      <c r="W818" s="2">
        <v>1.4800000000000001E-2</v>
      </c>
      <c r="X818" s="2">
        <v>8.4501000000000007E-2</v>
      </c>
      <c r="Y818">
        <v>0.03</v>
      </c>
      <c r="Z818">
        <v>0.13</v>
      </c>
      <c r="AA818" s="20">
        <f>Table3[[#This Row],[APS]]*Table3[[#This Row],[PrimaComercial Anual]]</f>
        <v>81.997919999999993</v>
      </c>
      <c r="AB818" s="8">
        <f>Table3[[#This Row],[PrimaComercial Anual]]*Table3[[#This Row],[Recargo adicional]]</f>
        <v>468.16934040000001</v>
      </c>
      <c r="AC818" s="8">
        <f>Table3[[#This Row],[PrimaComercial Anual]]*Table3[[#This Row],[IT]]</f>
        <v>166.21199999999999</v>
      </c>
      <c r="AD818" s="8">
        <f>Table3[[#This Row],[PrimaComercial Anual]]*Table3[[#This Row],[IVA]]</f>
        <v>720.25199999999995</v>
      </c>
      <c r="AE818" s="15">
        <f>Table3[[#This Row],[PrimaComercial Anual Asistencia]]</f>
        <v>5540.4</v>
      </c>
      <c r="AG818">
        <v>5540.4</v>
      </c>
    </row>
    <row r="819" spans="1:33" x14ac:dyDescent="0.25">
      <c r="A819" t="s">
        <v>18</v>
      </c>
      <c r="B819">
        <v>700001</v>
      </c>
      <c r="C819">
        <v>24</v>
      </c>
      <c r="D819" s="2">
        <f>Table3[[#This Row],[PrimaTécnica]]-Table3[[#This Row],[PrimaTécnica]]*SUM(Table3[[#This Row],[Gastos Adm]:[Cobranza]])</f>
        <v>2403.6150775104002</v>
      </c>
      <c r="E819">
        <v>0</v>
      </c>
      <c r="F819">
        <v>0.15</v>
      </c>
      <c r="G819">
        <v>0.05</v>
      </c>
      <c r="H819">
        <v>0.01</v>
      </c>
      <c r="I819">
        <v>0.01</v>
      </c>
      <c r="J819" s="8">
        <f>Table3[[#This Row],[PrimaTécnica]]*Table3[[#This Row],[Gastos Adm]]</f>
        <v>462.23366875200003</v>
      </c>
      <c r="K819" s="8">
        <f>Table3[[#This Row],[PrimaTécnica]]*Table3[[#This Row],[Utilidad]]</f>
        <v>154.07788958400002</v>
      </c>
      <c r="L819" s="8">
        <f>Table3[[#This Row],[PrimaTécnica]]*Table3[[#This Row],[Marketing]]</f>
        <v>30.815577916800002</v>
      </c>
      <c r="M819" s="8">
        <f>Table3[[#This Row],[PrimaTécnica]]*Table3[[#This Row],[Cobranza]]</f>
        <v>30.815577916800002</v>
      </c>
      <c r="N81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819">
        <v>21.84</v>
      </c>
      <c r="P819">
        <v>54.6</v>
      </c>
      <c r="Q819">
        <v>80.64</v>
      </c>
      <c r="R819">
        <v>44.377200000000002</v>
      </c>
      <c r="S819">
        <v>0.2</v>
      </c>
      <c r="T819">
        <v>0.02</v>
      </c>
      <c r="U819" s="8">
        <f>Table3[[#This Row],[PrimaNeta]]*Table3[[#This Row],[Comisión]]</f>
        <v>820.75374792000002</v>
      </c>
      <c r="V819" s="15">
        <f>Table3[[#This Row],[PrimaComercial Anual]]-Table3[[#This Row],[PrimaComercial Anual]]*SUM(Table3[[#This Row],[APS]:[IVA]])</f>
        <v>4103.7687396000001</v>
      </c>
      <c r="W819" s="2">
        <v>1.4800000000000001E-2</v>
      </c>
      <c r="X819" s="2">
        <v>8.4501000000000007E-2</v>
      </c>
      <c r="Y819">
        <v>0.03</v>
      </c>
      <c r="Z819">
        <v>0.13</v>
      </c>
      <c r="AA819" s="20">
        <f>Table3[[#This Row],[APS]]*Table3[[#This Row],[PrimaComercial Anual]]</f>
        <v>81.997919999999993</v>
      </c>
      <c r="AB819" s="8">
        <f>Table3[[#This Row],[PrimaComercial Anual]]*Table3[[#This Row],[Recargo adicional]]</f>
        <v>468.16934040000001</v>
      </c>
      <c r="AC819" s="8">
        <f>Table3[[#This Row],[PrimaComercial Anual]]*Table3[[#This Row],[IT]]</f>
        <v>166.21199999999999</v>
      </c>
      <c r="AD819" s="8">
        <f>Table3[[#This Row],[PrimaComercial Anual]]*Table3[[#This Row],[IVA]]</f>
        <v>720.25199999999995</v>
      </c>
      <c r="AE819" s="15">
        <f>Table3[[#This Row],[PrimaComercial Anual Asistencia]]</f>
        <v>5540.4</v>
      </c>
      <c r="AG819">
        <v>5540.4</v>
      </c>
    </row>
    <row r="820" spans="1:33" x14ac:dyDescent="0.25">
      <c r="A820" t="s">
        <v>18</v>
      </c>
      <c r="B820">
        <v>700001</v>
      </c>
      <c r="C820">
        <v>25</v>
      </c>
      <c r="D820" s="2">
        <f>Table3[[#This Row],[PrimaTécnica]]-Table3[[#This Row],[PrimaTécnica]]*SUM(Table3[[#This Row],[Gastos Adm]:[Cobranza]])</f>
        <v>2403.6150775104002</v>
      </c>
      <c r="E820">
        <v>0</v>
      </c>
      <c r="F820">
        <v>0.15</v>
      </c>
      <c r="G820">
        <v>0.05</v>
      </c>
      <c r="H820">
        <v>0.01</v>
      </c>
      <c r="I820">
        <v>0.01</v>
      </c>
      <c r="J820" s="8">
        <f>Table3[[#This Row],[PrimaTécnica]]*Table3[[#This Row],[Gastos Adm]]</f>
        <v>462.23366875200003</v>
      </c>
      <c r="K820" s="8">
        <f>Table3[[#This Row],[PrimaTécnica]]*Table3[[#This Row],[Utilidad]]</f>
        <v>154.07788958400002</v>
      </c>
      <c r="L820" s="8">
        <f>Table3[[#This Row],[PrimaTécnica]]*Table3[[#This Row],[Marketing]]</f>
        <v>30.815577916800002</v>
      </c>
      <c r="M820" s="8">
        <f>Table3[[#This Row],[PrimaTécnica]]*Table3[[#This Row],[Cobranza]]</f>
        <v>30.815577916800002</v>
      </c>
      <c r="N82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820">
        <v>21.84</v>
      </c>
      <c r="P820">
        <v>54.6</v>
      </c>
      <c r="Q820">
        <v>80.64</v>
      </c>
      <c r="R820">
        <v>44.377200000000002</v>
      </c>
      <c r="S820">
        <v>0.2</v>
      </c>
      <c r="T820">
        <v>0.02</v>
      </c>
      <c r="U820" s="8">
        <f>Table3[[#This Row],[PrimaNeta]]*Table3[[#This Row],[Comisión]]</f>
        <v>820.75374792000002</v>
      </c>
      <c r="V820" s="15">
        <f>Table3[[#This Row],[PrimaComercial Anual]]-Table3[[#This Row],[PrimaComercial Anual]]*SUM(Table3[[#This Row],[APS]:[IVA]])</f>
        <v>4103.7687396000001</v>
      </c>
      <c r="W820" s="2">
        <v>1.4800000000000001E-2</v>
      </c>
      <c r="X820" s="2">
        <v>8.4501000000000007E-2</v>
      </c>
      <c r="Y820">
        <v>0.03</v>
      </c>
      <c r="Z820">
        <v>0.13</v>
      </c>
      <c r="AA820" s="20">
        <f>Table3[[#This Row],[APS]]*Table3[[#This Row],[PrimaComercial Anual]]</f>
        <v>81.997919999999993</v>
      </c>
      <c r="AB820" s="8">
        <f>Table3[[#This Row],[PrimaComercial Anual]]*Table3[[#This Row],[Recargo adicional]]</f>
        <v>468.16934040000001</v>
      </c>
      <c r="AC820" s="8">
        <f>Table3[[#This Row],[PrimaComercial Anual]]*Table3[[#This Row],[IT]]</f>
        <v>166.21199999999999</v>
      </c>
      <c r="AD820" s="8">
        <f>Table3[[#This Row],[PrimaComercial Anual]]*Table3[[#This Row],[IVA]]</f>
        <v>720.25199999999995</v>
      </c>
      <c r="AE820" s="15">
        <f>Table3[[#This Row],[PrimaComercial Anual Asistencia]]</f>
        <v>5540.4</v>
      </c>
      <c r="AG820">
        <v>5540.4</v>
      </c>
    </row>
    <row r="821" spans="1:33" x14ac:dyDescent="0.25">
      <c r="A821" t="s">
        <v>18</v>
      </c>
      <c r="B821">
        <v>700001</v>
      </c>
      <c r="C821">
        <v>26</v>
      </c>
      <c r="D821" s="2">
        <f>Table3[[#This Row],[PrimaTécnica]]-Table3[[#This Row],[PrimaTécnica]]*SUM(Table3[[#This Row],[Gastos Adm]:[Cobranza]])</f>
        <v>2403.6150775104002</v>
      </c>
      <c r="E821">
        <v>0</v>
      </c>
      <c r="F821">
        <v>0.15</v>
      </c>
      <c r="G821">
        <v>0.05</v>
      </c>
      <c r="H821">
        <v>0.01</v>
      </c>
      <c r="I821">
        <v>0.01</v>
      </c>
      <c r="J821" s="8">
        <f>Table3[[#This Row],[PrimaTécnica]]*Table3[[#This Row],[Gastos Adm]]</f>
        <v>462.23366875200003</v>
      </c>
      <c r="K821" s="8">
        <f>Table3[[#This Row],[PrimaTécnica]]*Table3[[#This Row],[Utilidad]]</f>
        <v>154.07788958400002</v>
      </c>
      <c r="L821" s="8">
        <f>Table3[[#This Row],[PrimaTécnica]]*Table3[[#This Row],[Marketing]]</f>
        <v>30.815577916800002</v>
      </c>
      <c r="M821" s="8">
        <f>Table3[[#This Row],[PrimaTécnica]]*Table3[[#This Row],[Cobranza]]</f>
        <v>30.815577916800002</v>
      </c>
      <c r="N82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821">
        <v>21.84</v>
      </c>
      <c r="P821">
        <v>54.6</v>
      </c>
      <c r="Q821">
        <v>80.64</v>
      </c>
      <c r="R821">
        <v>44.377200000000002</v>
      </c>
      <c r="S821">
        <v>0.2</v>
      </c>
      <c r="T821">
        <v>0.02</v>
      </c>
      <c r="U821" s="8">
        <f>Table3[[#This Row],[PrimaNeta]]*Table3[[#This Row],[Comisión]]</f>
        <v>820.75374792000002</v>
      </c>
      <c r="V821" s="15">
        <f>Table3[[#This Row],[PrimaComercial Anual]]-Table3[[#This Row],[PrimaComercial Anual]]*SUM(Table3[[#This Row],[APS]:[IVA]])</f>
        <v>4103.7687396000001</v>
      </c>
      <c r="W821" s="2">
        <v>1.4800000000000001E-2</v>
      </c>
      <c r="X821" s="2">
        <v>8.4501000000000007E-2</v>
      </c>
      <c r="Y821">
        <v>0.03</v>
      </c>
      <c r="Z821">
        <v>0.13</v>
      </c>
      <c r="AA821" s="20">
        <f>Table3[[#This Row],[APS]]*Table3[[#This Row],[PrimaComercial Anual]]</f>
        <v>81.997919999999993</v>
      </c>
      <c r="AB821" s="8">
        <f>Table3[[#This Row],[PrimaComercial Anual]]*Table3[[#This Row],[Recargo adicional]]</f>
        <v>468.16934040000001</v>
      </c>
      <c r="AC821" s="8">
        <f>Table3[[#This Row],[PrimaComercial Anual]]*Table3[[#This Row],[IT]]</f>
        <v>166.21199999999999</v>
      </c>
      <c r="AD821" s="8">
        <f>Table3[[#This Row],[PrimaComercial Anual]]*Table3[[#This Row],[IVA]]</f>
        <v>720.25199999999995</v>
      </c>
      <c r="AE821" s="15">
        <f>Table3[[#This Row],[PrimaComercial Anual Asistencia]]</f>
        <v>5540.4</v>
      </c>
      <c r="AG821">
        <v>5540.4</v>
      </c>
    </row>
    <row r="822" spans="1:33" x14ac:dyDescent="0.25">
      <c r="A822" t="s">
        <v>18</v>
      </c>
      <c r="B822">
        <v>700001</v>
      </c>
      <c r="C822">
        <v>27</v>
      </c>
      <c r="D822" s="2">
        <f>Table3[[#This Row],[PrimaTécnica]]-Table3[[#This Row],[PrimaTécnica]]*SUM(Table3[[#This Row],[Gastos Adm]:[Cobranza]])</f>
        <v>2403.6150775104002</v>
      </c>
      <c r="E822">
        <v>0</v>
      </c>
      <c r="F822">
        <v>0.15</v>
      </c>
      <c r="G822">
        <v>0.05</v>
      </c>
      <c r="H822">
        <v>0.01</v>
      </c>
      <c r="I822">
        <v>0.01</v>
      </c>
      <c r="J822" s="8">
        <f>Table3[[#This Row],[PrimaTécnica]]*Table3[[#This Row],[Gastos Adm]]</f>
        <v>462.23366875200003</v>
      </c>
      <c r="K822" s="8">
        <f>Table3[[#This Row],[PrimaTécnica]]*Table3[[#This Row],[Utilidad]]</f>
        <v>154.07788958400002</v>
      </c>
      <c r="L822" s="8">
        <f>Table3[[#This Row],[PrimaTécnica]]*Table3[[#This Row],[Marketing]]</f>
        <v>30.815577916800002</v>
      </c>
      <c r="M822" s="8">
        <f>Table3[[#This Row],[PrimaTécnica]]*Table3[[#This Row],[Cobranza]]</f>
        <v>30.815577916800002</v>
      </c>
      <c r="N82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822">
        <v>21.84</v>
      </c>
      <c r="P822">
        <v>54.6</v>
      </c>
      <c r="Q822">
        <v>80.64</v>
      </c>
      <c r="R822">
        <v>44.377200000000002</v>
      </c>
      <c r="S822">
        <v>0.2</v>
      </c>
      <c r="T822">
        <v>0.02</v>
      </c>
      <c r="U822" s="8">
        <f>Table3[[#This Row],[PrimaNeta]]*Table3[[#This Row],[Comisión]]</f>
        <v>820.75374792000002</v>
      </c>
      <c r="V822" s="15">
        <f>Table3[[#This Row],[PrimaComercial Anual]]-Table3[[#This Row],[PrimaComercial Anual]]*SUM(Table3[[#This Row],[APS]:[IVA]])</f>
        <v>4103.7687396000001</v>
      </c>
      <c r="W822" s="2">
        <v>1.4800000000000001E-2</v>
      </c>
      <c r="X822" s="2">
        <v>8.4501000000000007E-2</v>
      </c>
      <c r="Y822">
        <v>0.03</v>
      </c>
      <c r="Z822">
        <v>0.13</v>
      </c>
      <c r="AA822" s="20">
        <f>Table3[[#This Row],[APS]]*Table3[[#This Row],[PrimaComercial Anual]]</f>
        <v>81.997919999999993</v>
      </c>
      <c r="AB822" s="8">
        <f>Table3[[#This Row],[PrimaComercial Anual]]*Table3[[#This Row],[Recargo adicional]]</f>
        <v>468.16934040000001</v>
      </c>
      <c r="AC822" s="8">
        <f>Table3[[#This Row],[PrimaComercial Anual]]*Table3[[#This Row],[IT]]</f>
        <v>166.21199999999999</v>
      </c>
      <c r="AD822" s="8">
        <f>Table3[[#This Row],[PrimaComercial Anual]]*Table3[[#This Row],[IVA]]</f>
        <v>720.25199999999995</v>
      </c>
      <c r="AE822" s="15">
        <f>Table3[[#This Row],[PrimaComercial Anual Asistencia]]</f>
        <v>5540.4</v>
      </c>
      <c r="AG822">
        <v>5540.4</v>
      </c>
    </row>
    <row r="823" spans="1:33" x14ac:dyDescent="0.25">
      <c r="A823" t="s">
        <v>18</v>
      </c>
      <c r="B823">
        <v>700001</v>
      </c>
      <c r="C823">
        <v>28</v>
      </c>
      <c r="D823" s="2">
        <f>Table3[[#This Row],[PrimaTécnica]]-Table3[[#This Row],[PrimaTécnica]]*SUM(Table3[[#This Row],[Gastos Adm]:[Cobranza]])</f>
        <v>2403.6150775104002</v>
      </c>
      <c r="E823">
        <v>0</v>
      </c>
      <c r="F823">
        <v>0.15</v>
      </c>
      <c r="G823">
        <v>0.05</v>
      </c>
      <c r="H823">
        <v>0.01</v>
      </c>
      <c r="I823">
        <v>0.01</v>
      </c>
      <c r="J823" s="8">
        <f>Table3[[#This Row],[PrimaTécnica]]*Table3[[#This Row],[Gastos Adm]]</f>
        <v>462.23366875200003</v>
      </c>
      <c r="K823" s="8">
        <f>Table3[[#This Row],[PrimaTécnica]]*Table3[[#This Row],[Utilidad]]</f>
        <v>154.07788958400002</v>
      </c>
      <c r="L823" s="8">
        <f>Table3[[#This Row],[PrimaTécnica]]*Table3[[#This Row],[Marketing]]</f>
        <v>30.815577916800002</v>
      </c>
      <c r="M823" s="8">
        <f>Table3[[#This Row],[PrimaTécnica]]*Table3[[#This Row],[Cobranza]]</f>
        <v>30.815577916800002</v>
      </c>
      <c r="N82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823">
        <v>21.84</v>
      </c>
      <c r="P823">
        <v>54.6</v>
      </c>
      <c r="Q823">
        <v>80.64</v>
      </c>
      <c r="R823">
        <v>44.377200000000002</v>
      </c>
      <c r="S823">
        <v>0.2</v>
      </c>
      <c r="T823">
        <v>0.02</v>
      </c>
      <c r="U823" s="8">
        <f>Table3[[#This Row],[PrimaNeta]]*Table3[[#This Row],[Comisión]]</f>
        <v>820.75374792000002</v>
      </c>
      <c r="V823" s="15">
        <f>Table3[[#This Row],[PrimaComercial Anual]]-Table3[[#This Row],[PrimaComercial Anual]]*SUM(Table3[[#This Row],[APS]:[IVA]])</f>
        <v>4103.7687396000001</v>
      </c>
      <c r="W823" s="2">
        <v>1.4800000000000001E-2</v>
      </c>
      <c r="X823" s="2">
        <v>8.4501000000000007E-2</v>
      </c>
      <c r="Y823">
        <v>0.03</v>
      </c>
      <c r="Z823">
        <v>0.13</v>
      </c>
      <c r="AA823" s="20">
        <f>Table3[[#This Row],[APS]]*Table3[[#This Row],[PrimaComercial Anual]]</f>
        <v>81.997919999999993</v>
      </c>
      <c r="AB823" s="8">
        <f>Table3[[#This Row],[PrimaComercial Anual]]*Table3[[#This Row],[Recargo adicional]]</f>
        <v>468.16934040000001</v>
      </c>
      <c r="AC823" s="8">
        <f>Table3[[#This Row],[PrimaComercial Anual]]*Table3[[#This Row],[IT]]</f>
        <v>166.21199999999999</v>
      </c>
      <c r="AD823" s="8">
        <f>Table3[[#This Row],[PrimaComercial Anual]]*Table3[[#This Row],[IVA]]</f>
        <v>720.25199999999995</v>
      </c>
      <c r="AE823" s="15">
        <f>Table3[[#This Row],[PrimaComercial Anual Asistencia]]</f>
        <v>5540.4</v>
      </c>
      <c r="AG823">
        <v>5540.4</v>
      </c>
    </row>
    <row r="824" spans="1:33" x14ac:dyDescent="0.25">
      <c r="A824" t="s">
        <v>18</v>
      </c>
      <c r="B824">
        <v>700001</v>
      </c>
      <c r="C824">
        <v>29</v>
      </c>
      <c r="D824" s="2">
        <f>Table3[[#This Row],[PrimaTécnica]]-Table3[[#This Row],[PrimaTécnica]]*SUM(Table3[[#This Row],[Gastos Adm]:[Cobranza]])</f>
        <v>2403.6150775104002</v>
      </c>
      <c r="E824">
        <v>0</v>
      </c>
      <c r="F824">
        <v>0.15</v>
      </c>
      <c r="G824">
        <v>0.05</v>
      </c>
      <c r="H824">
        <v>0.01</v>
      </c>
      <c r="I824">
        <v>0.01</v>
      </c>
      <c r="J824" s="8">
        <f>Table3[[#This Row],[PrimaTécnica]]*Table3[[#This Row],[Gastos Adm]]</f>
        <v>462.23366875200003</v>
      </c>
      <c r="K824" s="8">
        <f>Table3[[#This Row],[PrimaTécnica]]*Table3[[#This Row],[Utilidad]]</f>
        <v>154.07788958400002</v>
      </c>
      <c r="L824" s="8">
        <f>Table3[[#This Row],[PrimaTécnica]]*Table3[[#This Row],[Marketing]]</f>
        <v>30.815577916800002</v>
      </c>
      <c r="M824" s="8">
        <f>Table3[[#This Row],[PrimaTécnica]]*Table3[[#This Row],[Cobranza]]</f>
        <v>30.815577916800002</v>
      </c>
      <c r="N82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824">
        <v>21.84</v>
      </c>
      <c r="P824">
        <v>54.6</v>
      </c>
      <c r="Q824">
        <v>80.64</v>
      </c>
      <c r="R824">
        <v>44.377200000000002</v>
      </c>
      <c r="S824">
        <v>0.2</v>
      </c>
      <c r="T824">
        <v>0.02</v>
      </c>
      <c r="U824" s="8">
        <f>Table3[[#This Row],[PrimaNeta]]*Table3[[#This Row],[Comisión]]</f>
        <v>820.75374792000002</v>
      </c>
      <c r="V824" s="15">
        <f>Table3[[#This Row],[PrimaComercial Anual]]-Table3[[#This Row],[PrimaComercial Anual]]*SUM(Table3[[#This Row],[APS]:[IVA]])</f>
        <v>4103.7687396000001</v>
      </c>
      <c r="W824" s="2">
        <v>1.4800000000000001E-2</v>
      </c>
      <c r="X824" s="2">
        <v>8.4501000000000007E-2</v>
      </c>
      <c r="Y824">
        <v>0.03</v>
      </c>
      <c r="Z824">
        <v>0.13</v>
      </c>
      <c r="AA824" s="20">
        <f>Table3[[#This Row],[APS]]*Table3[[#This Row],[PrimaComercial Anual]]</f>
        <v>81.997919999999993</v>
      </c>
      <c r="AB824" s="8">
        <f>Table3[[#This Row],[PrimaComercial Anual]]*Table3[[#This Row],[Recargo adicional]]</f>
        <v>468.16934040000001</v>
      </c>
      <c r="AC824" s="8">
        <f>Table3[[#This Row],[PrimaComercial Anual]]*Table3[[#This Row],[IT]]</f>
        <v>166.21199999999999</v>
      </c>
      <c r="AD824" s="8">
        <f>Table3[[#This Row],[PrimaComercial Anual]]*Table3[[#This Row],[IVA]]</f>
        <v>720.25199999999995</v>
      </c>
      <c r="AE824" s="15">
        <f>Table3[[#This Row],[PrimaComercial Anual Asistencia]]</f>
        <v>5540.4</v>
      </c>
      <c r="AG824">
        <v>5540.4</v>
      </c>
    </row>
    <row r="825" spans="1:33" x14ac:dyDescent="0.25">
      <c r="A825" t="s">
        <v>18</v>
      </c>
      <c r="B825">
        <v>700001</v>
      </c>
      <c r="C825">
        <v>30</v>
      </c>
      <c r="D825" s="2">
        <f>Table3[[#This Row],[PrimaTécnica]]-Table3[[#This Row],[PrimaTécnica]]*SUM(Table3[[#This Row],[Gastos Adm]:[Cobranza]])</f>
        <v>2477.3815872000005</v>
      </c>
      <c r="E825">
        <v>0</v>
      </c>
      <c r="F825">
        <v>0.15</v>
      </c>
      <c r="G825">
        <v>0.05</v>
      </c>
      <c r="H825">
        <v>0.01</v>
      </c>
      <c r="I825">
        <v>0.01</v>
      </c>
      <c r="J825" s="8">
        <f>Table3[[#This Row],[PrimaTécnica]]*Table3[[#This Row],[Gastos Adm]]</f>
        <v>476.41953600000005</v>
      </c>
      <c r="K825" s="8">
        <f>Table3[[#This Row],[PrimaTécnica]]*Table3[[#This Row],[Utilidad]]</f>
        <v>158.80651200000003</v>
      </c>
      <c r="L825" s="8">
        <f>Table3[[#This Row],[PrimaTécnica]]*Table3[[#This Row],[Marketing]]</f>
        <v>31.761302400000005</v>
      </c>
      <c r="M825" s="8">
        <f>Table3[[#This Row],[PrimaTécnica]]*Table3[[#This Row],[Cobranza]]</f>
        <v>31.761302400000005</v>
      </c>
      <c r="N82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3176.1302400000004</v>
      </c>
      <c r="O825">
        <v>21.84</v>
      </c>
      <c r="P825">
        <v>54.6</v>
      </c>
      <c r="Q825">
        <v>80.64</v>
      </c>
      <c r="R825">
        <v>44.377200000000002</v>
      </c>
      <c r="S825">
        <v>0.2</v>
      </c>
      <c r="T825">
        <v>0.02</v>
      </c>
      <c r="U825" s="8">
        <f>Table3[[#This Row],[PrimaNeta]]*Table3[[#This Row],[Comisión]]</f>
        <v>844.39686000000006</v>
      </c>
      <c r="V825" s="15">
        <f>Table3[[#This Row],[PrimaComercial Anual]]-Table3[[#This Row],[PrimaComercial Anual]]*SUM(Table3[[#This Row],[APS]:[IVA]])</f>
        <v>4221.9843000000001</v>
      </c>
      <c r="W825" s="2">
        <v>1.4800000000000001E-2</v>
      </c>
      <c r="X825" s="2">
        <v>8.4501000000000007E-2</v>
      </c>
      <c r="Y825">
        <v>0.03</v>
      </c>
      <c r="Z825">
        <v>0.13</v>
      </c>
      <c r="AA825" s="20">
        <f>Table3[[#This Row],[APS]]*Table3[[#This Row],[PrimaComercial Anual]]</f>
        <v>84.36</v>
      </c>
      <c r="AB825" s="8">
        <f>Table3[[#This Row],[PrimaComercial Anual]]*Table3[[#This Row],[Recargo adicional]]</f>
        <v>481.65570000000002</v>
      </c>
      <c r="AC825" s="8">
        <f>Table3[[#This Row],[PrimaComercial Anual]]*Table3[[#This Row],[IT]]</f>
        <v>171</v>
      </c>
      <c r="AD825" s="8">
        <f>Table3[[#This Row],[PrimaComercial Anual]]*Table3[[#This Row],[IVA]]</f>
        <v>741</v>
      </c>
      <c r="AE825" s="15">
        <f>Table3[[#This Row],[PrimaComercial Anual Asistencia]]</f>
        <v>5700</v>
      </c>
      <c r="AG825">
        <v>5700</v>
      </c>
    </row>
    <row r="826" spans="1:33" x14ac:dyDescent="0.25">
      <c r="A826" t="s">
        <v>18</v>
      </c>
      <c r="B826">
        <v>700001</v>
      </c>
      <c r="C826">
        <v>31</v>
      </c>
      <c r="D826" s="2">
        <f>Table3[[#This Row],[PrimaTécnica]]-Table3[[#This Row],[PrimaTécnica]]*SUM(Table3[[#This Row],[Gastos Adm]:[Cobranza]])</f>
        <v>2477.3815872000005</v>
      </c>
      <c r="E826">
        <v>0</v>
      </c>
      <c r="F826">
        <v>0.15</v>
      </c>
      <c r="G826">
        <v>0.05</v>
      </c>
      <c r="H826">
        <v>0.01</v>
      </c>
      <c r="I826">
        <v>0.01</v>
      </c>
      <c r="J826" s="8">
        <f>Table3[[#This Row],[PrimaTécnica]]*Table3[[#This Row],[Gastos Adm]]</f>
        <v>476.41953600000005</v>
      </c>
      <c r="K826" s="8">
        <f>Table3[[#This Row],[PrimaTécnica]]*Table3[[#This Row],[Utilidad]]</f>
        <v>158.80651200000003</v>
      </c>
      <c r="L826" s="8">
        <f>Table3[[#This Row],[PrimaTécnica]]*Table3[[#This Row],[Marketing]]</f>
        <v>31.761302400000005</v>
      </c>
      <c r="M826" s="8">
        <f>Table3[[#This Row],[PrimaTécnica]]*Table3[[#This Row],[Cobranza]]</f>
        <v>31.761302400000005</v>
      </c>
      <c r="N82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3176.1302400000004</v>
      </c>
      <c r="O826">
        <v>21.84</v>
      </c>
      <c r="P826">
        <v>54.6</v>
      </c>
      <c r="Q826">
        <v>80.64</v>
      </c>
      <c r="R826">
        <v>44.377200000000002</v>
      </c>
      <c r="S826">
        <v>0.2</v>
      </c>
      <c r="T826">
        <v>0.02</v>
      </c>
      <c r="U826" s="8">
        <f>Table3[[#This Row],[PrimaNeta]]*Table3[[#This Row],[Comisión]]</f>
        <v>844.39686000000006</v>
      </c>
      <c r="V826" s="15">
        <f>Table3[[#This Row],[PrimaComercial Anual]]-Table3[[#This Row],[PrimaComercial Anual]]*SUM(Table3[[#This Row],[APS]:[IVA]])</f>
        <v>4221.9843000000001</v>
      </c>
      <c r="W826" s="2">
        <v>1.4800000000000001E-2</v>
      </c>
      <c r="X826" s="2">
        <v>8.4501000000000007E-2</v>
      </c>
      <c r="Y826">
        <v>0.03</v>
      </c>
      <c r="Z826">
        <v>0.13</v>
      </c>
      <c r="AA826" s="20">
        <f>Table3[[#This Row],[APS]]*Table3[[#This Row],[PrimaComercial Anual]]</f>
        <v>84.36</v>
      </c>
      <c r="AB826" s="8">
        <f>Table3[[#This Row],[PrimaComercial Anual]]*Table3[[#This Row],[Recargo adicional]]</f>
        <v>481.65570000000002</v>
      </c>
      <c r="AC826" s="8">
        <f>Table3[[#This Row],[PrimaComercial Anual]]*Table3[[#This Row],[IT]]</f>
        <v>171</v>
      </c>
      <c r="AD826" s="8">
        <f>Table3[[#This Row],[PrimaComercial Anual]]*Table3[[#This Row],[IVA]]</f>
        <v>741</v>
      </c>
      <c r="AE826" s="15">
        <f>Table3[[#This Row],[PrimaComercial Anual Asistencia]]</f>
        <v>5700</v>
      </c>
      <c r="AG826">
        <v>5700</v>
      </c>
    </row>
    <row r="827" spans="1:33" x14ac:dyDescent="0.25">
      <c r="A827" t="s">
        <v>18</v>
      </c>
      <c r="B827">
        <v>700001</v>
      </c>
      <c r="C827">
        <v>32</v>
      </c>
      <c r="D827" s="2">
        <f>Table3[[#This Row],[PrimaTécnica]]-Table3[[#This Row],[PrimaTécnica]]*SUM(Table3[[#This Row],[Gastos Adm]:[Cobranza]])</f>
        <v>2477.3815872000005</v>
      </c>
      <c r="E827">
        <v>0</v>
      </c>
      <c r="F827">
        <v>0.15</v>
      </c>
      <c r="G827">
        <v>0.05</v>
      </c>
      <c r="H827">
        <v>0.01</v>
      </c>
      <c r="I827">
        <v>0.01</v>
      </c>
      <c r="J827" s="8">
        <f>Table3[[#This Row],[PrimaTécnica]]*Table3[[#This Row],[Gastos Adm]]</f>
        <v>476.41953600000005</v>
      </c>
      <c r="K827" s="8">
        <f>Table3[[#This Row],[PrimaTécnica]]*Table3[[#This Row],[Utilidad]]</f>
        <v>158.80651200000003</v>
      </c>
      <c r="L827" s="8">
        <f>Table3[[#This Row],[PrimaTécnica]]*Table3[[#This Row],[Marketing]]</f>
        <v>31.761302400000005</v>
      </c>
      <c r="M827" s="8">
        <f>Table3[[#This Row],[PrimaTécnica]]*Table3[[#This Row],[Cobranza]]</f>
        <v>31.761302400000005</v>
      </c>
      <c r="N82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3176.1302400000004</v>
      </c>
      <c r="O827">
        <v>21.84</v>
      </c>
      <c r="P827">
        <v>54.6</v>
      </c>
      <c r="Q827">
        <v>80.64</v>
      </c>
      <c r="R827">
        <v>44.377200000000002</v>
      </c>
      <c r="S827">
        <v>0.2</v>
      </c>
      <c r="T827">
        <v>0.02</v>
      </c>
      <c r="U827" s="8">
        <f>Table3[[#This Row],[PrimaNeta]]*Table3[[#This Row],[Comisión]]</f>
        <v>844.39686000000006</v>
      </c>
      <c r="V827" s="15">
        <f>Table3[[#This Row],[PrimaComercial Anual]]-Table3[[#This Row],[PrimaComercial Anual]]*SUM(Table3[[#This Row],[APS]:[IVA]])</f>
        <v>4221.9843000000001</v>
      </c>
      <c r="W827" s="2">
        <v>1.4800000000000001E-2</v>
      </c>
      <c r="X827" s="2">
        <v>8.4501000000000007E-2</v>
      </c>
      <c r="Y827">
        <v>0.03</v>
      </c>
      <c r="Z827">
        <v>0.13</v>
      </c>
      <c r="AA827" s="20">
        <f>Table3[[#This Row],[APS]]*Table3[[#This Row],[PrimaComercial Anual]]</f>
        <v>84.36</v>
      </c>
      <c r="AB827" s="8">
        <f>Table3[[#This Row],[PrimaComercial Anual]]*Table3[[#This Row],[Recargo adicional]]</f>
        <v>481.65570000000002</v>
      </c>
      <c r="AC827" s="8">
        <f>Table3[[#This Row],[PrimaComercial Anual]]*Table3[[#This Row],[IT]]</f>
        <v>171</v>
      </c>
      <c r="AD827" s="8">
        <f>Table3[[#This Row],[PrimaComercial Anual]]*Table3[[#This Row],[IVA]]</f>
        <v>741</v>
      </c>
      <c r="AE827" s="15">
        <f>Table3[[#This Row],[PrimaComercial Anual Asistencia]]</f>
        <v>5700</v>
      </c>
      <c r="AG827">
        <v>5700</v>
      </c>
    </row>
    <row r="828" spans="1:33" x14ac:dyDescent="0.25">
      <c r="A828" t="s">
        <v>18</v>
      </c>
      <c r="B828">
        <v>700001</v>
      </c>
      <c r="C828">
        <v>33</v>
      </c>
      <c r="D828" s="2">
        <f>Table3[[#This Row],[PrimaTécnica]]-Table3[[#This Row],[PrimaTécnica]]*SUM(Table3[[#This Row],[Gastos Adm]:[Cobranza]])</f>
        <v>2477.3815872000005</v>
      </c>
      <c r="E828">
        <v>0</v>
      </c>
      <c r="F828">
        <v>0.15</v>
      </c>
      <c r="G828">
        <v>0.05</v>
      </c>
      <c r="H828">
        <v>0.01</v>
      </c>
      <c r="I828">
        <v>0.01</v>
      </c>
      <c r="J828" s="8">
        <f>Table3[[#This Row],[PrimaTécnica]]*Table3[[#This Row],[Gastos Adm]]</f>
        <v>476.41953600000005</v>
      </c>
      <c r="K828" s="8">
        <f>Table3[[#This Row],[PrimaTécnica]]*Table3[[#This Row],[Utilidad]]</f>
        <v>158.80651200000003</v>
      </c>
      <c r="L828" s="8">
        <f>Table3[[#This Row],[PrimaTécnica]]*Table3[[#This Row],[Marketing]]</f>
        <v>31.761302400000005</v>
      </c>
      <c r="M828" s="8">
        <f>Table3[[#This Row],[PrimaTécnica]]*Table3[[#This Row],[Cobranza]]</f>
        <v>31.761302400000005</v>
      </c>
      <c r="N82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3176.1302400000004</v>
      </c>
      <c r="O828">
        <v>21.84</v>
      </c>
      <c r="P828">
        <v>54.6</v>
      </c>
      <c r="Q828">
        <v>80.64</v>
      </c>
      <c r="R828">
        <v>44.377200000000002</v>
      </c>
      <c r="S828">
        <v>0.2</v>
      </c>
      <c r="T828">
        <v>0.02</v>
      </c>
      <c r="U828" s="8">
        <f>Table3[[#This Row],[PrimaNeta]]*Table3[[#This Row],[Comisión]]</f>
        <v>844.39686000000006</v>
      </c>
      <c r="V828" s="15">
        <f>Table3[[#This Row],[PrimaComercial Anual]]-Table3[[#This Row],[PrimaComercial Anual]]*SUM(Table3[[#This Row],[APS]:[IVA]])</f>
        <v>4221.9843000000001</v>
      </c>
      <c r="W828" s="2">
        <v>1.4800000000000001E-2</v>
      </c>
      <c r="X828" s="2">
        <v>8.4501000000000007E-2</v>
      </c>
      <c r="Y828">
        <v>0.03</v>
      </c>
      <c r="Z828">
        <v>0.13</v>
      </c>
      <c r="AA828" s="20">
        <f>Table3[[#This Row],[APS]]*Table3[[#This Row],[PrimaComercial Anual]]</f>
        <v>84.36</v>
      </c>
      <c r="AB828" s="8">
        <f>Table3[[#This Row],[PrimaComercial Anual]]*Table3[[#This Row],[Recargo adicional]]</f>
        <v>481.65570000000002</v>
      </c>
      <c r="AC828" s="8">
        <f>Table3[[#This Row],[PrimaComercial Anual]]*Table3[[#This Row],[IT]]</f>
        <v>171</v>
      </c>
      <c r="AD828" s="8">
        <f>Table3[[#This Row],[PrimaComercial Anual]]*Table3[[#This Row],[IVA]]</f>
        <v>741</v>
      </c>
      <c r="AE828" s="15">
        <f>Table3[[#This Row],[PrimaComercial Anual Asistencia]]</f>
        <v>5700</v>
      </c>
      <c r="AG828">
        <v>5700</v>
      </c>
    </row>
    <row r="829" spans="1:33" x14ac:dyDescent="0.25">
      <c r="A829" t="s">
        <v>18</v>
      </c>
      <c r="B829">
        <v>700001</v>
      </c>
      <c r="C829">
        <v>34</v>
      </c>
      <c r="D829" s="2">
        <f>Table3[[#This Row],[PrimaTécnica]]-Table3[[#This Row],[PrimaTécnica]]*SUM(Table3[[#This Row],[Gastos Adm]:[Cobranza]])</f>
        <v>2477.3815872000005</v>
      </c>
      <c r="E829">
        <v>0</v>
      </c>
      <c r="F829">
        <v>0.15</v>
      </c>
      <c r="G829">
        <v>0.05</v>
      </c>
      <c r="H829">
        <v>0.01</v>
      </c>
      <c r="I829">
        <v>0.01</v>
      </c>
      <c r="J829" s="8">
        <f>Table3[[#This Row],[PrimaTécnica]]*Table3[[#This Row],[Gastos Adm]]</f>
        <v>476.41953600000005</v>
      </c>
      <c r="K829" s="8">
        <f>Table3[[#This Row],[PrimaTécnica]]*Table3[[#This Row],[Utilidad]]</f>
        <v>158.80651200000003</v>
      </c>
      <c r="L829" s="8">
        <f>Table3[[#This Row],[PrimaTécnica]]*Table3[[#This Row],[Marketing]]</f>
        <v>31.761302400000005</v>
      </c>
      <c r="M829" s="8">
        <f>Table3[[#This Row],[PrimaTécnica]]*Table3[[#This Row],[Cobranza]]</f>
        <v>31.761302400000005</v>
      </c>
      <c r="N82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3176.1302400000004</v>
      </c>
      <c r="O829">
        <v>21.84</v>
      </c>
      <c r="P829">
        <v>54.6</v>
      </c>
      <c r="Q829">
        <v>80.64</v>
      </c>
      <c r="R829">
        <v>44.377200000000002</v>
      </c>
      <c r="S829">
        <v>0.2</v>
      </c>
      <c r="T829">
        <v>0.02</v>
      </c>
      <c r="U829" s="8">
        <f>Table3[[#This Row],[PrimaNeta]]*Table3[[#This Row],[Comisión]]</f>
        <v>844.39686000000006</v>
      </c>
      <c r="V829" s="15">
        <f>Table3[[#This Row],[PrimaComercial Anual]]-Table3[[#This Row],[PrimaComercial Anual]]*SUM(Table3[[#This Row],[APS]:[IVA]])</f>
        <v>4221.9843000000001</v>
      </c>
      <c r="W829" s="2">
        <v>1.4800000000000001E-2</v>
      </c>
      <c r="X829" s="2">
        <v>8.4501000000000007E-2</v>
      </c>
      <c r="Y829">
        <v>0.03</v>
      </c>
      <c r="Z829">
        <v>0.13</v>
      </c>
      <c r="AA829" s="20">
        <f>Table3[[#This Row],[APS]]*Table3[[#This Row],[PrimaComercial Anual]]</f>
        <v>84.36</v>
      </c>
      <c r="AB829" s="8">
        <f>Table3[[#This Row],[PrimaComercial Anual]]*Table3[[#This Row],[Recargo adicional]]</f>
        <v>481.65570000000002</v>
      </c>
      <c r="AC829" s="8">
        <f>Table3[[#This Row],[PrimaComercial Anual]]*Table3[[#This Row],[IT]]</f>
        <v>171</v>
      </c>
      <c r="AD829" s="8">
        <f>Table3[[#This Row],[PrimaComercial Anual]]*Table3[[#This Row],[IVA]]</f>
        <v>741</v>
      </c>
      <c r="AE829" s="15">
        <f>Table3[[#This Row],[PrimaComercial Anual Asistencia]]</f>
        <v>5700</v>
      </c>
      <c r="AG829">
        <v>5700</v>
      </c>
    </row>
    <row r="830" spans="1:33" x14ac:dyDescent="0.25">
      <c r="A830" t="s">
        <v>18</v>
      </c>
      <c r="B830">
        <v>700001</v>
      </c>
      <c r="C830">
        <v>35</v>
      </c>
      <c r="D830" s="2">
        <f>Table3[[#This Row],[PrimaTécnica]]-Table3[[#This Row],[PrimaTécnica]]*SUM(Table3[[#This Row],[Gastos Adm]:[Cobranza]])</f>
        <v>2477.3815872000005</v>
      </c>
      <c r="E830">
        <v>0</v>
      </c>
      <c r="F830">
        <v>0.15</v>
      </c>
      <c r="G830">
        <v>0.05</v>
      </c>
      <c r="H830">
        <v>0.01</v>
      </c>
      <c r="I830">
        <v>0.01</v>
      </c>
      <c r="J830" s="8">
        <f>Table3[[#This Row],[PrimaTécnica]]*Table3[[#This Row],[Gastos Adm]]</f>
        <v>476.41953600000005</v>
      </c>
      <c r="K830" s="8">
        <f>Table3[[#This Row],[PrimaTécnica]]*Table3[[#This Row],[Utilidad]]</f>
        <v>158.80651200000003</v>
      </c>
      <c r="L830" s="8">
        <f>Table3[[#This Row],[PrimaTécnica]]*Table3[[#This Row],[Marketing]]</f>
        <v>31.761302400000005</v>
      </c>
      <c r="M830" s="8">
        <f>Table3[[#This Row],[PrimaTécnica]]*Table3[[#This Row],[Cobranza]]</f>
        <v>31.761302400000005</v>
      </c>
      <c r="N83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3176.1302400000004</v>
      </c>
      <c r="O830">
        <v>21.84</v>
      </c>
      <c r="P830">
        <v>54.6</v>
      </c>
      <c r="Q830">
        <v>80.64</v>
      </c>
      <c r="R830">
        <v>44.377200000000002</v>
      </c>
      <c r="S830">
        <v>0.2</v>
      </c>
      <c r="T830">
        <v>0.02</v>
      </c>
      <c r="U830" s="8">
        <f>Table3[[#This Row],[PrimaNeta]]*Table3[[#This Row],[Comisión]]</f>
        <v>844.39686000000006</v>
      </c>
      <c r="V830" s="15">
        <f>Table3[[#This Row],[PrimaComercial Anual]]-Table3[[#This Row],[PrimaComercial Anual]]*SUM(Table3[[#This Row],[APS]:[IVA]])</f>
        <v>4221.9843000000001</v>
      </c>
      <c r="W830" s="2">
        <v>1.4800000000000001E-2</v>
      </c>
      <c r="X830" s="2">
        <v>8.4501000000000007E-2</v>
      </c>
      <c r="Y830">
        <v>0.03</v>
      </c>
      <c r="Z830">
        <v>0.13</v>
      </c>
      <c r="AA830" s="20">
        <f>Table3[[#This Row],[APS]]*Table3[[#This Row],[PrimaComercial Anual]]</f>
        <v>84.36</v>
      </c>
      <c r="AB830" s="8">
        <f>Table3[[#This Row],[PrimaComercial Anual]]*Table3[[#This Row],[Recargo adicional]]</f>
        <v>481.65570000000002</v>
      </c>
      <c r="AC830" s="8">
        <f>Table3[[#This Row],[PrimaComercial Anual]]*Table3[[#This Row],[IT]]</f>
        <v>171</v>
      </c>
      <c r="AD830" s="8">
        <f>Table3[[#This Row],[PrimaComercial Anual]]*Table3[[#This Row],[IVA]]</f>
        <v>741</v>
      </c>
      <c r="AE830" s="15">
        <f>Table3[[#This Row],[PrimaComercial Anual Asistencia]]</f>
        <v>5700</v>
      </c>
      <c r="AG830">
        <v>5700</v>
      </c>
    </row>
    <row r="831" spans="1:33" x14ac:dyDescent="0.25">
      <c r="A831" t="s">
        <v>18</v>
      </c>
      <c r="B831">
        <v>700001</v>
      </c>
      <c r="C831">
        <v>36</v>
      </c>
      <c r="D831" s="2">
        <f>Table3[[#This Row],[PrimaTécnica]]-Table3[[#This Row],[PrimaTécnica]]*SUM(Table3[[#This Row],[Gastos Adm]:[Cobranza]])</f>
        <v>2477.3815872000005</v>
      </c>
      <c r="E831">
        <v>0</v>
      </c>
      <c r="F831">
        <v>0.15</v>
      </c>
      <c r="G831">
        <v>0.05</v>
      </c>
      <c r="H831">
        <v>0.01</v>
      </c>
      <c r="I831">
        <v>0.01</v>
      </c>
      <c r="J831" s="8">
        <f>Table3[[#This Row],[PrimaTécnica]]*Table3[[#This Row],[Gastos Adm]]</f>
        <v>476.41953600000005</v>
      </c>
      <c r="K831" s="8">
        <f>Table3[[#This Row],[PrimaTécnica]]*Table3[[#This Row],[Utilidad]]</f>
        <v>158.80651200000003</v>
      </c>
      <c r="L831" s="8">
        <f>Table3[[#This Row],[PrimaTécnica]]*Table3[[#This Row],[Marketing]]</f>
        <v>31.761302400000005</v>
      </c>
      <c r="M831" s="8">
        <f>Table3[[#This Row],[PrimaTécnica]]*Table3[[#This Row],[Cobranza]]</f>
        <v>31.761302400000005</v>
      </c>
      <c r="N83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3176.1302400000004</v>
      </c>
      <c r="O831">
        <v>21.84</v>
      </c>
      <c r="P831">
        <v>54.6</v>
      </c>
      <c r="Q831">
        <v>80.64</v>
      </c>
      <c r="R831">
        <v>44.377200000000002</v>
      </c>
      <c r="S831">
        <v>0.2</v>
      </c>
      <c r="T831">
        <v>0.02</v>
      </c>
      <c r="U831" s="8">
        <f>Table3[[#This Row],[PrimaNeta]]*Table3[[#This Row],[Comisión]]</f>
        <v>844.39686000000006</v>
      </c>
      <c r="V831" s="15">
        <f>Table3[[#This Row],[PrimaComercial Anual]]-Table3[[#This Row],[PrimaComercial Anual]]*SUM(Table3[[#This Row],[APS]:[IVA]])</f>
        <v>4221.9843000000001</v>
      </c>
      <c r="W831" s="2">
        <v>1.4800000000000001E-2</v>
      </c>
      <c r="X831" s="2">
        <v>8.4501000000000007E-2</v>
      </c>
      <c r="Y831">
        <v>0.03</v>
      </c>
      <c r="Z831">
        <v>0.13</v>
      </c>
      <c r="AA831" s="20">
        <f>Table3[[#This Row],[APS]]*Table3[[#This Row],[PrimaComercial Anual]]</f>
        <v>84.36</v>
      </c>
      <c r="AB831" s="8">
        <f>Table3[[#This Row],[PrimaComercial Anual]]*Table3[[#This Row],[Recargo adicional]]</f>
        <v>481.65570000000002</v>
      </c>
      <c r="AC831" s="8">
        <f>Table3[[#This Row],[PrimaComercial Anual]]*Table3[[#This Row],[IT]]</f>
        <v>171</v>
      </c>
      <c r="AD831" s="8">
        <f>Table3[[#This Row],[PrimaComercial Anual]]*Table3[[#This Row],[IVA]]</f>
        <v>741</v>
      </c>
      <c r="AE831" s="15">
        <f>Table3[[#This Row],[PrimaComercial Anual Asistencia]]</f>
        <v>5700</v>
      </c>
      <c r="AG831">
        <v>5700</v>
      </c>
    </row>
    <row r="832" spans="1:33" x14ac:dyDescent="0.25">
      <c r="A832" t="s">
        <v>18</v>
      </c>
      <c r="B832">
        <v>700001</v>
      </c>
      <c r="C832">
        <v>37</v>
      </c>
      <c r="D832" s="2">
        <f>Table3[[#This Row],[PrimaTécnica]]-Table3[[#This Row],[PrimaTécnica]]*SUM(Table3[[#This Row],[Gastos Adm]:[Cobranza]])</f>
        <v>2477.3815872000005</v>
      </c>
      <c r="E832">
        <v>0</v>
      </c>
      <c r="F832">
        <v>0.15</v>
      </c>
      <c r="G832">
        <v>0.05</v>
      </c>
      <c r="H832">
        <v>0.01</v>
      </c>
      <c r="I832">
        <v>0.01</v>
      </c>
      <c r="J832" s="8">
        <f>Table3[[#This Row],[PrimaTécnica]]*Table3[[#This Row],[Gastos Adm]]</f>
        <v>476.41953600000005</v>
      </c>
      <c r="K832" s="8">
        <f>Table3[[#This Row],[PrimaTécnica]]*Table3[[#This Row],[Utilidad]]</f>
        <v>158.80651200000003</v>
      </c>
      <c r="L832" s="8">
        <f>Table3[[#This Row],[PrimaTécnica]]*Table3[[#This Row],[Marketing]]</f>
        <v>31.761302400000005</v>
      </c>
      <c r="M832" s="8">
        <f>Table3[[#This Row],[PrimaTécnica]]*Table3[[#This Row],[Cobranza]]</f>
        <v>31.761302400000005</v>
      </c>
      <c r="N83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3176.1302400000004</v>
      </c>
      <c r="O832">
        <v>21.84</v>
      </c>
      <c r="P832">
        <v>54.6</v>
      </c>
      <c r="Q832">
        <v>80.64</v>
      </c>
      <c r="R832">
        <v>44.377200000000002</v>
      </c>
      <c r="S832">
        <v>0.2</v>
      </c>
      <c r="T832">
        <v>0.02</v>
      </c>
      <c r="U832" s="8">
        <f>Table3[[#This Row],[PrimaNeta]]*Table3[[#This Row],[Comisión]]</f>
        <v>844.39686000000006</v>
      </c>
      <c r="V832" s="15">
        <f>Table3[[#This Row],[PrimaComercial Anual]]-Table3[[#This Row],[PrimaComercial Anual]]*SUM(Table3[[#This Row],[APS]:[IVA]])</f>
        <v>4221.9843000000001</v>
      </c>
      <c r="W832" s="2">
        <v>1.4800000000000001E-2</v>
      </c>
      <c r="X832" s="2">
        <v>8.4501000000000007E-2</v>
      </c>
      <c r="Y832">
        <v>0.03</v>
      </c>
      <c r="Z832">
        <v>0.13</v>
      </c>
      <c r="AA832" s="20">
        <f>Table3[[#This Row],[APS]]*Table3[[#This Row],[PrimaComercial Anual]]</f>
        <v>84.36</v>
      </c>
      <c r="AB832" s="8">
        <f>Table3[[#This Row],[PrimaComercial Anual]]*Table3[[#This Row],[Recargo adicional]]</f>
        <v>481.65570000000002</v>
      </c>
      <c r="AC832" s="8">
        <f>Table3[[#This Row],[PrimaComercial Anual]]*Table3[[#This Row],[IT]]</f>
        <v>171</v>
      </c>
      <c r="AD832" s="8">
        <f>Table3[[#This Row],[PrimaComercial Anual]]*Table3[[#This Row],[IVA]]</f>
        <v>741</v>
      </c>
      <c r="AE832" s="15">
        <f>Table3[[#This Row],[PrimaComercial Anual Asistencia]]</f>
        <v>5700</v>
      </c>
      <c r="AG832">
        <v>5700</v>
      </c>
    </row>
    <row r="833" spans="1:33" x14ac:dyDescent="0.25">
      <c r="A833" t="s">
        <v>18</v>
      </c>
      <c r="B833">
        <v>700001</v>
      </c>
      <c r="C833">
        <v>38</v>
      </c>
      <c r="D833" s="2">
        <f>Table3[[#This Row],[PrimaTécnica]]-Table3[[#This Row],[PrimaTécnica]]*SUM(Table3[[#This Row],[Gastos Adm]:[Cobranza]])</f>
        <v>2477.3815872000005</v>
      </c>
      <c r="E833">
        <v>0</v>
      </c>
      <c r="F833">
        <v>0.15</v>
      </c>
      <c r="G833">
        <v>0.05</v>
      </c>
      <c r="H833">
        <v>0.01</v>
      </c>
      <c r="I833">
        <v>0.01</v>
      </c>
      <c r="J833" s="8">
        <f>Table3[[#This Row],[PrimaTécnica]]*Table3[[#This Row],[Gastos Adm]]</f>
        <v>476.41953600000005</v>
      </c>
      <c r="K833" s="8">
        <f>Table3[[#This Row],[PrimaTécnica]]*Table3[[#This Row],[Utilidad]]</f>
        <v>158.80651200000003</v>
      </c>
      <c r="L833" s="8">
        <f>Table3[[#This Row],[PrimaTécnica]]*Table3[[#This Row],[Marketing]]</f>
        <v>31.761302400000005</v>
      </c>
      <c r="M833" s="8">
        <f>Table3[[#This Row],[PrimaTécnica]]*Table3[[#This Row],[Cobranza]]</f>
        <v>31.761302400000005</v>
      </c>
      <c r="N83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3176.1302400000004</v>
      </c>
      <c r="O833">
        <v>21.84</v>
      </c>
      <c r="P833">
        <v>54.6</v>
      </c>
      <c r="Q833">
        <v>80.64</v>
      </c>
      <c r="R833">
        <v>44.377200000000002</v>
      </c>
      <c r="S833">
        <v>0.2</v>
      </c>
      <c r="T833">
        <v>0.02</v>
      </c>
      <c r="U833" s="8">
        <f>Table3[[#This Row],[PrimaNeta]]*Table3[[#This Row],[Comisión]]</f>
        <v>844.39686000000006</v>
      </c>
      <c r="V833" s="15">
        <f>Table3[[#This Row],[PrimaComercial Anual]]-Table3[[#This Row],[PrimaComercial Anual]]*SUM(Table3[[#This Row],[APS]:[IVA]])</f>
        <v>4221.9843000000001</v>
      </c>
      <c r="W833" s="2">
        <v>1.4800000000000001E-2</v>
      </c>
      <c r="X833" s="2">
        <v>8.4501000000000007E-2</v>
      </c>
      <c r="Y833">
        <v>0.03</v>
      </c>
      <c r="Z833">
        <v>0.13</v>
      </c>
      <c r="AA833" s="20">
        <f>Table3[[#This Row],[APS]]*Table3[[#This Row],[PrimaComercial Anual]]</f>
        <v>84.36</v>
      </c>
      <c r="AB833" s="8">
        <f>Table3[[#This Row],[PrimaComercial Anual]]*Table3[[#This Row],[Recargo adicional]]</f>
        <v>481.65570000000002</v>
      </c>
      <c r="AC833" s="8">
        <f>Table3[[#This Row],[PrimaComercial Anual]]*Table3[[#This Row],[IT]]</f>
        <v>171</v>
      </c>
      <c r="AD833" s="8">
        <f>Table3[[#This Row],[PrimaComercial Anual]]*Table3[[#This Row],[IVA]]</f>
        <v>741</v>
      </c>
      <c r="AE833" s="15">
        <f>Table3[[#This Row],[PrimaComercial Anual Asistencia]]</f>
        <v>5700</v>
      </c>
      <c r="AG833">
        <v>5700</v>
      </c>
    </row>
    <row r="834" spans="1:33" x14ac:dyDescent="0.25">
      <c r="A834" t="s">
        <v>18</v>
      </c>
      <c r="B834">
        <v>700001</v>
      </c>
      <c r="C834">
        <v>39</v>
      </c>
      <c r="D834" s="2">
        <f>Table3[[#This Row],[PrimaTécnica]]-Table3[[#This Row],[PrimaTécnica]]*SUM(Table3[[#This Row],[Gastos Adm]:[Cobranza]])</f>
        <v>2477.3815872000005</v>
      </c>
      <c r="E834">
        <v>0</v>
      </c>
      <c r="F834">
        <v>0.15</v>
      </c>
      <c r="G834">
        <v>0.05</v>
      </c>
      <c r="H834">
        <v>0.01</v>
      </c>
      <c r="I834">
        <v>0.01</v>
      </c>
      <c r="J834" s="8">
        <f>Table3[[#This Row],[PrimaTécnica]]*Table3[[#This Row],[Gastos Adm]]</f>
        <v>476.41953600000005</v>
      </c>
      <c r="K834" s="8">
        <f>Table3[[#This Row],[PrimaTécnica]]*Table3[[#This Row],[Utilidad]]</f>
        <v>158.80651200000003</v>
      </c>
      <c r="L834" s="8">
        <f>Table3[[#This Row],[PrimaTécnica]]*Table3[[#This Row],[Marketing]]</f>
        <v>31.761302400000005</v>
      </c>
      <c r="M834" s="8">
        <f>Table3[[#This Row],[PrimaTécnica]]*Table3[[#This Row],[Cobranza]]</f>
        <v>31.761302400000005</v>
      </c>
      <c r="N83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3176.1302400000004</v>
      </c>
      <c r="O834">
        <v>21.84</v>
      </c>
      <c r="P834">
        <v>54.6</v>
      </c>
      <c r="Q834">
        <v>80.64</v>
      </c>
      <c r="R834">
        <v>44.377200000000002</v>
      </c>
      <c r="S834">
        <v>0.2</v>
      </c>
      <c r="T834">
        <v>0.02</v>
      </c>
      <c r="U834" s="8">
        <f>Table3[[#This Row],[PrimaNeta]]*Table3[[#This Row],[Comisión]]</f>
        <v>844.39686000000006</v>
      </c>
      <c r="V834" s="15">
        <f>Table3[[#This Row],[PrimaComercial Anual]]-Table3[[#This Row],[PrimaComercial Anual]]*SUM(Table3[[#This Row],[APS]:[IVA]])</f>
        <v>4221.9843000000001</v>
      </c>
      <c r="W834" s="2">
        <v>1.4800000000000001E-2</v>
      </c>
      <c r="X834" s="2">
        <v>8.4501000000000007E-2</v>
      </c>
      <c r="Y834">
        <v>0.03</v>
      </c>
      <c r="Z834">
        <v>0.13</v>
      </c>
      <c r="AA834" s="20">
        <f>Table3[[#This Row],[APS]]*Table3[[#This Row],[PrimaComercial Anual]]</f>
        <v>84.36</v>
      </c>
      <c r="AB834" s="8">
        <f>Table3[[#This Row],[PrimaComercial Anual]]*Table3[[#This Row],[Recargo adicional]]</f>
        <v>481.65570000000002</v>
      </c>
      <c r="AC834" s="8">
        <f>Table3[[#This Row],[PrimaComercial Anual]]*Table3[[#This Row],[IT]]</f>
        <v>171</v>
      </c>
      <c r="AD834" s="8">
        <f>Table3[[#This Row],[PrimaComercial Anual]]*Table3[[#This Row],[IVA]]</f>
        <v>741</v>
      </c>
      <c r="AE834" s="15">
        <f>Table3[[#This Row],[PrimaComercial Anual Asistencia]]</f>
        <v>5700</v>
      </c>
      <c r="AG834">
        <v>5700</v>
      </c>
    </row>
    <row r="835" spans="1:33" x14ac:dyDescent="0.25">
      <c r="A835" t="s">
        <v>18</v>
      </c>
      <c r="B835">
        <v>700001</v>
      </c>
      <c r="C835">
        <v>40</v>
      </c>
      <c r="D835" s="2">
        <f>Table3[[#This Row],[PrimaTécnica]]-Table3[[#This Row],[PrimaTécnica]]*SUM(Table3[[#This Row],[Gastos Adm]:[Cobranza]])</f>
        <v>3510.1127228543992</v>
      </c>
      <c r="E835">
        <v>0</v>
      </c>
      <c r="F835">
        <v>0.15</v>
      </c>
      <c r="G835">
        <v>0.05</v>
      </c>
      <c r="H835">
        <v>0.01</v>
      </c>
      <c r="I835">
        <v>0.01</v>
      </c>
      <c r="J835" s="8">
        <f>Table3[[#This Row],[PrimaTécnica]]*Table3[[#This Row],[Gastos Adm]]</f>
        <v>675.02167747199985</v>
      </c>
      <c r="K835" s="8">
        <f>Table3[[#This Row],[PrimaTécnica]]*Table3[[#This Row],[Utilidad]]</f>
        <v>225.00722582399996</v>
      </c>
      <c r="L835" s="8">
        <f>Table3[[#This Row],[PrimaTécnica]]*Table3[[#This Row],[Marketing]]</f>
        <v>45.001445164799989</v>
      </c>
      <c r="M835" s="8">
        <f>Table3[[#This Row],[PrimaTécnica]]*Table3[[#This Row],[Cobranza]]</f>
        <v>45.001445164799989</v>
      </c>
      <c r="N83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4500.1445164799989</v>
      </c>
      <c r="O835">
        <v>21.84</v>
      </c>
      <c r="P835">
        <v>54.6</v>
      </c>
      <c r="Q835">
        <v>80.64</v>
      </c>
      <c r="R835">
        <v>44.377200000000002</v>
      </c>
      <c r="S835">
        <v>0.2</v>
      </c>
      <c r="T835">
        <v>0.02</v>
      </c>
      <c r="U835" s="8">
        <f>Table3[[#This Row],[PrimaNeta]]*Table3[[#This Row],[Comisión]]</f>
        <v>1175.4004291199999</v>
      </c>
      <c r="V835" s="15">
        <f>Table3[[#This Row],[PrimaComercial Anual]]-Table3[[#This Row],[PrimaComercial Anual]]*SUM(Table3[[#This Row],[APS]:[IVA]])</f>
        <v>5877.0021455999995</v>
      </c>
      <c r="W835" s="2">
        <v>1.4800000000000001E-2</v>
      </c>
      <c r="X835" s="2">
        <v>8.4501000000000007E-2</v>
      </c>
      <c r="Y835">
        <v>0.03</v>
      </c>
      <c r="Z835">
        <v>0.13</v>
      </c>
      <c r="AA835" s="20">
        <f>Table3[[#This Row],[APS]]*Table3[[#This Row],[PrimaComercial Anual]]</f>
        <v>117.42912</v>
      </c>
      <c r="AB835" s="8">
        <f>Table3[[#This Row],[PrimaComercial Anual]]*Table3[[#This Row],[Recargo adicional]]</f>
        <v>670.4647344</v>
      </c>
      <c r="AC835" s="8">
        <f>Table3[[#This Row],[PrimaComercial Anual]]*Table3[[#This Row],[IT]]</f>
        <v>238.03199999999998</v>
      </c>
      <c r="AD835" s="8">
        <f>Table3[[#This Row],[PrimaComercial Anual]]*Table3[[#This Row],[IVA]]</f>
        <v>1031.472</v>
      </c>
      <c r="AE835" s="15">
        <f>Table3[[#This Row],[PrimaComercial Anual Asistencia]]</f>
        <v>7934.4</v>
      </c>
      <c r="AG835">
        <v>7934.4</v>
      </c>
    </row>
    <row r="836" spans="1:33" x14ac:dyDescent="0.25">
      <c r="A836" t="s">
        <v>18</v>
      </c>
      <c r="B836">
        <v>700001</v>
      </c>
      <c r="C836">
        <v>41</v>
      </c>
      <c r="D836" s="2">
        <f>Table3[[#This Row],[PrimaTécnica]]-Table3[[#This Row],[PrimaTécnica]]*SUM(Table3[[#This Row],[Gastos Adm]:[Cobranza]])</f>
        <v>3510.1127228543992</v>
      </c>
      <c r="E836">
        <v>0</v>
      </c>
      <c r="F836">
        <v>0.15</v>
      </c>
      <c r="G836">
        <v>0.05</v>
      </c>
      <c r="H836">
        <v>0.01</v>
      </c>
      <c r="I836">
        <v>0.01</v>
      </c>
      <c r="J836" s="8">
        <f>Table3[[#This Row],[PrimaTécnica]]*Table3[[#This Row],[Gastos Adm]]</f>
        <v>675.02167747199985</v>
      </c>
      <c r="K836" s="8">
        <f>Table3[[#This Row],[PrimaTécnica]]*Table3[[#This Row],[Utilidad]]</f>
        <v>225.00722582399996</v>
      </c>
      <c r="L836" s="8">
        <f>Table3[[#This Row],[PrimaTécnica]]*Table3[[#This Row],[Marketing]]</f>
        <v>45.001445164799989</v>
      </c>
      <c r="M836" s="8">
        <f>Table3[[#This Row],[PrimaTécnica]]*Table3[[#This Row],[Cobranza]]</f>
        <v>45.001445164799989</v>
      </c>
      <c r="N83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4500.1445164799989</v>
      </c>
      <c r="O836">
        <v>21.84</v>
      </c>
      <c r="P836">
        <v>54.6</v>
      </c>
      <c r="Q836">
        <v>80.64</v>
      </c>
      <c r="R836">
        <v>44.377200000000002</v>
      </c>
      <c r="S836">
        <v>0.2</v>
      </c>
      <c r="T836">
        <v>0.02</v>
      </c>
      <c r="U836" s="8">
        <f>Table3[[#This Row],[PrimaNeta]]*Table3[[#This Row],[Comisión]]</f>
        <v>1175.4004291199999</v>
      </c>
      <c r="V836" s="15">
        <f>Table3[[#This Row],[PrimaComercial Anual]]-Table3[[#This Row],[PrimaComercial Anual]]*SUM(Table3[[#This Row],[APS]:[IVA]])</f>
        <v>5877.0021455999995</v>
      </c>
      <c r="W836" s="2">
        <v>1.4800000000000001E-2</v>
      </c>
      <c r="X836" s="2">
        <v>8.4501000000000007E-2</v>
      </c>
      <c r="Y836">
        <v>0.03</v>
      </c>
      <c r="Z836">
        <v>0.13</v>
      </c>
      <c r="AA836" s="20">
        <f>Table3[[#This Row],[APS]]*Table3[[#This Row],[PrimaComercial Anual]]</f>
        <v>117.42912</v>
      </c>
      <c r="AB836" s="8">
        <f>Table3[[#This Row],[PrimaComercial Anual]]*Table3[[#This Row],[Recargo adicional]]</f>
        <v>670.4647344</v>
      </c>
      <c r="AC836" s="8">
        <f>Table3[[#This Row],[PrimaComercial Anual]]*Table3[[#This Row],[IT]]</f>
        <v>238.03199999999998</v>
      </c>
      <c r="AD836" s="8">
        <f>Table3[[#This Row],[PrimaComercial Anual]]*Table3[[#This Row],[IVA]]</f>
        <v>1031.472</v>
      </c>
      <c r="AE836" s="15">
        <f>Table3[[#This Row],[PrimaComercial Anual Asistencia]]</f>
        <v>7934.4</v>
      </c>
      <c r="AG836">
        <v>7934.4</v>
      </c>
    </row>
    <row r="837" spans="1:33" x14ac:dyDescent="0.25">
      <c r="A837" t="s">
        <v>18</v>
      </c>
      <c r="B837">
        <v>700001</v>
      </c>
      <c r="C837">
        <v>42</v>
      </c>
      <c r="D837" s="2">
        <f>Table3[[#This Row],[PrimaTécnica]]-Table3[[#This Row],[PrimaTécnica]]*SUM(Table3[[#This Row],[Gastos Adm]:[Cobranza]])</f>
        <v>3510.1127228543992</v>
      </c>
      <c r="E837">
        <v>0</v>
      </c>
      <c r="F837">
        <v>0.15</v>
      </c>
      <c r="G837">
        <v>0.05</v>
      </c>
      <c r="H837">
        <v>0.01</v>
      </c>
      <c r="I837">
        <v>0.01</v>
      </c>
      <c r="J837" s="8">
        <f>Table3[[#This Row],[PrimaTécnica]]*Table3[[#This Row],[Gastos Adm]]</f>
        <v>675.02167747199985</v>
      </c>
      <c r="K837" s="8">
        <f>Table3[[#This Row],[PrimaTécnica]]*Table3[[#This Row],[Utilidad]]</f>
        <v>225.00722582399996</v>
      </c>
      <c r="L837" s="8">
        <f>Table3[[#This Row],[PrimaTécnica]]*Table3[[#This Row],[Marketing]]</f>
        <v>45.001445164799989</v>
      </c>
      <c r="M837" s="8">
        <f>Table3[[#This Row],[PrimaTécnica]]*Table3[[#This Row],[Cobranza]]</f>
        <v>45.001445164799989</v>
      </c>
      <c r="N83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4500.1445164799989</v>
      </c>
      <c r="O837">
        <v>21.84</v>
      </c>
      <c r="P837">
        <v>54.6</v>
      </c>
      <c r="Q837">
        <v>80.64</v>
      </c>
      <c r="R837">
        <v>44.377200000000002</v>
      </c>
      <c r="S837">
        <v>0.2</v>
      </c>
      <c r="T837">
        <v>0.02</v>
      </c>
      <c r="U837" s="8">
        <f>Table3[[#This Row],[PrimaNeta]]*Table3[[#This Row],[Comisión]]</f>
        <v>1175.4004291199999</v>
      </c>
      <c r="V837" s="15">
        <f>Table3[[#This Row],[PrimaComercial Anual]]-Table3[[#This Row],[PrimaComercial Anual]]*SUM(Table3[[#This Row],[APS]:[IVA]])</f>
        <v>5877.0021455999995</v>
      </c>
      <c r="W837" s="2">
        <v>1.4800000000000001E-2</v>
      </c>
      <c r="X837" s="2">
        <v>8.4501000000000007E-2</v>
      </c>
      <c r="Y837">
        <v>0.03</v>
      </c>
      <c r="Z837">
        <v>0.13</v>
      </c>
      <c r="AA837" s="20">
        <f>Table3[[#This Row],[APS]]*Table3[[#This Row],[PrimaComercial Anual]]</f>
        <v>117.42912</v>
      </c>
      <c r="AB837" s="8">
        <f>Table3[[#This Row],[PrimaComercial Anual]]*Table3[[#This Row],[Recargo adicional]]</f>
        <v>670.4647344</v>
      </c>
      <c r="AC837" s="8">
        <f>Table3[[#This Row],[PrimaComercial Anual]]*Table3[[#This Row],[IT]]</f>
        <v>238.03199999999998</v>
      </c>
      <c r="AD837" s="8">
        <f>Table3[[#This Row],[PrimaComercial Anual]]*Table3[[#This Row],[IVA]]</f>
        <v>1031.472</v>
      </c>
      <c r="AE837" s="15">
        <f>Table3[[#This Row],[PrimaComercial Anual Asistencia]]</f>
        <v>7934.4</v>
      </c>
      <c r="AG837">
        <v>7934.4</v>
      </c>
    </row>
    <row r="838" spans="1:33" x14ac:dyDescent="0.25">
      <c r="A838" t="s">
        <v>18</v>
      </c>
      <c r="B838">
        <v>700001</v>
      </c>
      <c r="C838">
        <v>43</v>
      </c>
      <c r="D838" s="2">
        <f>Table3[[#This Row],[PrimaTécnica]]-Table3[[#This Row],[PrimaTécnica]]*SUM(Table3[[#This Row],[Gastos Adm]:[Cobranza]])</f>
        <v>3510.1127228543992</v>
      </c>
      <c r="E838">
        <v>0</v>
      </c>
      <c r="F838">
        <v>0.15</v>
      </c>
      <c r="G838">
        <v>0.05</v>
      </c>
      <c r="H838">
        <v>0.01</v>
      </c>
      <c r="I838">
        <v>0.01</v>
      </c>
      <c r="J838" s="8">
        <f>Table3[[#This Row],[PrimaTécnica]]*Table3[[#This Row],[Gastos Adm]]</f>
        <v>675.02167747199985</v>
      </c>
      <c r="K838" s="8">
        <f>Table3[[#This Row],[PrimaTécnica]]*Table3[[#This Row],[Utilidad]]</f>
        <v>225.00722582399996</v>
      </c>
      <c r="L838" s="8">
        <f>Table3[[#This Row],[PrimaTécnica]]*Table3[[#This Row],[Marketing]]</f>
        <v>45.001445164799989</v>
      </c>
      <c r="M838" s="8">
        <f>Table3[[#This Row],[PrimaTécnica]]*Table3[[#This Row],[Cobranza]]</f>
        <v>45.001445164799989</v>
      </c>
      <c r="N83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4500.1445164799989</v>
      </c>
      <c r="O838">
        <v>21.84</v>
      </c>
      <c r="P838">
        <v>54.6</v>
      </c>
      <c r="Q838">
        <v>80.64</v>
      </c>
      <c r="R838">
        <v>44.377200000000002</v>
      </c>
      <c r="S838">
        <v>0.2</v>
      </c>
      <c r="T838">
        <v>0.02</v>
      </c>
      <c r="U838" s="8">
        <f>Table3[[#This Row],[PrimaNeta]]*Table3[[#This Row],[Comisión]]</f>
        <v>1175.4004291199999</v>
      </c>
      <c r="V838" s="15">
        <f>Table3[[#This Row],[PrimaComercial Anual]]-Table3[[#This Row],[PrimaComercial Anual]]*SUM(Table3[[#This Row],[APS]:[IVA]])</f>
        <v>5877.0021455999995</v>
      </c>
      <c r="W838" s="2">
        <v>1.4800000000000001E-2</v>
      </c>
      <c r="X838" s="2">
        <v>8.4501000000000007E-2</v>
      </c>
      <c r="Y838">
        <v>0.03</v>
      </c>
      <c r="Z838">
        <v>0.13</v>
      </c>
      <c r="AA838" s="20">
        <f>Table3[[#This Row],[APS]]*Table3[[#This Row],[PrimaComercial Anual]]</f>
        <v>117.42912</v>
      </c>
      <c r="AB838" s="8">
        <f>Table3[[#This Row],[PrimaComercial Anual]]*Table3[[#This Row],[Recargo adicional]]</f>
        <v>670.4647344</v>
      </c>
      <c r="AC838" s="8">
        <f>Table3[[#This Row],[PrimaComercial Anual]]*Table3[[#This Row],[IT]]</f>
        <v>238.03199999999998</v>
      </c>
      <c r="AD838" s="8">
        <f>Table3[[#This Row],[PrimaComercial Anual]]*Table3[[#This Row],[IVA]]</f>
        <v>1031.472</v>
      </c>
      <c r="AE838" s="15">
        <f>Table3[[#This Row],[PrimaComercial Anual Asistencia]]</f>
        <v>7934.4</v>
      </c>
      <c r="AG838">
        <v>7934.4</v>
      </c>
    </row>
    <row r="839" spans="1:33" x14ac:dyDescent="0.25">
      <c r="A839" t="s">
        <v>18</v>
      </c>
      <c r="B839">
        <v>700001</v>
      </c>
      <c r="C839">
        <v>44</v>
      </c>
      <c r="D839" s="2">
        <f>Table3[[#This Row],[PrimaTécnica]]-Table3[[#This Row],[PrimaTécnica]]*SUM(Table3[[#This Row],[Gastos Adm]:[Cobranza]])</f>
        <v>3510.1127228543992</v>
      </c>
      <c r="E839">
        <v>0</v>
      </c>
      <c r="F839">
        <v>0.15</v>
      </c>
      <c r="G839">
        <v>0.05</v>
      </c>
      <c r="H839">
        <v>0.01</v>
      </c>
      <c r="I839">
        <v>0.01</v>
      </c>
      <c r="J839" s="8">
        <f>Table3[[#This Row],[PrimaTécnica]]*Table3[[#This Row],[Gastos Adm]]</f>
        <v>675.02167747199985</v>
      </c>
      <c r="K839" s="8">
        <f>Table3[[#This Row],[PrimaTécnica]]*Table3[[#This Row],[Utilidad]]</f>
        <v>225.00722582399996</v>
      </c>
      <c r="L839" s="8">
        <f>Table3[[#This Row],[PrimaTécnica]]*Table3[[#This Row],[Marketing]]</f>
        <v>45.001445164799989</v>
      </c>
      <c r="M839" s="8">
        <f>Table3[[#This Row],[PrimaTécnica]]*Table3[[#This Row],[Cobranza]]</f>
        <v>45.001445164799989</v>
      </c>
      <c r="N83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4500.1445164799989</v>
      </c>
      <c r="O839">
        <v>21.84</v>
      </c>
      <c r="P839">
        <v>54.6</v>
      </c>
      <c r="Q839">
        <v>80.64</v>
      </c>
      <c r="R839">
        <v>44.377200000000002</v>
      </c>
      <c r="S839">
        <v>0.2</v>
      </c>
      <c r="T839">
        <v>0.02</v>
      </c>
      <c r="U839" s="8">
        <f>Table3[[#This Row],[PrimaNeta]]*Table3[[#This Row],[Comisión]]</f>
        <v>1175.4004291199999</v>
      </c>
      <c r="V839" s="15">
        <f>Table3[[#This Row],[PrimaComercial Anual]]-Table3[[#This Row],[PrimaComercial Anual]]*SUM(Table3[[#This Row],[APS]:[IVA]])</f>
        <v>5877.0021455999995</v>
      </c>
      <c r="W839" s="2">
        <v>1.4800000000000001E-2</v>
      </c>
      <c r="X839" s="2">
        <v>8.4501000000000007E-2</v>
      </c>
      <c r="Y839">
        <v>0.03</v>
      </c>
      <c r="Z839">
        <v>0.13</v>
      </c>
      <c r="AA839" s="20">
        <f>Table3[[#This Row],[APS]]*Table3[[#This Row],[PrimaComercial Anual]]</f>
        <v>117.42912</v>
      </c>
      <c r="AB839" s="8">
        <f>Table3[[#This Row],[PrimaComercial Anual]]*Table3[[#This Row],[Recargo adicional]]</f>
        <v>670.4647344</v>
      </c>
      <c r="AC839" s="8">
        <f>Table3[[#This Row],[PrimaComercial Anual]]*Table3[[#This Row],[IT]]</f>
        <v>238.03199999999998</v>
      </c>
      <c r="AD839" s="8">
        <f>Table3[[#This Row],[PrimaComercial Anual]]*Table3[[#This Row],[IVA]]</f>
        <v>1031.472</v>
      </c>
      <c r="AE839" s="15">
        <f>Table3[[#This Row],[PrimaComercial Anual Asistencia]]</f>
        <v>7934.4</v>
      </c>
      <c r="AG839">
        <v>7934.4</v>
      </c>
    </row>
    <row r="840" spans="1:33" x14ac:dyDescent="0.25">
      <c r="A840" t="s">
        <v>18</v>
      </c>
      <c r="B840">
        <v>700001</v>
      </c>
      <c r="C840">
        <v>45</v>
      </c>
      <c r="D840" s="2">
        <f>Table3[[#This Row],[PrimaTécnica]]-Table3[[#This Row],[PrimaTécnica]]*SUM(Table3[[#This Row],[Gastos Adm]:[Cobranza]])</f>
        <v>3510.1127228543992</v>
      </c>
      <c r="E840">
        <v>0</v>
      </c>
      <c r="F840">
        <v>0.15</v>
      </c>
      <c r="G840">
        <v>0.05</v>
      </c>
      <c r="H840">
        <v>0.01</v>
      </c>
      <c r="I840">
        <v>0.01</v>
      </c>
      <c r="J840" s="8">
        <f>Table3[[#This Row],[PrimaTécnica]]*Table3[[#This Row],[Gastos Adm]]</f>
        <v>675.02167747199985</v>
      </c>
      <c r="K840" s="8">
        <f>Table3[[#This Row],[PrimaTécnica]]*Table3[[#This Row],[Utilidad]]</f>
        <v>225.00722582399996</v>
      </c>
      <c r="L840" s="8">
        <f>Table3[[#This Row],[PrimaTécnica]]*Table3[[#This Row],[Marketing]]</f>
        <v>45.001445164799989</v>
      </c>
      <c r="M840" s="8">
        <f>Table3[[#This Row],[PrimaTécnica]]*Table3[[#This Row],[Cobranza]]</f>
        <v>45.001445164799989</v>
      </c>
      <c r="N84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4500.1445164799989</v>
      </c>
      <c r="O840">
        <v>21.84</v>
      </c>
      <c r="P840">
        <v>54.6</v>
      </c>
      <c r="Q840">
        <v>80.64</v>
      </c>
      <c r="R840">
        <v>44.377200000000002</v>
      </c>
      <c r="S840">
        <v>0.2</v>
      </c>
      <c r="T840">
        <v>0.02</v>
      </c>
      <c r="U840" s="8">
        <f>Table3[[#This Row],[PrimaNeta]]*Table3[[#This Row],[Comisión]]</f>
        <v>1175.4004291199999</v>
      </c>
      <c r="V840" s="15">
        <f>Table3[[#This Row],[PrimaComercial Anual]]-Table3[[#This Row],[PrimaComercial Anual]]*SUM(Table3[[#This Row],[APS]:[IVA]])</f>
        <v>5877.0021455999995</v>
      </c>
      <c r="W840" s="2">
        <v>1.4800000000000001E-2</v>
      </c>
      <c r="X840" s="2">
        <v>8.4501000000000007E-2</v>
      </c>
      <c r="Y840">
        <v>0.03</v>
      </c>
      <c r="Z840">
        <v>0.13</v>
      </c>
      <c r="AA840" s="20">
        <f>Table3[[#This Row],[APS]]*Table3[[#This Row],[PrimaComercial Anual]]</f>
        <v>117.42912</v>
      </c>
      <c r="AB840" s="8">
        <f>Table3[[#This Row],[PrimaComercial Anual]]*Table3[[#This Row],[Recargo adicional]]</f>
        <v>670.4647344</v>
      </c>
      <c r="AC840" s="8">
        <f>Table3[[#This Row],[PrimaComercial Anual]]*Table3[[#This Row],[IT]]</f>
        <v>238.03199999999998</v>
      </c>
      <c r="AD840" s="8">
        <f>Table3[[#This Row],[PrimaComercial Anual]]*Table3[[#This Row],[IVA]]</f>
        <v>1031.472</v>
      </c>
      <c r="AE840" s="15">
        <f>Table3[[#This Row],[PrimaComercial Anual Asistencia]]</f>
        <v>7934.4</v>
      </c>
      <c r="AG840">
        <v>7934.4</v>
      </c>
    </row>
    <row r="841" spans="1:33" x14ac:dyDescent="0.25">
      <c r="A841" t="s">
        <v>18</v>
      </c>
      <c r="B841">
        <v>700001</v>
      </c>
      <c r="C841">
        <v>46</v>
      </c>
      <c r="D841" s="2">
        <f>Table3[[#This Row],[PrimaTécnica]]-Table3[[#This Row],[PrimaTécnica]]*SUM(Table3[[#This Row],[Gastos Adm]:[Cobranza]])</f>
        <v>3510.1127228543992</v>
      </c>
      <c r="E841">
        <v>0</v>
      </c>
      <c r="F841">
        <v>0.15</v>
      </c>
      <c r="G841">
        <v>0.05</v>
      </c>
      <c r="H841">
        <v>0.01</v>
      </c>
      <c r="I841">
        <v>0.01</v>
      </c>
      <c r="J841" s="8">
        <f>Table3[[#This Row],[PrimaTécnica]]*Table3[[#This Row],[Gastos Adm]]</f>
        <v>675.02167747199985</v>
      </c>
      <c r="K841" s="8">
        <f>Table3[[#This Row],[PrimaTécnica]]*Table3[[#This Row],[Utilidad]]</f>
        <v>225.00722582399996</v>
      </c>
      <c r="L841" s="8">
        <f>Table3[[#This Row],[PrimaTécnica]]*Table3[[#This Row],[Marketing]]</f>
        <v>45.001445164799989</v>
      </c>
      <c r="M841" s="8">
        <f>Table3[[#This Row],[PrimaTécnica]]*Table3[[#This Row],[Cobranza]]</f>
        <v>45.001445164799989</v>
      </c>
      <c r="N84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4500.1445164799989</v>
      </c>
      <c r="O841">
        <v>21.84</v>
      </c>
      <c r="P841">
        <v>54.6</v>
      </c>
      <c r="Q841">
        <v>80.64</v>
      </c>
      <c r="R841">
        <v>44.377200000000002</v>
      </c>
      <c r="S841">
        <v>0.2</v>
      </c>
      <c r="T841">
        <v>0.02</v>
      </c>
      <c r="U841" s="8">
        <f>Table3[[#This Row],[PrimaNeta]]*Table3[[#This Row],[Comisión]]</f>
        <v>1175.4004291199999</v>
      </c>
      <c r="V841" s="15">
        <f>Table3[[#This Row],[PrimaComercial Anual]]-Table3[[#This Row],[PrimaComercial Anual]]*SUM(Table3[[#This Row],[APS]:[IVA]])</f>
        <v>5877.0021455999995</v>
      </c>
      <c r="W841" s="2">
        <v>1.4800000000000001E-2</v>
      </c>
      <c r="X841" s="2">
        <v>8.4501000000000007E-2</v>
      </c>
      <c r="Y841">
        <v>0.03</v>
      </c>
      <c r="Z841">
        <v>0.13</v>
      </c>
      <c r="AA841" s="20">
        <f>Table3[[#This Row],[APS]]*Table3[[#This Row],[PrimaComercial Anual]]</f>
        <v>117.42912</v>
      </c>
      <c r="AB841" s="8">
        <f>Table3[[#This Row],[PrimaComercial Anual]]*Table3[[#This Row],[Recargo adicional]]</f>
        <v>670.4647344</v>
      </c>
      <c r="AC841" s="8">
        <f>Table3[[#This Row],[PrimaComercial Anual]]*Table3[[#This Row],[IT]]</f>
        <v>238.03199999999998</v>
      </c>
      <c r="AD841" s="8">
        <f>Table3[[#This Row],[PrimaComercial Anual]]*Table3[[#This Row],[IVA]]</f>
        <v>1031.472</v>
      </c>
      <c r="AE841" s="15">
        <f>Table3[[#This Row],[PrimaComercial Anual Asistencia]]</f>
        <v>7934.4</v>
      </c>
      <c r="AG841">
        <v>7934.4</v>
      </c>
    </row>
    <row r="842" spans="1:33" x14ac:dyDescent="0.25">
      <c r="A842" t="s">
        <v>18</v>
      </c>
      <c r="B842">
        <v>700001</v>
      </c>
      <c r="C842">
        <v>47</v>
      </c>
      <c r="D842" s="2">
        <f>Table3[[#This Row],[PrimaTécnica]]-Table3[[#This Row],[PrimaTécnica]]*SUM(Table3[[#This Row],[Gastos Adm]:[Cobranza]])</f>
        <v>3510.1127228543992</v>
      </c>
      <c r="E842">
        <v>0</v>
      </c>
      <c r="F842">
        <v>0.15</v>
      </c>
      <c r="G842">
        <v>0.05</v>
      </c>
      <c r="H842">
        <v>0.01</v>
      </c>
      <c r="I842">
        <v>0.01</v>
      </c>
      <c r="J842" s="8">
        <f>Table3[[#This Row],[PrimaTécnica]]*Table3[[#This Row],[Gastos Adm]]</f>
        <v>675.02167747199985</v>
      </c>
      <c r="K842" s="8">
        <f>Table3[[#This Row],[PrimaTécnica]]*Table3[[#This Row],[Utilidad]]</f>
        <v>225.00722582399996</v>
      </c>
      <c r="L842" s="8">
        <f>Table3[[#This Row],[PrimaTécnica]]*Table3[[#This Row],[Marketing]]</f>
        <v>45.001445164799989</v>
      </c>
      <c r="M842" s="8">
        <f>Table3[[#This Row],[PrimaTécnica]]*Table3[[#This Row],[Cobranza]]</f>
        <v>45.001445164799989</v>
      </c>
      <c r="N84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4500.1445164799989</v>
      </c>
      <c r="O842">
        <v>21.84</v>
      </c>
      <c r="P842">
        <v>54.6</v>
      </c>
      <c r="Q842">
        <v>80.64</v>
      </c>
      <c r="R842">
        <v>44.377200000000002</v>
      </c>
      <c r="S842">
        <v>0.2</v>
      </c>
      <c r="T842">
        <v>0.02</v>
      </c>
      <c r="U842" s="8">
        <f>Table3[[#This Row],[PrimaNeta]]*Table3[[#This Row],[Comisión]]</f>
        <v>1175.4004291199999</v>
      </c>
      <c r="V842" s="15">
        <f>Table3[[#This Row],[PrimaComercial Anual]]-Table3[[#This Row],[PrimaComercial Anual]]*SUM(Table3[[#This Row],[APS]:[IVA]])</f>
        <v>5877.0021455999995</v>
      </c>
      <c r="W842" s="2">
        <v>1.4800000000000001E-2</v>
      </c>
      <c r="X842" s="2">
        <v>8.4501000000000007E-2</v>
      </c>
      <c r="Y842">
        <v>0.03</v>
      </c>
      <c r="Z842">
        <v>0.13</v>
      </c>
      <c r="AA842" s="20">
        <f>Table3[[#This Row],[APS]]*Table3[[#This Row],[PrimaComercial Anual]]</f>
        <v>117.42912</v>
      </c>
      <c r="AB842" s="8">
        <f>Table3[[#This Row],[PrimaComercial Anual]]*Table3[[#This Row],[Recargo adicional]]</f>
        <v>670.4647344</v>
      </c>
      <c r="AC842" s="8">
        <f>Table3[[#This Row],[PrimaComercial Anual]]*Table3[[#This Row],[IT]]</f>
        <v>238.03199999999998</v>
      </c>
      <c r="AD842" s="8">
        <f>Table3[[#This Row],[PrimaComercial Anual]]*Table3[[#This Row],[IVA]]</f>
        <v>1031.472</v>
      </c>
      <c r="AE842" s="15">
        <f>Table3[[#This Row],[PrimaComercial Anual Asistencia]]</f>
        <v>7934.4</v>
      </c>
      <c r="AG842">
        <v>7934.4</v>
      </c>
    </row>
    <row r="843" spans="1:33" x14ac:dyDescent="0.25">
      <c r="A843" t="s">
        <v>18</v>
      </c>
      <c r="B843">
        <v>700001</v>
      </c>
      <c r="C843">
        <v>48</v>
      </c>
      <c r="D843" s="2">
        <f>Table3[[#This Row],[PrimaTécnica]]-Table3[[#This Row],[PrimaTécnica]]*SUM(Table3[[#This Row],[Gastos Adm]:[Cobranza]])</f>
        <v>3510.1127228543992</v>
      </c>
      <c r="E843">
        <v>0</v>
      </c>
      <c r="F843">
        <v>0.15</v>
      </c>
      <c r="G843">
        <v>0.05</v>
      </c>
      <c r="H843">
        <v>0.01</v>
      </c>
      <c r="I843">
        <v>0.01</v>
      </c>
      <c r="J843" s="8">
        <f>Table3[[#This Row],[PrimaTécnica]]*Table3[[#This Row],[Gastos Adm]]</f>
        <v>675.02167747199985</v>
      </c>
      <c r="K843" s="8">
        <f>Table3[[#This Row],[PrimaTécnica]]*Table3[[#This Row],[Utilidad]]</f>
        <v>225.00722582399996</v>
      </c>
      <c r="L843" s="8">
        <f>Table3[[#This Row],[PrimaTécnica]]*Table3[[#This Row],[Marketing]]</f>
        <v>45.001445164799989</v>
      </c>
      <c r="M843" s="8">
        <f>Table3[[#This Row],[PrimaTécnica]]*Table3[[#This Row],[Cobranza]]</f>
        <v>45.001445164799989</v>
      </c>
      <c r="N84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4500.1445164799989</v>
      </c>
      <c r="O843">
        <v>21.84</v>
      </c>
      <c r="P843">
        <v>54.6</v>
      </c>
      <c r="Q843">
        <v>80.64</v>
      </c>
      <c r="R843">
        <v>44.377200000000002</v>
      </c>
      <c r="S843">
        <v>0.2</v>
      </c>
      <c r="T843">
        <v>0.02</v>
      </c>
      <c r="U843" s="8">
        <f>Table3[[#This Row],[PrimaNeta]]*Table3[[#This Row],[Comisión]]</f>
        <v>1175.4004291199999</v>
      </c>
      <c r="V843" s="15">
        <f>Table3[[#This Row],[PrimaComercial Anual]]-Table3[[#This Row],[PrimaComercial Anual]]*SUM(Table3[[#This Row],[APS]:[IVA]])</f>
        <v>5877.0021455999995</v>
      </c>
      <c r="W843" s="2">
        <v>1.4800000000000001E-2</v>
      </c>
      <c r="X843" s="2">
        <v>8.4501000000000007E-2</v>
      </c>
      <c r="Y843">
        <v>0.03</v>
      </c>
      <c r="Z843">
        <v>0.13</v>
      </c>
      <c r="AA843" s="20">
        <f>Table3[[#This Row],[APS]]*Table3[[#This Row],[PrimaComercial Anual]]</f>
        <v>117.42912</v>
      </c>
      <c r="AB843" s="8">
        <f>Table3[[#This Row],[PrimaComercial Anual]]*Table3[[#This Row],[Recargo adicional]]</f>
        <v>670.4647344</v>
      </c>
      <c r="AC843" s="8">
        <f>Table3[[#This Row],[PrimaComercial Anual]]*Table3[[#This Row],[IT]]</f>
        <v>238.03199999999998</v>
      </c>
      <c r="AD843" s="8">
        <f>Table3[[#This Row],[PrimaComercial Anual]]*Table3[[#This Row],[IVA]]</f>
        <v>1031.472</v>
      </c>
      <c r="AE843" s="15">
        <f>Table3[[#This Row],[PrimaComercial Anual Asistencia]]</f>
        <v>7934.4</v>
      </c>
      <c r="AG843">
        <v>7934.4</v>
      </c>
    </row>
    <row r="844" spans="1:33" x14ac:dyDescent="0.25">
      <c r="A844" t="s">
        <v>18</v>
      </c>
      <c r="B844">
        <v>700001</v>
      </c>
      <c r="C844">
        <v>49</v>
      </c>
      <c r="D844" s="2">
        <f>Table3[[#This Row],[PrimaTécnica]]-Table3[[#This Row],[PrimaTécnica]]*SUM(Table3[[#This Row],[Gastos Adm]:[Cobranza]])</f>
        <v>3510.1127228543992</v>
      </c>
      <c r="E844">
        <v>0</v>
      </c>
      <c r="F844">
        <v>0.15</v>
      </c>
      <c r="G844">
        <v>0.05</v>
      </c>
      <c r="H844">
        <v>0.01</v>
      </c>
      <c r="I844">
        <v>0.01</v>
      </c>
      <c r="J844" s="8">
        <f>Table3[[#This Row],[PrimaTécnica]]*Table3[[#This Row],[Gastos Adm]]</f>
        <v>675.02167747199985</v>
      </c>
      <c r="K844" s="8">
        <f>Table3[[#This Row],[PrimaTécnica]]*Table3[[#This Row],[Utilidad]]</f>
        <v>225.00722582399996</v>
      </c>
      <c r="L844" s="8">
        <f>Table3[[#This Row],[PrimaTécnica]]*Table3[[#This Row],[Marketing]]</f>
        <v>45.001445164799989</v>
      </c>
      <c r="M844" s="8">
        <f>Table3[[#This Row],[PrimaTécnica]]*Table3[[#This Row],[Cobranza]]</f>
        <v>45.001445164799989</v>
      </c>
      <c r="N84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4500.1445164799989</v>
      </c>
      <c r="O844">
        <v>21.84</v>
      </c>
      <c r="P844">
        <v>54.6</v>
      </c>
      <c r="Q844">
        <v>80.64</v>
      </c>
      <c r="R844">
        <v>44.377200000000002</v>
      </c>
      <c r="S844">
        <v>0.2</v>
      </c>
      <c r="T844">
        <v>0.02</v>
      </c>
      <c r="U844" s="8">
        <f>Table3[[#This Row],[PrimaNeta]]*Table3[[#This Row],[Comisión]]</f>
        <v>1175.4004291199999</v>
      </c>
      <c r="V844" s="15">
        <f>Table3[[#This Row],[PrimaComercial Anual]]-Table3[[#This Row],[PrimaComercial Anual]]*SUM(Table3[[#This Row],[APS]:[IVA]])</f>
        <v>5877.0021455999995</v>
      </c>
      <c r="W844" s="2">
        <v>1.4800000000000001E-2</v>
      </c>
      <c r="X844" s="2">
        <v>8.4501000000000007E-2</v>
      </c>
      <c r="Y844">
        <v>0.03</v>
      </c>
      <c r="Z844">
        <v>0.13</v>
      </c>
      <c r="AA844" s="20">
        <f>Table3[[#This Row],[APS]]*Table3[[#This Row],[PrimaComercial Anual]]</f>
        <v>117.42912</v>
      </c>
      <c r="AB844" s="8">
        <f>Table3[[#This Row],[PrimaComercial Anual]]*Table3[[#This Row],[Recargo adicional]]</f>
        <v>670.4647344</v>
      </c>
      <c r="AC844" s="8">
        <f>Table3[[#This Row],[PrimaComercial Anual]]*Table3[[#This Row],[IT]]</f>
        <v>238.03199999999998</v>
      </c>
      <c r="AD844" s="8">
        <f>Table3[[#This Row],[PrimaComercial Anual]]*Table3[[#This Row],[IVA]]</f>
        <v>1031.472</v>
      </c>
      <c r="AE844" s="15">
        <f>Table3[[#This Row],[PrimaComercial Anual Asistencia]]</f>
        <v>7934.4</v>
      </c>
      <c r="AG844">
        <v>7934.4</v>
      </c>
    </row>
    <row r="845" spans="1:33" x14ac:dyDescent="0.25">
      <c r="A845" t="s">
        <v>18</v>
      </c>
      <c r="B845">
        <v>700001</v>
      </c>
      <c r="C845">
        <v>50</v>
      </c>
      <c r="D845" s="2">
        <f>Table3[[#This Row],[PrimaTécnica]]-Table3[[#This Row],[PrimaTécnica]]*SUM(Table3[[#This Row],[Gastos Adm]:[Cobranza]])</f>
        <v>3805.1787616127986</v>
      </c>
      <c r="E845">
        <v>0</v>
      </c>
      <c r="F845">
        <v>0.15</v>
      </c>
      <c r="G845">
        <v>0.05</v>
      </c>
      <c r="H845">
        <v>0.01</v>
      </c>
      <c r="I845">
        <v>0.01</v>
      </c>
      <c r="J845" s="8">
        <f>Table3[[#This Row],[PrimaTécnica]]*Table3[[#This Row],[Gastos Adm]]</f>
        <v>731.76514646399971</v>
      </c>
      <c r="K845" s="8">
        <f>Table3[[#This Row],[PrimaTécnica]]*Table3[[#This Row],[Utilidad]]</f>
        <v>243.92171548799993</v>
      </c>
      <c r="L845" s="8">
        <f>Table3[[#This Row],[PrimaTécnica]]*Table3[[#This Row],[Marketing]]</f>
        <v>48.784343097599987</v>
      </c>
      <c r="M845" s="8">
        <f>Table3[[#This Row],[PrimaTécnica]]*Table3[[#This Row],[Cobranza]]</f>
        <v>48.784343097599987</v>
      </c>
      <c r="N84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4878.4343097599985</v>
      </c>
      <c r="O845">
        <v>21.84</v>
      </c>
      <c r="P845">
        <v>54.6</v>
      </c>
      <c r="Q845">
        <v>80.64</v>
      </c>
      <c r="R845">
        <v>44.377200000000002</v>
      </c>
      <c r="S845">
        <v>0.2</v>
      </c>
      <c r="T845">
        <v>0.02</v>
      </c>
      <c r="U845" s="8">
        <f>Table3[[#This Row],[PrimaNeta]]*Table3[[#This Row],[Comisión]]</f>
        <v>1269.97287744</v>
      </c>
      <c r="V845" s="15">
        <f>Table3[[#This Row],[PrimaComercial Anual]]-Table3[[#This Row],[PrimaComercial Anual]]*SUM(Table3[[#This Row],[APS]:[IVA]])</f>
        <v>6349.8643871999993</v>
      </c>
      <c r="W845" s="2">
        <v>1.4800000000000001E-2</v>
      </c>
      <c r="X845" s="2">
        <v>8.4501000000000007E-2</v>
      </c>
      <c r="Y845">
        <v>0.03</v>
      </c>
      <c r="Z845">
        <v>0.13</v>
      </c>
      <c r="AA845" s="20">
        <f>Table3[[#This Row],[APS]]*Table3[[#This Row],[PrimaComercial Anual]]</f>
        <v>126.87743999999999</v>
      </c>
      <c r="AB845" s="8">
        <f>Table3[[#This Row],[PrimaComercial Anual]]*Table3[[#This Row],[Recargo adicional]]</f>
        <v>724.41017279999994</v>
      </c>
      <c r="AC845" s="8">
        <f>Table3[[#This Row],[PrimaComercial Anual]]*Table3[[#This Row],[IT]]</f>
        <v>257.18399999999997</v>
      </c>
      <c r="AD845" s="8">
        <f>Table3[[#This Row],[PrimaComercial Anual]]*Table3[[#This Row],[IVA]]</f>
        <v>1114.4639999999999</v>
      </c>
      <c r="AE845" s="15">
        <f>Table3[[#This Row],[PrimaComercial Anual Asistencia]]</f>
        <v>8572.7999999999993</v>
      </c>
      <c r="AG845">
        <v>8572.7999999999993</v>
      </c>
    </row>
    <row r="846" spans="1:33" x14ac:dyDescent="0.25">
      <c r="A846" t="s">
        <v>18</v>
      </c>
      <c r="B846">
        <v>700001</v>
      </c>
      <c r="C846">
        <v>51</v>
      </c>
      <c r="D846" s="2">
        <f>Table3[[#This Row],[PrimaTécnica]]-Table3[[#This Row],[PrimaTécnica]]*SUM(Table3[[#This Row],[Gastos Adm]:[Cobranza]])</f>
        <v>3805.1787616127986</v>
      </c>
      <c r="E846">
        <v>0</v>
      </c>
      <c r="F846">
        <v>0.15</v>
      </c>
      <c r="G846">
        <v>0.05</v>
      </c>
      <c r="H846">
        <v>0.01</v>
      </c>
      <c r="I846">
        <v>0.01</v>
      </c>
      <c r="J846" s="8">
        <f>Table3[[#This Row],[PrimaTécnica]]*Table3[[#This Row],[Gastos Adm]]</f>
        <v>731.76514646399971</v>
      </c>
      <c r="K846" s="8">
        <f>Table3[[#This Row],[PrimaTécnica]]*Table3[[#This Row],[Utilidad]]</f>
        <v>243.92171548799993</v>
      </c>
      <c r="L846" s="8">
        <f>Table3[[#This Row],[PrimaTécnica]]*Table3[[#This Row],[Marketing]]</f>
        <v>48.784343097599987</v>
      </c>
      <c r="M846" s="8">
        <f>Table3[[#This Row],[PrimaTécnica]]*Table3[[#This Row],[Cobranza]]</f>
        <v>48.784343097599987</v>
      </c>
      <c r="N84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4878.4343097599985</v>
      </c>
      <c r="O846">
        <v>21.84</v>
      </c>
      <c r="P846">
        <v>54.6</v>
      </c>
      <c r="Q846">
        <v>80.64</v>
      </c>
      <c r="R846">
        <v>44.377200000000002</v>
      </c>
      <c r="S846">
        <v>0.2</v>
      </c>
      <c r="T846">
        <v>0.02</v>
      </c>
      <c r="U846" s="8">
        <f>Table3[[#This Row],[PrimaNeta]]*Table3[[#This Row],[Comisión]]</f>
        <v>1269.97287744</v>
      </c>
      <c r="V846" s="15">
        <f>Table3[[#This Row],[PrimaComercial Anual]]-Table3[[#This Row],[PrimaComercial Anual]]*SUM(Table3[[#This Row],[APS]:[IVA]])</f>
        <v>6349.8643871999993</v>
      </c>
      <c r="W846" s="2">
        <v>1.4800000000000001E-2</v>
      </c>
      <c r="X846" s="2">
        <v>8.4501000000000007E-2</v>
      </c>
      <c r="Y846">
        <v>0.03</v>
      </c>
      <c r="Z846">
        <v>0.13</v>
      </c>
      <c r="AA846" s="20">
        <f>Table3[[#This Row],[APS]]*Table3[[#This Row],[PrimaComercial Anual]]</f>
        <v>126.87743999999999</v>
      </c>
      <c r="AB846" s="8">
        <f>Table3[[#This Row],[PrimaComercial Anual]]*Table3[[#This Row],[Recargo adicional]]</f>
        <v>724.41017279999994</v>
      </c>
      <c r="AC846" s="8">
        <f>Table3[[#This Row],[PrimaComercial Anual]]*Table3[[#This Row],[IT]]</f>
        <v>257.18399999999997</v>
      </c>
      <c r="AD846" s="8">
        <f>Table3[[#This Row],[PrimaComercial Anual]]*Table3[[#This Row],[IVA]]</f>
        <v>1114.4639999999999</v>
      </c>
      <c r="AE846" s="15">
        <f>Table3[[#This Row],[PrimaComercial Anual Asistencia]]</f>
        <v>8572.7999999999993</v>
      </c>
      <c r="AG846">
        <v>8572.7999999999993</v>
      </c>
    </row>
    <row r="847" spans="1:33" x14ac:dyDescent="0.25">
      <c r="A847" t="s">
        <v>18</v>
      </c>
      <c r="B847">
        <v>700001</v>
      </c>
      <c r="C847">
        <v>52</v>
      </c>
      <c r="D847" s="2">
        <f>Table3[[#This Row],[PrimaTécnica]]-Table3[[#This Row],[PrimaTécnica]]*SUM(Table3[[#This Row],[Gastos Adm]:[Cobranza]])</f>
        <v>3805.1787616127986</v>
      </c>
      <c r="E847">
        <v>0</v>
      </c>
      <c r="F847">
        <v>0.15</v>
      </c>
      <c r="G847">
        <v>0.05</v>
      </c>
      <c r="H847">
        <v>0.01</v>
      </c>
      <c r="I847">
        <v>0.01</v>
      </c>
      <c r="J847" s="8">
        <f>Table3[[#This Row],[PrimaTécnica]]*Table3[[#This Row],[Gastos Adm]]</f>
        <v>731.76514646399971</v>
      </c>
      <c r="K847" s="8">
        <f>Table3[[#This Row],[PrimaTécnica]]*Table3[[#This Row],[Utilidad]]</f>
        <v>243.92171548799993</v>
      </c>
      <c r="L847" s="8">
        <f>Table3[[#This Row],[PrimaTécnica]]*Table3[[#This Row],[Marketing]]</f>
        <v>48.784343097599987</v>
      </c>
      <c r="M847" s="8">
        <f>Table3[[#This Row],[PrimaTécnica]]*Table3[[#This Row],[Cobranza]]</f>
        <v>48.784343097599987</v>
      </c>
      <c r="N84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4878.4343097599985</v>
      </c>
      <c r="O847">
        <v>21.84</v>
      </c>
      <c r="P847">
        <v>54.6</v>
      </c>
      <c r="Q847">
        <v>80.64</v>
      </c>
      <c r="R847">
        <v>44.377200000000002</v>
      </c>
      <c r="S847">
        <v>0.2</v>
      </c>
      <c r="T847">
        <v>0.02</v>
      </c>
      <c r="U847" s="8">
        <f>Table3[[#This Row],[PrimaNeta]]*Table3[[#This Row],[Comisión]]</f>
        <v>1269.97287744</v>
      </c>
      <c r="V847" s="15">
        <f>Table3[[#This Row],[PrimaComercial Anual]]-Table3[[#This Row],[PrimaComercial Anual]]*SUM(Table3[[#This Row],[APS]:[IVA]])</f>
        <v>6349.8643871999993</v>
      </c>
      <c r="W847" s="2">
        <v>1.4800000000000001E-2</v>
      </c>
      <c r="X847" s="2">
        <v>8.4501000000000007E-2</v>
      </c>
      <c r="Y847">
        <v>0.03</v>
      </c>
      <c r="Z847">
        <v>0.13</v>
      </c>
      <c r="AA847" s="20">
        <f>Table3[[#This Row],[APS]]*Table3[[#This Row],[PrimaComercial Anual]]</f>
        <v>126.87743999999999</v>
      </c>
      <c r="AB847" s="8">
        <f>Table3[[#This Row],[PrimaComercial Anual]]*Table3[[#This Row],[Recargo adicional]]</f>
        <v>724.41017279999994</v>
      </c>
      <c r="AC847" s="8">
        <f>Table3[[#This Row],[PrimaComercial Anual]]*Table3[[#This Row],[IT]]</f>
        <v>257.18399999999997</v>
      </c>
      <c r="AD847" s="8">
        <f>Table3[[#This Row],[PrimaComercial Anual]]*Table3[[#This Row],[IVA]]</f>
        <v>1114.4639999999999</v>
      </c>
      <c r="AE847" s="15">
        <f>Table3[[#This Row],[PrimaComercial Anual Asistencia]]</f>
        <v>8572.7999999999993</v>
      </c>
      <c r="AG847">
        <v>8572.7999999999993</v>
      </c>
    </row>
    <row r="848" spans="1:33" x14ac:dyDescent="0.25">
      <c r="A848" t="s">
        <v>18</v>
      </c>
      <c r="B848">
        <v>700001</v>
      </c>
      <c r="C848">
        <v>53</v>
      </c>
      <c r="D848" s="2">
        <f>Table3[[#This Row],[PrimaTécnica]]-Table3[[#This Row],[PrimaTécnica]]*SUM(Table3[[#This Row],[Gastos Adm]:[Cobranza]])</f>
        <v>3805.1787616127986</v>
      </c>
      <c r="E848">
        <v>0</v>
      </c>
      <c r="F848">
        <v>0.15</v>
      </c>
      <c r="G848">
        <v>0.05</v>
      </c>
      <c r="H848">
        <v>0.01</v>
      </c>
      <c r="I848">
        <v>0.01</v>
      </c>
      <c r="J848" s="8">
        <f>Table3[[#This Row],[PrimaTécnica]]*Table3[[#This Row],[Gastos Adm]]</f>
        <v>731.76514646399971</v>
      </c>
      <c r="K848" s="8">
        <f>Table3[[#This Row],[PrimaTécnica]]*Table3[[#This Row],[Utilidad]]</f>
        <v>243.92171548799993</v>
      </c>
      <c r="L848" s="8">
        <f>Table3[[#This Row],[PrimaTécnica]]*Table3[[#This Row],[Marketing]]</f>
        <v>48.784343097599987</v>
      </c>
      <c r="M848" s="8">
        <f>Table3[[#This Row],[PrimaTécnica]]*Table3[[#This Row],[Cobranza]]</f>
        <v>48.784343097599987</v>
      </c>
      <c r="N84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4878.4343097599985</v>
      </c>
      <c r="O848">
        <v>21.84</v>
      </c>
      <c r="P848">
        <v>54.6</v>
      </c>
      <c r="Q848">
        <v>80.64</v>
      </c>
      <c r="R848">
        <v>44.377200000000002</v>
      </c>
      <c r="S848">
        <v>0.2</v>
      </c>
      <c r="T848">
        <v>0.02</v>
      </c>
      <c r="U848" s="8">
        <f>Table3[[#This Row],[PrimaNeta]]*Table3[[#This Row],[Comisión]]</f>
        <v>1269.97287744</v>
      </c>
      <c r="V848" s="15">
        <f>Table3[[#This Row],[PrimaComercial Anual]]-Table3[[#This Row],[PrimaComercial Anual]]*SUM(Table3[[#This Row],[APS]:[IVA]])</f>
        <v>6349.8643871999993</v>
      </c>
      <c r="W848" s="2">
        <v>1.4800000000000001E-2</v>
      </c>
      <c r="X848" s="2">
        <v>8.4501000000000007E-2</v>
      </c>
      <c r="Y848">
        <v>0.03</v>
      </c>
      <c r="Z848">
        <v>0.13</v>
      </c>
      <c r="AA848" s="20">
        <f>Table3[[#This Row],[APS]]*Table3[[#This Row],[PrimaComercial Anual]]</f>
        <v>126.87743999999999</v>
      </c>
      <c r="AB848" s="8">
        <f>Table3[[#This Row],[PrimaComercial Anual]]*Table3[[#This Row],[Recargo adicional]]</f>
        <v>724.41017279999994</v>
      </c>
      <c r="AC848" s="8">
        <f>Table3[[#This Row],[PrimaComercial Anual]]*Table3[[#This Row],[IT]]</f>
        <v>257.18399999999997</v>
      </c>
      <c r="AD848" s="8">
        <f>Table3[[#This Row],[PrimaComercial Anual]]*Table3[[#This Row],[IVA]]</f>
        <v>1114.4639999999999</v>
      </c>
      <c r="AE848" s="15">
        <f>Table3[[#This Row],[PrimaComercial Anual Asistencia]]</f>
        <v>8572.7999999999993</v>
      </c>
      <c r="AG848">
        <v>8572.7999999999993</v>
      </c>
    </row>
    <row r="849" spans="1:33" x14ac:dyDescent="0.25">
      <c r="A849" t="s">
        <v>18</v>
      </c>
      <c r="B849">
        <v>700001</v>
      </c>
      <c r="C849">
        <v>54</v>
      </c>
      <c r="D849" s="2">
        <f>Table3[[#This Row],[PrimaTécnica]]-Table3[[#This Row],[PrimaTécnica]]*SUM(Table3[[#This Row],[Gastos Adm]:[Cobranza]])</f>
        <v>3805.1787616127986</v>
      </c>
      <c r="E849">
        <v>0</v>
      </c>
      <c r="F849">
        <v>0.15</v>
      </c>
      <c r="G849">
        <v>0.05</v>
      </c>
      <c r="H849">
        <v>0.01</v>
      </c>
      <c r="I849">
        <v>0.01</v>
      </c>
      <c r="J849" s="8">
        <f>Table3[[#This Row],[PrimaTécnica]]*Table3[[#This Row],[Gastos Adm]]</f>
        <v>731.76514646399971</v>
      </c>
      <c r="K849" s="8">
        <f>Table3[[#This Row],[PrimaTécnica]]*Table3[[#This Row],[Utilidad]]</f>
        <v>243.92171548799993</v>
      </c>
      <c r="L849" s="8">
        <f>Table3[[#This Row],[PrimaTécnica]]*Table3[[#This Row],[Marketing]]</f>
        <v>48.784343097599987</v>
      </c>
      <c r="M849" s="8">
        <f>Table3[[#This Row],[PrimaTécnica]]*Table3[[#This Row],[Cobranza]]</f>
        <v>48.784343097599987</v>
      </c>
      <c r="N84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4878.4343097599985</v>
      </c>
      <c r="O849">
        <v>21.84</v>
      </c>
      <c r="P849">
        <v>54.6</v>
      </c>
      <c r="Q849">
        <v>80.64</v>
      </c>
      <c r="R849">
        <v>44.377200000000002</v>
      </c>
      <c r="S849">
        <v>0.2</v>
      </c>
      <c r="T849">
        <v>0.02</v>
      </c>
      <c r="U849" s="8">
        <f>Table3[[#This Row],[PrimaNeta]]*Table3[[#This Row],[Comisión]]</f>
        <v>1269.97287744</v>
      </c>
      <c r="V849" s="15">
        <f>Table3[[#This Row],[PrimaComercial Anual]]-Table3[[#This Row],[PrimaComercial Anual]]*SUM(Table3[[#This Row],[APS]:[IVA]])</f>
        <v>6349.8643871999993</v>
      </c>
      <c r="W849" s="2">
        <v>1.4800000000000001E-2</v>
      </c>
      <c r="X849" s="2">
        <v>8.4501000000000007E-2</v>
      </c>
      <c r="Y849">
        <v>0.03</v>
      </c>
      <c r="Z849">
        <v>0.13</v>
      </c>
      <c r="AA849" s="20">
        <f>Table3[[#This Row],[APS]]*Table3[[#This Row],[PrimaComercial Anual]]</f>
        <v>126.87743999999999</v>
      </c>
      <c r="AB849" s="8">
        <f>Table3[[#This Row],[PrimaComercial Anual]]*Table3[[#This Row],[Recargo adicional]]</f>
        <v>724.41017279999994</v>
      </c>
      <c r="AC849" s="8">
        <f>Table3[[#This Row],[PrimaComercial Anual]]*Table3[[#This Row],[IT]]</f>
        <v>257.18399999999997</v>
      </c>
      <c r="AD849" s="8">
        <f>Table3[[#This Row],[PrimaComercial Anual]]*Table3[[#This Row],[IVA]]</f>
        <v>1114.4639999999999</v>
      </c>
      <c r="AE849" s="15">
        <f>Table3[[#This Row],[PrimaComercial Anual Asistencia]]</f>
        <v>8572.7999999999993</v>
      </c>
      <c r="AG849">
        <v>8572.7999999999993</v>
      </c>
    </row>
    <row r="850" spans="1:33" x14ac:dyDescent="0.25">
      <c r="A850" t="s">
        <v>18</v>
      </c>
      <c r="B850">
        <v>700001</v>
      </c>
      <c r="C850">
        <v>55</v>
      </c>
      <c r="D850" s="2">
        <f>Table3[[#This Row],[PrimaTécnica]]-Table3[[#This Row],[PrimaTécnica]]*SUM(Table3[[#This Row],[Gastos Adm]:[Cobranza]])</f>
        <v>3805.1787616127986</v>
      </c>
      <c r="E850">
        <v>0</v>
      </c>
      <c r="F850">
        <v>0.15</v>
      </c>
      <c r="G850">
        <v>0.05</v>
      </c>
      <c r="H850">
        <v>0.01</v>
      </c>
      <c r="I850">
        <v>0.01</v>
      </c>
      <c r="J850" s="8">
        <f>Table3[[#This Row],[PrimaTécnica]]*Table3[[#This Row],[Gastos Adm]]</f>
        <v>731.76514646399971</v>
      </c>
      <c r="K850" s="8">
        <f>Table3[[#This Row],[PrimaTécnica]]*Table3[[#This Row],[Utilidad]]</f>
        <v>243.92171548799993</v>
      </c>
      <c r="L850" s="8">
        <f>Table3[[#This Row],[PrimaTécnica]]*Table3[[#This Row],[Marketing]]</f>
        <v>48.784343097599987</v>
      </c>
      <c r="M850" s="8">
        <f>Table3[[#This Row],[PrimaTécnica]]*Table3[[#This Row],[Cobranza]]</f>
        <v>48.784343097599987</v>
      </c>
      <c r="N85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4878.4343097599985</v>
      </c>
      <c r="O850">
        <v>21.84</v>
      </c>
      <c r="P850">
        <v>54.6</v>
      </c>
      <c r="Q850">
        <v>80.64</v>
      </c>
      <c r="R850">
        <v>44.377200000000002</v>
      </c>
      <c r="S850">
        <v>0.2</v>
      </c>
      <c r="T850">
        <v>0.02</v>
      </c>
      <c r="U850" s="8">
        <f>Table3[[#This Row],[PrimaNeta]]*Table3[[#This Row],[Comisión]]</f>
        <v>1269.97287744</v>
      </c>
      <c r="V850" s="15">
        <f>Table3[[#This Row],[PrimaComercial Anual]]-Table3[[#This Row],[PrimaComercial Anual]]*SUM(Table3[[#This Row],[APS]:[IVA]])</f>
        <v>6349.8643871999993</v>
      </c>
      <c r="W850" s="2">
        <v>1.4800000000000001E-2</v>
      </c>
      <c r="X850" s="2">
        <v>8.4501000000000007E-2</v>
      </c>
      <c r="Y850">
        <v>0.03</v>
      </c>
      <c r="Z850">
        <v>0.13</v>
      </c>
      <c r="AA850" s="20">
        <f>Table3[[#This Row],[APS]]*Table3[[#This Row],[PrimaComercial Anual]]</f>
        <v>126.87743999999999</v>
      </c>
      <c r="AB850" s="8">
        <f>Table3[[#This Row],[PrimaComercial Anual]]*Table3[[#This Row],[Recargo adicional]]</f>
        <v>724.41017279999994</v>
      </c>
      <c r="AC850" s="8">
        <f>Table3[[#This Row],[PrimaComercial Anual]]*Table3[[#This Row],[IT]]</f>
        <v>257.18399999999997</v>
      </c>
      <c r="AD850" s="8">
        <f>Table3[[#This Row],[PrimaComercial Anual]]*Table3[[#This Row],[IVA]]</f>
        <v>1114.4639999999999</v>
      </c>
      <c r="AE850" s="15">
        <f>Table3[[#This Row],[PrimaComercial Anual Asistencia]]</f>
        <v>8572.7999999999993</v>
      </c>
      <c r="AG850">
        <v>8572.7999999999993</v>
      </c>
    </row>
    <row r="851" spans="1:33" x14ac:dyDescent="0.25">
      <c r="A851" t="s">
        <v>18</v>
      </c>
      <c r="B851">
        <v>700001</v>
      </c>
      <c r="C851">
        <v>56</v>
      </c>
      <c r="D851" s="2">
        <f>Table3[[#This Row],[PrimaTécnica]]-Table3[[#This Row],[PrimaTécnica]]*SUM(Table3[[#This Row],[Gastos Adm]:[Cobranza]])</f>
        <v>4321.5443294399993</v>
      </c>
      <c r="E851">
        <v>0</v>
      </c>
      <c r="F851">
        <v>0.15</v>
      </c>
      <c r="G851">
        <v>0.05</v>
      </c>
      <c r="H851">
        <v>0.01</v>
      </c>
      <c r="I851">
        <v>0.01</v>
      </c>
      <c r="J851" s="8">
        <f>Table3[[#This Row],[PrimaTécnica]]*Table3[[#This Row],[Gastos Adm]]</f>
        <v>831.06621719999987</v>
      </c>
      <c r="K851" s="8">
        <f>Table3[[#This Row],[PrimaTécnica]]*Table3[[#This Row],[Utilidad]]</f>
        <v>277.02207240000001</v>
      </c>
      <c r="L851" s="8">
        <f>Table3[[#This Row],[PrimaTécnica]]*Table3[[#This Row],[Marketing]]</f>
        <v>55.40441448</v>
      </c>
      <c r="M851" s="8">
        <f>Table3[[#This Row],[PrimaTécnica]]*Table3[[#This Row],[Cobranza]]</f>
        <v>55.40441448</v>
      </c>
      <c r="N85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5540.4414479999996</v>
      </c>
      <c r="O851">
        <v>21.84</v>
      </c>
      <c r="P851">
        <v>54.6</v>
      </c>
      <c r="Q851">
        <v>80.64</v>
      </c>
      <c r="R851">
        <v>44.377200000000002</v>
      </c>
      <c r="S851">
        <v>0.2</v>
      </c>
      <c r="T851">
        <v>0.02</v>
      </c>
      <c r="U851" s="8">
        <f>Table3[[#This Row],[PrimaNeta]]*Table3[[#This Row],[Comisión]]</f>
        <v>1435.4746620000001</v>
      </c>
      <c r="V851" s="15">
        <f>Table3[[#This Row],[PrimaComercial Anual]]-Table3[[#This Row],[PrimaComercial Anual]]*SUM(Table3[[#This Row],[APS]:[IVA]])</f>
        <v>7177.3733099999999</v>
      </c>
      <c r="W851" s="2">
        <v>1.4800000000000001E-2</v>
      </c>
      <c r="X851" s="2">
        <v>8.4501000000000007E-2</v>
      </c>
      <c r="Y851">
        <v>0.03</v>
      </c>
      <c r="Z851">
        <v>0.13</v>
      </c>
      <c r="AA851" s="20">
        <f>Table3[[#This Row],[APS]]*Table3[[#This Row],[PrimaComercial Anual]]</f>
        <v>143.41200000000001</v>
      </c>
      <c r="AB851" s="8">
        <f>Table3[[#This Row],[PrimaComercial Anual]]*Table3[[#This Row],[Recargo adicional]]</f>
        <v>818.81469000000004</v>
      </c>
      <c r="AC851" s="8">
        <f>Table3[[#This Row],[PrimaComercial Anual]]*Table3[[#This Row],[IT]]</f>
        <v>290.7</v>
      </c>
      <c r="AD851" s="8">
        <f>Table3[[#This Row],[PrimaComercial Anual]]*Table3[[#This Row],[IVA]]</f>
        <v>1259.7</v>
      </c>
      <c r="AE851" s="15">
        <f>Table3[[#This Row],[PrimaComercial Anual Asistencia]]</f>
        <v>9690</v>
      </c>
      <c r="AG851">
        <v>9690</v>
      </c>
    </row>
    <row r="852" spans="1:33" x14ac:dyDescent="0.25">
      <c r="A852" t="s">
        <v>18</v>
      </c>
      <c r="B852">
        <v>700001</v>
      </c>
      <c r="C852">
        <v>57</v>
      </c>
      <c r="D852" s="2">
        <f>Table3[[#This Row],[PrimaTécnica]]-Table3[[#This Row],[PrimaTécnica]]*SUM(Table3[[#This Row],[Gastos Adm]:[Cobranza]])</f>
        <v>4321.5443294399993</v>
      </c>
      <c r="E852">
        <v>0</v>
      </c>
      <c r="F852">
        <v>0.15</v>
      </c>
      <c r="G852">
        <v>0.05</v>
      </c>
      <c r="H852">
        <v>0.01</v>
      </c>
      <c r="I852">
        <v>0.01</v>
      </c>
      <c r="J852" s="8">
        <f>Table3[[#This Row],[PrimaTécnica]]*Table3[[#This Row],[Gastos Adm]]</f>
        <v>831.06621719999987</v>
      </c>
      <c r="K852" s="8">
        <f>Table3[[#This Row],[PrimaTécnica]]*Table3[[#This Row],[Utilidad]]</f>
        <v>277.02207240000001</v>
      </c>
      <c r="L852" s="8">
        <f>Table3[[#This Row],[PrimaTécnica]]*Table3[[#This Row],[Marketing]]</f>
        <v>55.40441448</v>
      </c>
      <c r="M852" s="8">
        <f>Table3[[#This Row],[PrimaTécnica]]*Table3[[#This Row],[Cobranza]]</f>
        <v>55.40441448</v>
      </c>
      <c r="N85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5540.4414479999996</v>
      </c>
      <c r="O852">
        <v>21.84</v>
      </c>
      <c r="P852">
        <v>54.6</v>
      </c>
      <c r="Q852">
        <v>80.64</v>
      </c>
      <c r="R852">
        <v>44.377200000000002</v>
      </c>
      <c r="S852">
        <v>0.2</v>
      </c>
      <c r="T852">
        <v>0.02</v>
      </c>
      <c r="U852" s="8">
        <f>Table3[[#This Row],[PrimaNeta]]*Table3[[#This Row],[Comisión]]</f>
        <v>1435.4746620000001</v>
      </c>
      <c r="V852" s="15">
        <f>Table3[[#This Row],[PrimaComercial Anual]]-Table3[[#This Row],[PrimaComercial Anual]]*SUM(Table3[[#This Row],[APS]:[IVA]])</f>
        <v>7177.3733099999999</v>
      </c>
      <c r="W852" s="2">
        <v>1.4800000000000001E-2</v>
      </c>
      <c r="X852" s="2">
        <v>8.4501000000000007E-2</v>
      </c>
      <c r="Y852">
        <v>0.03</v>
      </c>
      <c r="Z852">
        <v>0.13</v>
      </c>
      <c r="AA852" s="20">
        <f>Table3[[#This Row],[APS]]*Table3[[#This Row],[PrimaComercial Anual]]</f>
        <v>143.41200000000001</v>
      </c>
      <c r="AB852" s="8">
        <f>Table3[[#This Row],[PrimaComercial Anual]]*Table3[[#This Row],[Recargo adicional]]</f>
        <v>818.81469000000004</v>
      </c>
      <c r="AC852" s="8">
        <f>Table3[[#This Row],[PrimaComercial Anual]]*Table3[[#This Row],[IT]]</f>
        <v>290.7</v>
      </c>
      <c r="AD852" s="8">
        <f>Table3[[#This Row],[PrimaComercial Anual]]*Table3[[#This Row],[IVA]]</f>
        <v>1259.7</v>
      </c>
      <c r="AE852" s="15">
        <f>Table3[[#This Row],[PrimaComercial Anual Asistencia]]</f>
        <v>9690</v>
      </c>
      <c r="AG852">
        <v>9690</v>
      </c>
    </row>
    <row r="853" spans="1:33" x14ac:dyDescent="0.25">
      <c r="A853" t="s">
        <v>18</v>
      </c>
      <c r="B853">
        <v>700001</v>
      </c>
      <c r="C853">
        <v>58</v>
      </c>
      <c r="D853" s="2">
        <f>Table3[[#This Row],[PrimaTécnica]]-Table3[[#This Row],[PrimaTécnica]]*SUM(Table3[[#This Row],[Gastos Adm]:[Cobranza]])</f>
        <v>4321.5443294399993</v>
      </c>
      <c r="E853">
        <v>0</v>
      </c>
      <c r="F853">
        <v>0.15</v>
      </c>
      <c r="G853">
        <v>0.05</v>
      </c>
      <c r="H853">
        <v>0.01</v>
      </c>
      <c r="I853">
        <v>0.01</v>
      </c>
      <c r="J853" s="8">
        <f>Table3[[#This Row],[PrimaTécnica]]*Table3[[#This Row],[Gastos Adm]]</f>
        <v>831.06621719999987</v>
      </c>
      <c r="K853" s="8">
        <f>Table3[[#This Row],[PrimaTécnica]]*Table3[[#This Row],[Utilidad]]</f>
        <v>277.02207240000001</v>
      </c>
      <c r="L853" s="8">
        <f>Table3[[#This Row],[PrimaTécnica]]*Table3[[#This Row],[Marketing]]</f>
        <v>55.40441448</v>
      </c>
      <c r="M853" s="8">
        <f>Table3[[#This Row],[PrimaTécnica]]*Table3[[#This Row],[Cobranza]]</f>
        <v>55.40441448</v>
      </c>
      <c r="N85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5540.4414479999996</v>
      </c>
      <c r="O853">
        <v>21.84</v>
      </c>
      <c r="P853">
        <v>54.6</v>
      </c>
      <c r="Q853">
        <v>80.64</v>
      </c>
      <c r="R853">
        <v>44.377200000000002</v>
      </c>
      <c r="S853">
        <v>0.2</v>
      </c>
      <c r="T853">
        <v>0.02</v>
      </c>
      <c r="U853" s="8">
        <f>Table3[[#This Row],[PrimaNeta]]*Table3[[#This Row],[Comisión]]</f>
        <v>1435.4746620000001</v>
      </c>
      <c r="V853" s="15">
        <f>Table3[[#This Row],[PrimaComercial Anual]]-Table3[[#This Row],[PrimaComercial Anual]]*SUM(Table3[[#This Row],[APS]:[IVA]])</f>
        <v>7177.3733099999999</v>
      </c>
      <c r="W853" s="2">
        <v>1.4800000000000001E-2</v>
      </c>
      <c r="X853" s="2">
        <v>8.4501000000000007E-2</v>
      </c>
      <c r="Y853">
        <v>0.03</v>
      </c>
      <c r="Z853">
        <v>0.13</v>
      </c>
      <c r="AA853" s="20">
        <f>Table3[[#This Row],[APS]]*Table3[[#This Row],[PrimaComercial Anual]]</f>
        <v>143.41200000000001</v>
      </c>
      <c r="AB853" s="8">
        <f>Table3[[#This Row],[PrimaComercial Anual]]*Table3[[#This Row],[Recargo adicional]]</f>
        <v>818.81469000000004</v>
      </c>
      <c r="AC853" s="8">
        <f>Table3[[#This Row],[PrimaComercial Anual]]*Table3[[#This Row],[IT]]</f>
        <v>290.7</v>
      </c>
      <c r="AD853" s="8">
        <f>Table3[[#This Row],[PrimaComercial Anual]]*Table3[[#This Row],[IVA]]</f>
        <v>1259.7</v>
      </c>
      <c r="AE853" s="15">
        <f>Table3[[#This Row],[PrimaComercial Anual Asistencia]]</f>
        <v>9690</v>
      </c>
      <c r="AG853">
        <v>9690</v>
      </c>
    </row>
    <row r="854" spans="1:33" x14ac:dyDescent="0.25">
      <c r="A854" t="s">
        <v>18</v>
      </c>
      <c r="B854">
        <v>700001</v>
      </c>
      <c r="C854">
        <v>59</v>
      </c>
      <c r="D854" s="2">
        <f>Table3[[#This Row],[PrimaTécnica]]-Table3[[#This Row],[PrimaTécnica]]*SUM(Table3[[#This Row],[Gastos Adm]:[Cobranza]])</f>
        <v>4321.5443294399993</v>
      </c>
      <c r="E854">
        <v>0</v>
      </c>
      <c r="F854">
        <v>0.15</v>
      </c>
      <c r="G854">
        <v>0.05</v>
      </c>
      <c r="H854">
        <v>0.01</v>
      </c>
      <c r="I854">
        <v>0.01</v>
      </c>
      <c r="J854" s="8">
        <f>Table3[[#This Row],[PrimaTécnica]]*Table3[[#This Row],[Gastos Adm]]</f>
        <v>831.06621719999987</v>
      </c>
      <c r="K854" s="8">
        <f>Table3[[#This Row],[PrimaTécnica]]*Table3[[#This Row],[Utilidad]]</f>
        <v>277.02207240000001</v>
      </c>
      <c r="L854" s="8">
        <f>Table3[[#This Row],[PrimaTécnica]]*Table3[[#This Row],[Marketing]]</f>
        <v>55.40441448</v>
      </c>
      <c r="M854" s="8">
        <f>Table3[[#This Row],[PrimaTécnica]]*Table3[[#This Row],[Cobranza]]</f>
        <v>55.40441448</v>
      </c>
      <c r="N85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5540.4414479999996</v>
      </c>
      <c r="O854">
        <v>21.84</v>
      </c>
      <c r="P854">
        <v>54.6</v>
      </c>
      <c r="Q854">
        <v>80.64</v>
      </c>
      <c r="R854">
        <v>44.377200000000002</v>
      </c>
      <c r="S854">
        <v>0.2</v>
      </c>
      <c r="T854">
        <v>0.02</v>
      </c>
      <c r="U854" s="8">
        <f>Table3[[#This Row],[PrimaNeta]]*Table3[[#This Row],[Comisión]]</f>
        <v>1435.4746620000001</v>
      </c>
      <c r="V854" s="15">
        <f>Table3[[#This Row],[PrimaComercial Anual]]-Table3[[#This Row],[PrimaComercial Anual]]*SUM(Table3[[#This Row],[APS]:[IVA]])</f>
        <v>7177.3733099999999</v>
      </c>
      <c r="W854" s="2">
        <v>1.4800000000000001E-2</v>
      </c>
      <c r="X854" s="2">
        <v>8.4501000000000007E-2</v>
      </c>
      <c r="Y854">
        <v>0.03</v>
      </c>
      <c r="Z854">
        <v>0.13</v>
      </c>
      <c r="AA854" s="20">
        <f>Table3[[#This Row],[APS]]*Table3[[#This Row],[PrimaComercial Anual]]</f>
        <v>143.41200000000001</v>
      </c>
      <c r="AB854" s="8">
        <f>Table3[[#This Row],[PrimaComercial Anual]]*Table3[[#This Row],[Recargo adicional]]</f>
        <v>818.81469000000004</v>
      </c>
      <c r="AC854" s="8">
        <f>Table3[[#This Row],[PrimaComercial Anual]]*Table3[[#This Row],[IT]]</f>
        <v>290.7</v>
      </c>
      <c r="AD854" s="8">
        <f>Table3[[#This Row],[PrimaComercial Anual]]*Table3[[#This Row],[IVA]]</f>
        <v>1259.7</v>
      </c>
      <c r="AE854" s="15">
        <f>Table3[[#This Row],[PrimaComercial Anual Asistencia]]</f>
        <v>9690</v>
      </c>
      <c r="AG854">
        <v>9690</v>
      </c>
    </row>
    <row r="855" spans="1:33" x14ac:dyDescent="0.25">
      <c r="A855" t="s">
        <v>18</v>
      </c>
      <c r="B855">
        <v>700001</v>
      </c>
      <c r="C855">
        <v>60</v>
      </c>
      <c r="D855" s="2">
        <f>Table3[[#This Row],[PrimaTécnica]]-Table3[[#This Row],[PrimaTécnica]]*SUM(Table3[[#This Row],[Gastos Adm]:[Cobranza]])</f>
        <v>7235.3214621792004</v>
      </c>
      <c r="E855">
        <v>0</v>
      </c>
      <c r="F855">
        <v>0.15</v>
      </c>
      <c r="G855">
        <v>0.05</v>
      </c>
      <c r="H855">
        <v>0.01</v>
      </c>
      <c r="I855">
        <v>0.01</v>
      </c>
      <c r="J855" s="8">
        <f>Table3[[#This Row],[PrimaTécnica]]*Table3[[#This Row],[Gastos Adm]]</f>
        <v>1391.4079734960001</v>
      </c>
      <c r="K855" s="8">
        <f>Table3[[#This Row],[PrimaTécnica]]*Table3[[#This Row],[Utilidad]]</f>
        <v>463.80265783200002</v>
      </c>
      <c r="L855" s="8">
        <f>Table3[[#This Row],[PrimaTécnica]]*Table3[[#This Row],[Marketing]]</f>
        <v>92.760531566400005</v>
      </c>
      <c r="M855" s="8">
        <f>Table3[[#This Row],[PrimaTécnica]]*Table3[[#This Row],[Cobranza]]</f>
        <v>92.760531566400005</v>
      </c>
      <c r="N85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9276.0531566400005</v>
      </c>
      <c r="O855">
        <v>21.84</v>
      </c>
      <c r="P855">
        <v>54.6</v>
      </c>
      <c r="Q855">
        <v>80.64</v>
      </c>
      <c r="R855">
        <v>44.377200000000002</v>
      </c>
      <c r="S855">
        <v>0.2</v>
      </c>
      <c r="T855">
        <v>0.02</v>
      </c>
      <c r="U855" s="8">
        <f>Table3[[#This Row],[PrimaNeta]]*Table3[[#This Row],[Comisión]]</f>
        <v>2369.3775891600003</v>
      </c>
      <c r="V855" s="15">
        <f>Table3[[#This Row],[PrimaComercial Anual]]-Table3[[#This Row],[PrimaComercial Anual]]*SUM(Table3[[#This Row],[APS]:[IVA]])</f>
        <v>11846.887945800001</v>
      </c>
      <c r="W855" s="2">
        <v>1.4800000000000001E-2</v>
      </c>
      <c r="X855" s="2">
        <v>8.4501000000000007E-2</v>
      </c>
      <c r="Y855">
        <v>0.03</v>
      </c>
      <c r="Z855">
        <v>0.13</v>
      </c>
      <c r="AA855" s="20">
        <f>Table3[[#This Row],[APS]]*Table3[[#This Row],[PrimaComercial Anual]]</f>
        <v>236.71416000000002</v>
      </c>
      <c r="AB855" s="8">
        <f>Table3[[#This Row],[PrimaComercial Anual]]*Table3[[#This Row],[Recargo adicional]]</f>
        <v>1351.5258942000003</v>
      </c>
      <c r="AC855" s="8">
        <f>Table3[[#This Row],[PrimaComercial Anual]]*Table3[[#This Row],[IT]]</f>
        <v>479.82600000000002</v>
      </c>
      <c r="AD855" s="8">
        <f>Table3[[#This Row],[PrimaComercial Anual]]*Table3[[#This Row],[IVA]]</f>
        <v>2079.2460000000001</v>
      </c>
      <c r="AE855" s="15">
        <f>Table3[[#This Row],[PrimaComercial Anual Asistencia]]</f>
        <v>15994.2</v>
      </c>
      <c r="AG855">
        <v>15994.2</v>
      </c>
    </row>
    <row r="856" spans="1:33" x14ac:dyDescent="0.25">
      <c r="A856" t="s">
        <v>18</v>
      </c>
      <c r="B856">
        <v>700001</v>
      </c>
      <c r="C856">
        <v>61</v>
      </c>
      <c r="D856" s="2">
        <f>Table3[[#This Row],[PrimaTécnica]]-Table3[[#This Row],[PrimaTécnica]]*SUM(Table3[[#This Row],[Gastos Adm]:[Cobranza]])</f>
        <v>7235.3214621792004</v>
      </c>
      <c r="E856">
        <v>0</v>
      </c>
      <c r="F856">
        <v>0.15</v>
      </c>
      <c r="G856">
        <v>0.05</v>
      </c>
      <c r="H856">
        <v>0.01</v>
      </c>
      <c r="I856">
        <v>0.01</v>
      </c>
      <c r="J856" s="8">
        <f>Table3[[#This Row],[PrimaTécnica]]*Table3[[#This Row],[Gastos Adm]]</f>
        <v>1391.4079734960001</v>
      </c>
      <c r="K856" s="8">
        <f>Table3[[#This Row],[PrimaTécnica]]*Table3[[#This Row],[Utilidad]]</f>
        <v>463.80265783200002</v>
      </c>
      <c r="L856" s="8">
        <f>Table3[[#This Row],[PrimaTécnica]]*Table3[[#This Row],[Marketing]]</f>
        <v>92.760531566400005</v>
      </c>
      <c r="M856" s="8">
        <f>Table3[[#This Row],[PrimaTécnica]]*Table3[[#This Row],[Cobranza]]</f>
        <v>92.760531566400005</v>
      </c>
      <c r="N85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9276.0531566400005</v>
      </c>
      <c r="O856">
        <v>21.84</v>
      </c>
      <c r="P856">
        <v>54.6</v>
      </c>
      <c r="Q856">
        <v>80.64</v>
      </c>
      <c r="R856">
        <v>44.377200000000002</v>
      </c>
      <c r="S856">
        <v>0.2</v>
      </c>
      <c r="T856">
        <v>0.02</v>
      </c>
      <c r="U856" s="8">
        <f>Table3[[#This Row],[PrimaNeta]]*Table3[[#This Row],[Comisión]]</f>
        <v>2369.3775891600003</v>
      </c>
      <c r="V856" s="15">
        <f>Table3[[#This Row],[PrimaComercial Anual]]-Table3[[#This Row],[PrimaComercial Anual]]*SUM(Table3[[#This Row],[APS]:[IVA]])</f>
        <v>11846.887945800001</v>
      </c>
      <c r="W856" s="2">
        <v>1.4800000000000001E-2</v>
      </c>
      <c r="X856" s="2">
        <v>8.4501000000000007E-2</v>
      </c>
      <c r="Y856">
        <v>0.03</v>
      </c>
      <c r="Z856">
        <v>0.13</v>
      </c>
      <c r="AA856" s="20">
        <f>Table3[[#This Row],[APS]]*Table3[[#This Row],[PrimaComercial Anual]]</f>
        <v>236.71416000000002</v>
      </c>
      <c r="AB856" s="8">
        <f>Table3[[#This Row],[PrimaComercial Anual]]*Table3[[#This Row],[Recargo adicional]]</f>
        <v>1351.5258942000003</v>
      </c>
      <c r="AC856" s="8">
        <f>Table3[[#This Row],[PrimaComercial Anual]]*Table3[[#This Row],[IT]]</f>
        <v>479.82600000000002</v>
      </c>
      <c r="AD856" s="8">
        <f>Table3[[#This Row],[PrimaComercial Anual]]*Table3[[#This Row],[IVA]]</f>
        <v>2079.2460000000001</v>
      </c>
      <c r="AE856" s="15">
        <f>Table3[[#This Row],[PrimaComercial Anual Asistencia]]</f>
        <v>15994.2</v>
      </c>
      <c r="AG856">
        <v>15994.2</v>
      </c>
    </row>
    <row r="857" spans="1:33" x14ac:dyDescent="0.25">
      <c r="A857" t="s">
        <v>18</v>
      </c>
      <c r="B857">
        <v>700001</v>
      </c>
      <c r="C857">
        <v>62</v>
      </c>
      <c r="D857" s="2">
        <f>Table3[[#This Row],[PrimaTécnica]]-Table3[[#This Row],[PrimaTécnica]]*SUM(Table3[[#This Row],[Gastos Adm]:[Cobranza]])</f>
        <v>7235.3214621792004</v>
      </c>
      <c r="E857">
        <v>0</v>
      </c>
      <c r="F857">
        <v>0.15</v>
      </c>
      <c r="G857">
        <v>0.05</v>
      </c>
      <c r="H857">
        <v>0.01</v>
      </c>
      <c r="I857">
        <v>0.01</v>
      </c>
      <c r="J857" s="8">
        <f>Table3[[#This Row],[PrimaTécnica]]*Table3[[#This Row],[Gastos Adm]]</f>
        <v>1391.4079734960001</v>
      </c>
      <c r="K857" s="8">
        <f>Table3[[#This Row],[PrimaTécnica]]*Table3[[#This Row],[Utilidad]]</f>
        <v>463.80265783200002</v>
      </c>
      <c r="L857" s="8">
        <f>Table3[[#This Row],[PrimaTécnica]]*Table3[[#This Row],[Marketing]]</f>
        <v>92.760531566400005</v>
      </c>
      <c r="M857" s="8">
        <f>Table3[[#This Row],[PrimaTécnica]]*Table3[[#This Row],[Cobranza]]</f>
        <v>92.760531566400005</v>
      </c>
      <c r="N85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9276.0531566400005</v>
      </c>
      <c r="O857">
        <v>21.84</v>
      </c>
      <c r="P857">
        <v>54.6</v>
      </c>
      <c r="Q857">
        <v>80.64</v>
      </c>
      <c r="R857">
        <v>44.377200000000002</v>
      </c>
      <c r="S857">
        <v>0.2</v>
      </c>
      <c r="T857">
        <v>0.02</v>
      </c>
      <c r="U857" s="8">
        <f>Table3[[#This Row],[PrimaNeta]]*Table3[[#This Row],[Comisión]]</f>
        <v>2369.3775891600003</v>
      </c>
      <c r="V857" s="15">
        <f>Table3[[#This Row],[PrimaComercial Anual]]-Table3[[#This Row],[PrimaComercial Anual]]*SUM(Table3[[#This Row],[APS]:[IVA]])</f>
        <v>11846.887945800001</v>
      </c>
      <c r="W857" s="2">
        <v>1.4800000000000001E-2</v>
      </c>
      <c r="X857" s="2">
        <v>8.4501000000000007E-2</v>
      </c>
      <c r="Y857">
        <v>0.03</v>
      </c>
      <c r="Z857">
        <v>0.13</v>
      </c>
      <c r="AA857" s="20">
        <f>Table3[[#This Row],[APS]]*Table3[[#This Row],[PrimaComercial Anual]]</f>
        <v>236.71416000000002</v>
      </c>
      <c r="AB857" s="8">
        <f>Table3[[#This Row],[PrimaComercial Anual]]*Table3[[#This Row],[Recargo adicional]]</f>
        <v>1351.5258942000003</v>
      </c>
      <c r="AC857" s="8">
        <f>Table3[[#This Row],[PrimaComercial Anual]]*Table3[[#This Row],[IT]]</f>
        <v>479.82600000000002</v>
      </c>
      <c r="AD857" s="8">
        <f>Table3[[#This Row],[PrimaComercial Anual]]*Table3[[#This Row],[IVA]]</f>
        <v>2079.2460000000001</v>
      </c>
      <c r="AE857" s="15">
        <f>Table3[[#This Row],[PrimaComercial Anual Asistencia]]</f>
        <v>15994.2</v>
      </c>
      <c r="AG857">
        <v>15994.2</v>
      </c>
    </row>
    <row r="858" spans="1:33" x14ac:dyDescent="0.25">
      <c r="A858" t="s">
        <v>18</v>
      </c>
      <c r="B858">
        <v>700001</v>
      </c>
      <c r="C858">
        <v>63</v>
      </c>
      <c r="D858" s="2">
        <f>Table3[[#This Row],[PrimaTécnica]]-Table3[[#This Row],[PrimaTécnica]]*SUM(Table3[[#This Row],[Gastos Adm]:[Cobranza]])</f>
        <v>7235.3214621792004</v>
      </c>
      <c r="E858">
        <v>0</v>
      </c>
      <c r="F858">
        <v>0.15</v>
      </c>
      <c r="G858">
        <v>0.05</v>
      </c>
      <c r="H858">
        <v>0.01</v>
      </c>
      <c r="I858">
        <v>0.01</v>
      </c>
      <c r="J858" s="8">
        <f>Table3[[#This Row],[PrimaTécnica]]*Table3[[#This Row],[Gastos Adm]]</f>
        <v>1391.4079734960001</v>
      </c>
      <c r="K858" s="8">
        <f>Table3[[#This Row],[PrimaTécnica]]*Table3[[#This Row],[Utilidad]]</f>
        <v>463.80265783200002</v>
      </c>
      <c r="L858" s="8">
        <f>Table3[[#This Row],[PrimaTécnica]]*Table3[[#This Row],[Marketing]]</f>
        <v>92.760531566400005</v>
      </c>
      <c r="M858" s="8">
        <f>Table3[[#This Row],[PrimaTécnica]]*Table3[[#This Row],[Cobranza]]</f>
        <v>92.760531566400005</v>
      </c>
      <c r="N85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9276.0531566400005</v>
      </c>
      <c r="O858">
        <v>21.84</v>
      </c>
      <c r="P858">
        <v>54.6</v>
      </c>
      <c r="Q858">
        <v>80.64</v>
      </c>
      <c r="R858">
        <v>44.377200000000002</v>
      </c>
      <c r="S858">
        <v>0.2</v>
      </c>
      <c r="T858">
        <v>0.02</v>
      </c>
      <c r="U858" s="8">
        <f>Table3[[#This Row],[PrimaNeta]]*Table3[[#This Row],[Comisión]]</f>
        <v>2369.3775891600003</v>
      </c>
      <c r="V858" s="15">
        <f>Table3[[#This Row],[PrimaComercial Anual]]-Table3[[#This Row],[PrimaComercial Anual]]*SUM(Table3[[#This Row],[APS]:[IVA]])</f>
        <v>11846.887945800001</v>
      </c>
      <c r="W858" s="2">
        <v>1.4800000000000001E-2</v>
      </c>
      <c r="X858" s="2">
        <v>8.4501000000000007E-2</v>
      </c>
      <c r="Y858">
        <v>0.03</v>
      </c>
      <c r="Z858">
        <v>0.13</v>
      </c>
      <c r="AA858" s="20">
        <f>Table3[[#This Row],[APS]]*Table3[[#This Row],[PrimaComercial Anual]]</f>
        <v>236.71416000000002</v>
      </c>
      <c r="AB858" s="8">
        <f>Table3[[#This Row],[PrimaComercial Anual]]*Table3[[#This Row],[Recargo adicional]]</f>
        <v>1351.5258942000003</v>
      </c>
      <c r="AC858" s="8">
        <f>Table3[[#This Row],[PrimaComercial Anual]]*Table3[[#This Row],[IT]]</f>
        <v>479.82600000000002</v>
      </c>
      <c r="AD858" s="8">
        <f>Table3[[#This Row],[PrimaComercial Anual]]*Table3[[#This Row],[IVA]]</f>
        <v>2079.2460000000001</v>
      </c>
      <c r="AE858" s="15">
        <f>Table3[[#This Row],[PrimaComercial Anual Asistencia]]</f>
        <v>15994.2</v>
      </c>
      <c r="AG858">
        <v>15994.2</v>
      </c>
    </row>
    <row r="859" spans="1:33" x14ac:dyDescent="0.25">
      <c r="A859" t="s">
        <v>18</v>
      </c>
      <c r="B859">
        <v>700001</v>
      </c>
      <c r="C859">
        <v>64</v>
      </c>
      <c r="D859" s="2">
        <f>Table3[[#This Row],[PrimaTécnica]]-Table3[[#This Row],[PrimaTécnica]]*SUM(Table3[[#This Row],[Gastos Adm]:[Cobranza]])</f>
        <v>7235.3214621792004</v>
      </c>
      <c r="E859">
        <v>0</v>
      </c>
      <c r="F859">
        <v>0.15</v>
      </c>
      <c r="G859">
        <v>0.05</v>
      </c>
      <c r="H859">
        <v>0.01</v>
      </c>
      <c r="I859">
        <v>0.01</v>
      </c>
      <c r="J859" s="8">
        <f>Table3[[#This Row],[PrimaTécnica]]*Table3[[#This Row],[Gastos Adm]]</f>
        <v>1391.4079734960001</v>
      </c>
      <c r="K859" s="8">
        <f>Table3[[#This Row],[PrimaTécnica]]*Table3[[#This Row],[Utilidad]]</f>
        <v>463.80265783200002</v>
      </c>
      <c r="L859" s="8">
        <f>Table3[[#This Row],[PrimaTécnica]]*Table3[[#This Row],[Marketing]]</f>
        <v>92.760531566400005</v>
      </c>
      <c r="M859" s="8">
        <f>Table3[[#This Row],[PrimaTécnica]]*Table3[[#This Row],[Cobranza]]</f>
        <v>92.760531566400005</v>
      </c>
      <c r="N85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9276.0531566400005</v>
      </c>
      <c r="O859">
        <v>21.84</v>
      </c>
      <c r="P859">
        <v>54.6</v>
      </c>
      <c r="Q859">
        <v>80.64</v>
      </c>
      <c r="R859">
        <v>44.377200000000002</v>
      </c>
      <c r="S859">
        <v>0.2</v>
      </c>
      <c r="T859">
        <v>0.02</v>
      </c>
      <c r="U859" s="8">
        <f>Table3[[#This Row],[PrimaNeta]]*Table3[[#This Row],[Comisión]]</f>
        <v>2369.3775891600003</v>
      </c>
      <c r="V859" s="15">
        <f>Table3[[#This Row],[PrimaComercial Anual]]-Table3[[#This Row],[PrimaComercial Anual]]*SUM(Table3[[#This Row],[APS]:[IVA]])</f>
        <v>11846.887945800001</v>
      </c>
      <c r="W859" s="2">
        <v>1.4800000000000001E-2</v>
      </c>
      <c r="X859" s="2">
        <v>8.4501000000000007E-2</v>
      </c>
      <c r="Y859">
        <v>0.03</v>
      </c>
      <c r="Z859">
        <v>0.13</v>
      </c>
      <c r="AA859" s="20">
        <f>Table3[[#This Row],[APS]]*Table3[[#This Row],[PrimaComercial Anual]]</f>
        <v>236.71416000000002</v>
      </c>
      <c r="AB859" s="8">
        <f>Table3[[#This Row],[PrimaComercial Anual]]*Table3[[#This Row],[Recargo adicional]]</f>
        <v>1351.5258942000003</v>
      </c>
      <c r="AC859" s="8">
        <f>Table3[[#This Row],[PrimaComercial Anual]]*Table3[[#This Row],[IT]]</f>
        <v>479.82600000000002</v>
      </c>
      <c r="AD859" s="8">
        <f>Table3[[#This Row],[PrimaComercial Anual]]*Table3[[#This Row],[IVA]]</f>
        <v>2079.2460000000001</v>
      </c>
      <c r="AE859" s="15">
        <f>Table3[[#This Row],[PrimaComercial Anual Asistencia]]</f>
        <v>15994.2</v>
      </c>
      <c r="AG859">
        <v>15994.2</v>
      </c>
    </row>
    <row r="860" spans="1:33" x14ac:dyDescent="0.25">
      <c r="A860" t="s">
        <v>18</v>
      </c>
      <c r="B860">
        <v>700001</v>
      </c>
      <c r="C860">
        <v>65</v>
      </c>
      <c r="D860" s="2">
        <f>Table3[[#This Row],[PrimaTécnica]]-Table3[[#This Row],[PrimaTécnica]]*SUM(Table3[[#This Row],[Gastos Adm]:[Cobranza]])</f>
        <v>10259.748359452798</v>
      </c>
      <c r="E860">
        <v>0</v>
      </c>
      <c r="F860">
        <v>0.15</v>
      </c>
      <c r="G860">
        <v>0.05</v>
      </c>
      <c r="H860">
        <v>0.01</v>
      </c>
      <c r="I860">
        <v>0.01</v>
      </c>
      <c r="J860" s="8">
        <f>Table3[[#This Row],[PrimaTécnica]]*Table3[[#This Row],[Gastos Adm]]</f>
        <v>1973.0285306639996</v>
      </c>
      <c r="K860" s="8">
        <f>Table3[[#This Row],[PrimaTécnica]]*Table3[[#This Row],[Utilidad]]</f>
        <v>657.67617688799999</v>
      </c>
      <c r="L860" s="8">
        <f>Table3[[#This Row],[PrimaTécnica]]*Table3[[#This Row],[Marketing]]</f>
        <v>131.53523537759997</v>
      </c>
      <c r="M860" s="8">
        <f>Table3[[#This Row],[PrimaTécnica]]*Table3[[#This Row],[Cobranza]]</f>
        <v>131.53523537759997</v>
      </c>
      <c r="N86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13153.523537759998</v>
      </c>
      <c r="O860">
        <v>21.84</v>
      </c>
      <c r="P860">
        <v>54.6</v>
      </c>
      <c r="Q860">
        <v>80.64</v>
      </c>
      <c r="R860">
        <v>44.377200000000002</v>
      </c>
      <c r="S860">
        <v>0.2</v>
      </c>
      <c r="T860">
        <v>0.02</v>
      </c>
      <c r="U860" s="8">
        <f>Table3[[#This Row],[PrimaNeta]]*Table3[[#This Row],[Comisión]]</f>
        <v>3338.7451844400002</v>
      </c>
      <c r="V860" s="15">
        <f>Table3[[#This Row],[PrimaComercial Anual]]-Table3[[#This Row],[PrimaComercial Anual]]*SUM(Table3[[#This Row],[APS]:[IVA]])</f>
        <v>16693.725922199999</v>
      </c>
      <c r="W860" s="2">
        <v>1.4800000000000001E-2</v>
      </c>
      <c r="X860" s="2">
        <v>8.4501000000000007E-2</v>
      </c>
      <c r="Y860">
        <v>0.03</v>
      </c>
      <c r="Z860">
        <v>0.13</v>
      </c>
      <c r="AA860" s="20">
        <f>Table3[[#This Row],[APS]]*Table3[[#This Row],[PrimaComercial Anual]]</f>
        <v>333.55944</v>
      </c>
      <c r="AB860" s="8">
        <f>Table3[[#This Row],[PrimaComercial Anual]]*Table3[[#This Row],[Recargo adicional]]</f>
        <v>1904.4666378000002</v>
      </c>
      <c r="AC860" s="8">
        <f>Table3[[#This Row],[PrimaComercial Anual]]*Table3[[#This Row],[IT]]</f>
        <v>676.1339999999999</v>
      </c>
      <c r="AD860" s="8">
        <f>Table3[[#This Row],[PrimaComercial Anual]]*Table3[[#This Row],[IVA]]</f>
        <v>2929.9140000000002</v>
      </c>
      <c r="AE860" s="15">
        <f>Table3[[#This Row],[PrimaComercial Anual Asistencia]]</f>
        <v>22537.8</v>
      </c>
      <c r="AG860">
        <v>22537.8</v>
      </c>
    </row>
    <row r="861" spans="1:33" x14ac:dyDescent="0.25">
      <c r="A861" t="s">
        <v>18</v>
      </c>
      <c r="B861">
        <v>700001</v>
      </c>
      <c r="C861">
        <v>66</v>
      </c>
      <c r="D861" s="2">
        <f>Table3[[#This Row],[PrimaTécnica]]-Table3[[#This Row],[PrimaTécnica]]*SUM(Table3[[#This Row],[Gastos Adm]:[Cobranza]])</f>
        <v>10259.748359452798</v>
      </c>
      <c r="E861">
        <v>0</v>
      </c>
      <c r="F861">
        <v>0.15</v>
      </c>
      <c r="G861">
        <v>0.05</v>
      </c>
      <c r="H861">
        <v>0.01</v>
      </c>
      <c r="I861">
        <v>0.01</v>
      </c>
      <c r="J861" s="8">
        <f>Table3[[#This Row],[PrimaTécnica]]*Table3[[#This Row],[Gastos Adm]]</f>
        <v>1973.0285306639996</v>
      </c>
      <c r="K861" s="8">
        <f>Table3[[#This Row],[PrimaTécnica]]*Table3[[#This Row],[Utilidad]]</f>
        <v>657.67617688799999</v>
      </c>
      <c r="L861" s="8">
        <f>Table3[[#This Row],[PrimaTécnica]]*Table3[[#This Row],[Marketing]]</f>
        <v>131.53523537759997</v>
      </c>
      <c r="M861" s="8">
        <f>Table3[[#This Row],[PrimaTécnica]]*Table3[[#This Row],[Cobranza]]</f>
        <v>131.53523537759997</v>
      </c>
      <c r="N86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13153.523537759998</v>
      </c>
      <c r="O861">
        <v>21.84</v>
      </c>
      <c r="P861">
        <v>54.6</v>
      </c>
      <c r="Q861">
        <v>80.64</v>
      </c>
      <c r="R861">
        <v>44.377200000000002</v>
      </c>
      <c r="S861">
        <v>0.2</v>
      </c>
      <c r="T861">
        <v>0.02</v>
      </c>
      <c r="U861" s="8">
        <f>Table3[[#This Row],[PrimaNeta]]*Table3[[#This Row],[Comisión]]</f>
        <v>3338.7451844400002</v>
      </c>
      <c r="V861" s="15">
        <f>Table3[[#This Row],[PrimaComercial Anual]]-Table3[[#This Row],[PrimaComercial Anual]]*SUM(Table3[[#This Row],[APS]:[IVA]])</f>
        <v>16693.725922199999</v>
      </c>
      <c r="W861" s="2">
        <v>1.4800000000000001E-2</v>
      </c>
      <c r="X861" s="2">
        <v>8.4501000000000007E-2</v>
      </c>
      <c r="Y861">
        <v>0.03</v>
      </c>
      <c r="Z861">
        <v>0.13</v>
      </c>
      <c r="AA861" s="20">
        <f>Table3[[#This Row],[APS]]*Table3[[#This Row],[PrimaComercial Anual]]</f>
        <v>333.55944</v>
      </c>
      <c r="AB861" s="8">
        <f>Table3[[#This Row],[PrimaComercial Anual]]*Table3[[#This Row],[Recargo adicional]]</f>
        <v>1904.4666378000002</v>
      </c>
      <c r="AC861" s="8">
        <f>Table3[[#This Row],[PrimaComercial Anual]]*Table3[[#This Row],[IT]]</f>
        <v>676.1339999999999</v>
      </c>
      <c r="AD861" s="8">
        <f>Table3[[#This Row],[PrimaComercial Anual]]*Table3[[#This Row],[IVA]]</f>
        <v>2929.9140000000002</v>
      </c>
      <c r="AE861" s="15">
        <f>Table3[[#This Row],[PrimaComercial Anual Asistencia]]</f>
        <v>22537.8</v>
      </c>
      <c r="AG861">
        <v>22537.8</v>
      </c>
    </row>
    <row r="862" spans="1:33" x14ac:dyDescent="0.25">
      <c r="A862" t="s">
        <v>18</v>
      </c>
      <c r="B862">
        <v>700001</v>
      </c>
      <c r="C862">
        <v>67</v>
      </c>
      <c r="D862" s="2">
        <f>Table3[[#This Row],[PrimaTécnica]]-Table3[[#This Row],[PrimaTécnica]]*SUM(Table3[[#This Row],[Gastos Adm]:[Cobranza]])</f>
        <v>10259.748359452798</v>
      </c>
      <c r="E862">
        <v>0</v>
      </c>
      <c r="F862">
        <v>0.15</v>
      </c>
      <c r="G862">
        <v>0.05</v>
      </c>
      <c r="H862">
        <v>0.01</v>
      </c>
      <c r="I862">
        <v>0.01</v>
      </c>
      <c r="J862" s="8">
        <f>Table3[[#This Row],[PrimaTécnica]]*Table3[[#This Row],[Gastos Adm]]</f>
        <v>1973.0285306639996</v>
      </c>
      <c r="K862" s="8">
        <f>Table3[[#This Row],[PrimaTécnica]]*Table3[[#This Row],[Utilidad]]</f>
        <v>657.67617688799999</v>
      </c>
      <c r="L862" s="8">
        <f>Table3[[#This Row],[PrimaTécnica]]*Table3[[#This Row],[Marketing]]</f>
        <v>131.53523537759997</v>
      </c>
      <c r="M862" s="8">
        <f>Table3[[#This Row],[PrimaTécnica]]*Table3[[#This Row],[Cobranza]]</f>
        <v>131.53523537759997</v>
      </c>
      <c r="N86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13153.523537759998</v>
      </c>
      <c r="O862">
        <v>21.84</v>
      </c>
      <c r="P862">
        <v>54.6</v>
      </c>
      <c r="Q862">
        <v>80.64</v>
      </c>
      <c r="R862">
        <v>44.377200000000002</v>
      </c>
      <c r="S862">
        <v>0.2</v>
      </c>
      <c r="T862">
        <v>0.02</v>
      </c>
      <c r="U862" s="8">
        <f>Table3[[#This Row],[PrimaNeta]]*Table3[[#This Row],[Comisión]]</f>
        <v>3338.7451844400002</v>
      </c>
      <c r="V862" s="15">
        <f>Table3[[#This Row],[PrimaComercial Anual]]-Table3[[#This Row],[PrimaComercial Anual]]*SUM(Table3[[#This Row],[APS]:[IVA]])</f>
        <v>16693.725922199999</v>
      </c>
      <c r="W862" s="2">
        <v>1.4800000000000001E-2</v>
      </c>
      <c r="X862" s="2">
        <v>8.4501000000000007E-2</v>
      </c>
      <c r="Y862">
        <v>0.03</v>
      </c>
      <c r="Z862">
        <v>0.13</v>
      </c>
      <c r="AA862" s="20">
        <f>Table3[[#This Row],[APS]]*Table3[[#This Row],[PrimaComercial Anual]]</f>
        <v>333.55944</v>
      </c>
      <c r="AB862" s="8">
        <f>Table3[[#This Row],[PrimaComercial Anual]]*Table3[[#This Row],[Recargo adicional]]</f>
        <v>1904.4666378000002</v>
      </c>
      <c r="AC862" s="8">
        <f>Table3[[#This Row],[PrimaComercial Anual]]*Table3[[#This Row],[IT]]</f>
        <v>676.1339999999999</v>
      </c>
      <c r="AD862" s="8">
        <f>Table3[[#This Row],[PrimaComercial Anual]]*Table3[[#This Row],[IVA]]</f>
        <v>2929.9140000000002</v>
      </c>
      <c r="AE862" s="15">
        <f>Table3[[#This Row],[PrimaComercial Anual Asistencia]]</f>
        <v>22537.8</v>
      </c>
      <c r="AG862">
        <v>22537.8</v>
      </c>
    </row>
    <row r="863" spans="1:33" x14ac:dyDescent="0.25">
      <c r="A863" t="s">
        <v>18</v>
      </c>
      <c r="B863">
        <v>700001</v>
      </c>
      <c r="C863">
        <v>68</v>
      </c>
      <c r="D863" s="2">
        <f>Table3[[#This Row],[PrimaTécnica]]-Table3[[#This Row],[PrimaTécnica]]*SUM(Table3[[#This Row],[Gastos Adm]:[Cobranza]])</f>
        <v>10259.748359452798</v>
      </c>
      <c r="E863">
        <v>0</v>
      </c>
      <c r="F863">
        <v>0.15</v>
      </c>
      <c r="G863">
        <v>0.05</v>
      </c>
      <c r="H863">
        <v>0.01</v>
      </c>
      <c r="I863">
        <v>0.01</v>
      </c>
      <c r="J863" s="8">
        <f>Table3[[#This Row],[PrimaTécnica]]*Table3[[#This Row],[Gastos Adm]]</f>
        <v>1973.0285306639996</v>
      </c>
      <c r="K863" s="8">
        <f>Table3[[#This Row],[PrimaTécnica]]*Table3[[#This Row],[Utilidad]]</f>
        <v>657.67617688799999</v>
      </c>
      <c r="L863" s="8">
        <f>Table3[[#This Row],[PrimaTécnica]]*Table3[[#This Row],[Marketing]]</f>
        <v>131.53523537759997</v>
      </c>
      <c r="M863" s="8">
        <f>Table3[[#This Row],[PrimaTécnica]]*Table3[[#This Row],[Cobranza]]</f>
        <v>131.53523537759997</v>
      </c>
      <c r="N86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13153.523537759998</v>
      </c>
      <c r="O863">
        <v>21.84</v>
      </c>
      <c r="P863">
        <v>54.6</v>
      </c>
      <c r="Q863">
        <v>80.64</v>
      </c>
      <c r="R863">
        <v>44.377200000000002</v>
      </c>
      <c r="S863">
        <v>0.2</v>
      </c>
      <c r="T863">
        <v>0.02</v>
      </c>
      <c r="U863" s="8">
        <f>Table3[[#This Row],[PrimaNeta]]*Table3[[#This Row],[Comisión]]</f>
        <v>3338.7451844400002</v>
      </c>
      <c r="V863" s="15">
        <f>Table3[[#This Row],[PrimaComercial Anual]]-Table3[[#This Row],[PrimaComercial Anual]]*SUM(Table3[[#This Row],[APS]:[IVA]])</f>
        <v>16693.725922199999</v>
      </c>
      <c r="W863" s="2">
        <v>1.4800000000000001E-2</v>
      </c>
      <c r="X863" s="2">
        <v>8.4501000000000007E-2</v>
      </c>
      <c r="Y863">
        <v>0.03</v>
      </c>
      <c r="Z863">
        <v>0.13</v>
      </c>
      <c r="AA863" s="20">
        <f>Table3[[#This Row],[APS]]*Table3[[#This Row],[PrimaComercial Anual]]</f>
        <v>333.55944</v>
      </c>
      <c r="AB863" s="8">
        <f>Table3[[#This Row],[PrimaComercial Anual]]*Table3[[#This Row],[Recargo adicional]]</f>
        <v>1904.4666378000002</v>
      </c>
      <c r="AC863" s="8">
        <f>Table3[[#This Row],[PrimaComercial Anual]]*Table3[[#This Row],[IT]]</f>
        <v>676.1339999999999</v>
      </c>
      <c r="AD863" s="8">
        <f>Table3[[#This Row],[PrimaComercial Anual]]*Table3[[#This Row],[IVA]]</f>
        <v>2929.9140000000002</v>
      </c>
      <c r="AE863" s="15">
        <f>Table3[[#This Row],[PrimaComercial Anual Asistencia]]</f>
        <v>22537.8</v>
      </c>
      <c r="AG863">
        <v>22537.8</v>
      </c>
    </row>
    <row r="864" spans="1:33" x14ac:dyDescent="0.25">
      <c r="A864" t="s">
        <v>18</v>
      </c>
      <c r="B864">
        <v>700001</v>
      </c>
      <c r="C864">
        <v>69</v>
      </c>
      <c r="D864" s="2">
        <f>Table3[[#This Row],[PrimaTécnica]]-Table3[[#This Row],[PrimaTécnica]]*SUM(Table3[[#This Row],[Gastos Adm]:[Cobranza]])</f>
        <v>10259.748359452798</v>
      </c>
      <c r="E864">
        <v>0</v>
      </c>
      <c r="F864">
        <v>0.15</v>
      </c>
      <c r="G864">
        <v>0.05</v>
      </c>
      <c r="H864">
        <v>0.01</v>
      </c>
      <c r="I864">
        <v>0.01</v>
      </c>
      <c r="J864" s="8">
        <f>Table3[[#This Row],[PrimaTécnica]]*Table3[[#This Row],[Gastos Adm]]</f>
        <v>1973.0285306639996</v>
      </c>
      <c r="K864" s="8">
        <f>Table3[[#This Row],[PrimaTécnica]]*Table3[[#This Row],[Utilidad]]</f>
        <v>657.67617688799999</v>
      </c>
      <c r="L864" s="8">
        <f>Table3[[#This Row],[PrimaTécnica]]*Table3[[#This Row],[Marketing]]</f>
        <v>131.53523537759997</v>
      </c>
      <c r="M864" s="8">
        <f>Table3[[#This Row],[PrimaTécnica]]*Table3[[#This Row],[Cobranza]]</f>
        <v>131.53523537759997</v>
      </c>
      <c r="N86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13153.523537759998</v>
      </c>
      <c r="O864">
        <v>21.84</v>
      </c>
      <c r="P864">
        <v>54.6</v>
      </c>
      <c r="Q864">
        <v>80.64</v>
      </c>
      <c r="R864">
        <v>44.377200000000002</v>
      </c>
      <c r="S864">
        <v>0.2</v>
      </c>
      <c r="T864">
        <v>0.02</v>
      </c>
      <c r="U864" s="8">
        <f>Table3[[#This Row],[PrimaNeta]]*Table3[[#This Row],[Comisión]]</f>
        <v>3338.7451844400002</v>
      </c>
      <c r="V864" s="15">
        <f>Table3[[#This Row],[PrimaComercial Anual]]-Table3[[#This Row],[PrimaComercial Anual]]*SUM(Table3[[#This Row],[APS]:[IVA]])</f>
        <v>16693.725922199999</v>
      </c>
      <c r="W864" s="2">
        <v>1.4800000000000001E-2</v>
      </c>
      <c r="X864" s="2">
        <v>8.4501000000000007E-2</v>
      </c>
      <c r="Y864">
        <v>0.03</v>
      </c>
      <c r="Z864">
        <v>0.13</v>
      </c>
      <c r="AA864" s="20">
        <f>Table3[[#This Row],[APS]]*Table3[[#This Row],[PrimaComercial Anual]]</f>
        <v>333.55944</v>
      </c>
      <c r="AB864" s="8">
        <f>Table3[[#This Row],[PrimaComercial Anual]]*Table3[[#This Row],[Recargo adicional]]</f>
        <v>1904.4666378000002</v>
      </c>
      <c r="AC864" s="8">
        <f>Table3[[#This Row],[PrimaComercial Anual]]*Table3[[#This Row],[IT]]</f>
        <v>676.1339999999999</v>
      </c>
      <c r="AD864" s="8">
        <f>Table3[[#This Row],[PrimaComercial Anual]]*Table3[[#This Row],[IVA]]</f>
        <v>2929.9140000000002</v>
      </c>
      <c r="AE864" s="15">
        <f>Table3[[#This Row],[PrimaComercial Anual Asistencia]]</f>
        <v>22537.8</v>
      </c>
      <c r="AG864">
        <v>22537.8</v>
      </c>
    </row>
    <row r="865" spans="1:33" x14ac:dyDescent="0.25">
      <c r="A865" t="s">
        <v>18</v>
      </c>
      <c r="B865">
        <v>700001</v>
      </c>
      <c r="C865">
        <v>70</v>
      </c>
      <c r="D865" s="2">
        <f>Table3[[#This Row],[PrimaTécnica]]-Table3[[#This Row],[PrimaTécnica]]*SUM(Table3[[#This Row],[Gastos Adm]:[Cobranza]])</f>
        <v>10259.748359452798</v>
      </c>
      <c r="E865">
        <v>0</v>
      </c>
      <c r="F865">
        <v>0.15</v>
      </c>
      <c r="G865">
        <v>0.05</v>
      </c>
      <c r="H865">
        <v>0.01</v>
      </c>
      <c r="I865">
        <v>0.01</v>
      </c>
      <c r="J865" s="8">
        <f>Table3[[#This Row],[PrimaTécnica]]*Table3[[#This Row],[Gastos Adm]]</f>
        <v>1973.0285306639996</v>
      </c>
      <c r="K865" s="8">
        <f>Table3[[#This Row],[PrimaTécnica]]*Table3[[#This Row],[Utilidad]]</f>
        <v>657.67617688799999</v>
      </c>
      <c r="L865" s="8">
        <f>Table3[[#This Row],[PrimaTécnica]]*Table3[[#This Row],[Marketing]]</f>
        <v>131.53523537759997</v>
      </c>
      <c r="M865" s="8">
        <f>Table3[[#This Row],[PrimaTécnica]]*Table3[[#This Row],[Cobranza]]</f>
        <v>131.53523537759997</v>
      </c>
      <c r="N86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13153.523537759998</v>
      </c>
      <c r="O865">
        <v>21.84</v>
      </c>
      <c r="P865">
        <v>54.6</v>
      </c>
      <c r="Q865">
        <v>80.64</v>
      </c>
      <c r="R865">
        <v>44.377200000000002</v>
      </c>
      <c r="S865">
        <v>0.2</v>
      </c>
      <c r="T865">
        <v>0.02</v>
      </c>
      <c r="U865" s="8">
        <f>Table3[[#This Row],[PrimaNeta]]*Table3[[#This Row],[Comisión]]</f>
        <v>3338.7451844400002</v>
      </c>
      <c r="V865" s="15">
        <f>Table3[[#This Row],[PrimaComercial Anual]]-Table3[[#This Row],[PrimaComercial Anual]]*SUM(Table3[[#This Row],[APS]:[IVA]])</f>
        <v>16693.725922199999</v>
      </c>
      <c r="W865" s="2">
        <v>1.4800000000000001E-2</v>
      </c>
      <c r="X865" s="2">
        <v>8.4501000000000007E-2</v>
      </c>
      <c r="Y865">
        <v>0.03</v>
      </c>
      <c r="Z865">
        <v>0.13</v>
      </c>
      <c r="AA865" s="20">
        <f>Table3[[#This Row],[APS]]*Table3[[#This Row],[PrimaComercial Anual]]</f>
        <v>333.55944</v>
      </c>
      <c r="AB865" s="8">
        <f>Table3[[#This Row],[PrimaComercial Anual]]*Table3[[#This Row],[Recargo adicional]]</f>
        <v>1904.4666378000002</v>
      </c>
      <c r="AC865" s="8">
        <f>Table3[[#This Row],[PrimaComercial Anual]]*Table3[[#This Row],[IT]]</f>
        <v>676.1339999999999</v>
      </c>
      <c r="AD865" s="8">
        <f>Table3[[#This Row],[PrimaComercial Anual]]*Table3[[#This Row],[IVA]]</f>
        <v>2929.9140000000002</v>
      </c>
      <c r="AE865" s="15">
        <f>Table3[[#This Row],[PrimaComercial Anual Asistencia]]</f>
        <v>22537.8</v>
      </c>
      <c r="AG865">
        <v>22537.8</v>
      </c>
    </row>
    <row r="866" spans="1:33" x14ac:dyDescent="0.25">
      <c r="A866" t="s">
        <v>18</v>
      </c>
      <c r="B866">
        <v>700001</v>
      </c>
      <c r="C866">
        <v>71</v>
      </c>
      <c r="D866" s="2">
        <f>Table3[[#This Row],[PrimaTécnica]]-Table3[[#This Row],[PrimaTécnica]]*SUM(Table3[[#This Row],[Gastos Adm]:[Cobranza]])</f>
        <v>12103.911101692798</v>
      </c>
      <c r="E866">
        <v>0</v>
      </c>
      <c r="F866">
        <v>0.15</v>
      </c>
      <c r="G866">
        <v>0.05</v>
      </c>
      <c r="H866">
        <v>0.01</v>
      </c>
      <c r="I866">
        <v>0.01</v>
      </c>
      <c r="J866" s="8">
        <f>Table3[[#This Row],[PrimaTécnica]]*Table3[[#This Row],[Gastos Adm]]</f>
        <v>2327.6752118639997</v>
      </c>
      <c r="K866" s="8">
        <f>Table3[[#This Row],[PrimaTécnica]]*Table3[[#This Row],[Utilidad]]</f>
        <v>775.89173728799994</v>
      </c>
      <c r="L866" s="8">
        <f>Table3[[#This Row],[PrimaTécnica]]*Table3[[#This Row],[Marketing]]</f>
        <v>155.17834745759998</v>
      </c>
      <c r="M866" s="8">
        <f>Table3[[#This Row],[PrimaTécnica]]*Table3[[#This Row],[Cobranza]]</f>
        <v>155.17834745759998</v>
      </c>
      <c r="N86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66">
        <v>21.84</v>
      </c>
      <c r="P866">
        <v>54.6</v>
      </c>
      <c r="Q866">
        <v>80.64</v>
      </c>
      <c r="R866">
        <v>44.377200000000002</v>
      </c>
      <c r="S866">
        <v>0.2</v>
      </c>
      <c r="T866">
        <v>0.02</v>
      </c>
      <c r="U866" s="8">
        <f>Table3[[#This Row],[PrimaNeta]]*Table3[[#This Row],[Comisión]]</f>
        <v>3929.82298644</v>
      </c>
      <c r="V866" s="15">
        <f>Table3[[#This Row],[PrimaComercial Anual]]-Table3[[#This Row],[PrimaComercial Anual]]*SUM(Table3[[#This Row],[APS]:[IVA]])</f>
        <v>19649.114932199998</v>
      </c>
      <c r="W866" s="2">
        <v>1.4800000000000001E-2</v>
      </c>
      <c r="X866" s="2">
        <v>8.4501000000000007E-2</v>
      </c>
      <c r="Y866">
        <v>0.03</v>
      </c>
      <c r="Z866">
        <v>0.13</v>
      </c>
      <c r="AA866" s="20">
        <f>Table3[[#This Row],[APS]]*Table3[[#This Row],[PrimaComercial Anual]]</f>
        <v>392.61144000000002</v>
      </c>
      <c r="AB866" s="8">
        <f>Table3[[#This Row],[PrimaComercial Anual]]*Table3[[#This Row],[Recargo adicional]]</f>
        <v>2241.6256278000001</v>
      </c>
      <c r="AC866" s="8">
        <f>Table3[[#This Row],[PrimaComercial Anual]]*Table3[[#This Row],[IT]]</f>
        <v>795.83399999999995</v>
      </c>
      <c r="AD866" s="8">
        <f>Table3[[#This Row],[PrimaComercial Anual]]*Table3[[#This Row],[IVA]]</f>
        <v>3448.614</v>
      </c>
      <c r="AE866" s="15">
        <f>Table3[[#This Row],[PrimaComercial Anual Asistencia]]</f>
        <v>26527.8</v>
      </c>
      <c r="AG866">
        <v>26527.8</v>
      </c>
    </row>
    <row r="867" spans="1:33" x14ac:dyDescent="0.25">
      <c r="A867" t="s">
        <v>18</v>
      </c>
      <c r="B867">
        <v>700001</v>
      </c>
      <c r="C867">
        <v>72</v>
      </c>
      <c r="D867" s="2">
        <f>Table3[[#This Row],[PrimaTécnica]]-Table3[[#This Row],[PrimaTécnica]]*SUM(Table3[[#This Row],[Gastos Adm]:[Cobranza]])</f>
        <v>12103.911101692798</v>
      </c>
      <c r="E867">
        <v>0</v>
      </c>
      <c r="F867">
        <v>0.15</v>
      </c>
      <c r="G867">
        <v>0.05</v>
      </c>
      <c r="H867">
        <v>0.01</v>
      </c>
      <c r="I867">
        <v>0.01</v>
      </c>
      <c r="J867" s="8">
        <f>Table3[[#This Row],[PrimaTécnica]]*Table3[[#This Row],[Gastos Adm]]</f>
        <v>2327.6752118639997</v>
      </c>
      <c r="K867" s="8">
        <f>Table3[[#This Row],[PrimaTécnica]]*Table3[[#This Row],[Utilidad]]</f>
        <v>775.89173728799994</v>
      </c>
      <c r="L867" s="8">
        <f>Table3[[#This Row],[PrimaTécnica]]*Table3[[#This Row],[Marketing]]</f>
        <v>155.17834745759998</v>
      </c>
      <c r="M867" s="8">
        <f>Table3[[#This Row],[PrimaTécnica]]*Table3[[#This Row],[Cobranza]]</f>
        <v>155.17834745759998</v>
      </c>
      <c r="N86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67">
        <v>21.84</v>
      </c>
      <c r="P867">
        <v>54.6</v>
      </c>
      <c r="Q867">
        <v>80.64</v>
      </c>
      <c r="R867">
        <v>44.377200000000002</v>
      </c>
      <c r="S867">
        <v>0.2</v>
      </c>
      <c r="T867">
        <v>0.02</v>
      </c>
      <c r="U867" s="8">
        <f>Table3[[#This Row],[PrimaNeta]]*Table3[[#This Row],[Comisión]]</f>
        <v>3929.82298644</v>
      </c>
      <c r="V867" s="15">
        <f>Table3[[#This Row],[PrimaComercial Anual]]-Table3[[#This Row],[PrimaComercial Anual]]*SUM(Table3[[#This Row],[APS]:[IVA]])</f>
        <v>19649.114932199998</v>
      </c>
      <c r="W867" s="2">
        <v>1.4800000000000001E-2</v>
      </c>
      <c r="X867" s="2">
        <v>8.4501000000000007E-2</v>
      </c>
      <c r="Y867">
        <v>0.03</v>
      </c>
      <c r="Z867">
        <v>0.13</v>
      </c>
      <c r="AA867" s="20">
        <f>Table3[[#This Row],[APS]]*Table3[[#This Row],[PrimaComercial Anual]]</f>
        <v>392.61144000000002</v>
      </c>
      <c r="AB867" s="8">
        <f>Table3[[#This Row],[PrimaComercial Anual]]*Table3[[#This Row],[Recargo adicional]]</f>
        <v>2241.6256278000001</v>
      </c>
      <c r="AC867" s="8">
        <f>Table3[[#This Row],[PrimaComercial Anual]]*Table3[[#This Row],[IT]]</f>
        <v>795.83399999999995</v>
      </c>
      <c r="AD867" s="8">
        <f>Table3[[#This Row],[PrimaComercial Anual]]*Table3[[#This Row],[IVA]]</f>
        <v>3448.614</v>
      </c>
      <c r="AE867" s="15">
        <f>Table3[[#This Row],[PrimaComercial Anual Asistencia]]</f>
        <v>26527.8</v>
      </c>
      <c r="AG867">
        <v>26527.8</v>
      </c>
    </row>
    <row r="868" spans="1:33" x14ac:dyDescent="0.25">
      <c r="A868" t="s">
        <v>18</v>
      </c>
      <c r="B868">
        <v>700001</v>
      </c>
      <c r="C868">
        <v>73</v>
      </c>
      <c r="D868" s="2">
        <f>Table3[[#This Row],[PrimaTécnica]]-Table3[[#This Row],[PrimaTécnica]]*SUM(Table3[[#This Row],[Gastos Adm]:[Cobranza]])</f>
        <v>12103.911101692798</v>
      </c>
      <c r="E868">
        <v>0</v>
      </c>
      <c r="F868">
        <v>0.15</v>
      </c>
      <c r="G868">
        <v>0.05</v>
      </c>
      <c r="H868">
        <v>0.01</v>
      </c>
      <c r="I868">
        <v>0.01</v>
      </c>
      <c r="J868" s="8">
        <f>Table3[[#This Row],[PrimaTécnica]]*Table3[[#This Row],[Gastos Adm]]</f>
        <v>2327.6752118639997</v>
      </c>
      <c r="K868" s="8">
        <f>Table3[[#This Row],[PrimaTécnica]]*Table3[[#This Row],[Utilidad]]</f>
        <v>775.89173728799994</v>
      </c>
      <c r="L868" s="8">
        <f>Table3[[#This Row],[PrimaTécnica]]*Table3[[#This Row],[Marketing]]</f>
        <v>155.17834745759998</v>
      </c>
      <c r="M868" s="8">
        <f>Table3[[#This Row],[PrimaTécnica]]*Table3[[#This Row],[Cobranza]]</f>
        <v>155.17834745759998</v>
      </c>
      <c r="N86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68">
        <v>21.84</v>
      </c>
      <c r="P868">
        <v>54.6</v>
      </c>
      <c r="Q868">
        <v>80.64</v>
      </c>
      <c r="R868">
        <v>44.377200000000002</v>
      </c>
      <c r="S868">
        <v>0.2</v>
      </c>
      <c r="T868">
        <v>0.02</v>
      </c>
      <c r="U868" s="8">
        <f>Table3[[#This Row],[PrimaNeta]]*Table3[[#This Row],[Comisión]]</f>
        <v>3929.82298644</v>
      </c>
      <c r="V868" s="15">
        <f>Table3[[#This Row],[PrimaComercial Anual]]-Table3[[#This Row],[PrimaComercial Anual]]*SUM(Table3[[#This Row],[APS]:[IVA]])</f>
        <v>19649.114932199998</v>
      </c>
      <c r="W868" s="2">
        <v>1.4800000000000001E-2</v>
      </c>
      <c r="X868" s="2">
        <v>8.4501000000000007E-2</v>
      </c>
      <c r="Y868">
        <v>0.03</v>
      </c>
      <c r="Z868">
        <v>0.13</v>
      </c>
      <c r="AA868" s="20">
        <f>Table3[[#This Row],[APS]]*Table3[[#This Row],[PrimaComercial Anual]]</f>
        <v>392.61144000000002</v>
      </c>
      <c r="AB868" s="8">
        <f>Table3[[#This Row],[PrimaComercial Anual]]*Table3[[#This Row],[Recargo adicional]]</f>
        <v>2241.6256278000001</v>
      </c>
      <c r="AC868" s="8">
        <f>Table3[[#This Row],[PrimaComercial Anual]]*Table3[[#This Row],[IT]]</f>
        <v>795.83399999999995</v>
      </c>
      <c r="AD868" s="8">
        <f>Table3[[#This Row],[PrimaComercial Anual]]*Table3[[#This Row],[IVA]]</f>
        <v>3448.614</v>
      </c>
      <c r="AE868" s="15">
        <f>Table3[[#This Row],[PrimaComercial Anual Asistencia]]</f>
        <v>26527.8</v>
      </c>
      <c r="AG868">
        <v>26527.8</v>
      </c>
    </row>
    <row r="869" spans="1:33" x14ac:dyDescent="0.25">
      <c r="A869" t="s">
        <v>18</v>
      </c>
      <c r="B869">
        <v>700001</v>
      </c>
      <c r="C869">
        <v>74</v>
      </c>
      <c r="D869" s="2">
        <f>Table3[[#This Row],[PrimaTécnica]]-Table3[[#This Row],[PrimaTécnica]]*SUM(Table3[[#This Row],[Gastos Adm]:[Cobranza]])</f>
        <v>12103.911101692798</v>
      </c>
      <c r="E869">
        <v>0</v>
      </c>
      <c r="F869">
        <v>0.15</v>
      </c>
      <c r="G869">
        <v>0.05</v>
      </c>
      <c r="H869">
        <v>0.01</v>
      </c>
      <c r="I869">
        <v>0.01</v>
      </c>
      <c r="J869" s="8">
        <f>Table3[[#This Row],[PrimaTécnica]]*Table3[[#This Row],[Gastos Adm]]</f>
        <v>2327.6752118639997</v>
      </c>
      <c r="K869" s="8">
        <f>Table3[[#This Row],[PrimaTécnica]]*Table3[[#This Row],[Utilidad]]</f>
        <v>775.89173728799994</v>
      </c>
      <c r="L869" s="8">
        <f>Table3[[#This Row],[PrimaTécnica]]*Table3[[#This Row],[Marketing]]</f>
        <v>155.17834745759998</v>
      </c>
      <c r="M869" s="8">
        <f>Table3[[#This Row],[PrimaTécnica]]*Table3[[#This Row],[Cobranza]]</f>
        <v>155.17834745759998</v>
      </c>
      <c r="N86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69">
        <v>21.84</v>
      </c>
      <c r="P869">
        <v>54.6</v>
      </c>
      <c r="Q869">
        <v>80.64</v>
      </c>
      <c r="R869">
        <v>44.377200000000002</v>
      </c>
      <c r="S869">
        <v>0.2</v>
      </c>
      <c r="T869">
        <v>0.02</v>
      </c>
      <c r="U869" s="8">
        <f>Table3[[#This Row],[PrimaNeta]]*Table3[[#This Row],[Comisión]]</f>
        <v>3929.82298644</v>
      </c>
      <c r="V869" s="15">
        <f>Table3[[#This Row],[PrimaComercial Anual]]-Table3[[#This Row],[PrimaComercial Anual]]*SUM(Table3[[#This Row],[APS]:[IVA]])</f>
        <v>19649.114932199998</v>
      </c>
      <c r="W869" s="2">
        <v>1.4800000000000001E-2</v>
      </c>
      <c r="X869" s="2">
        <v>8.4501000000000007E-2</v>
      </c>
      <c r="Y869">
        <v>0.03</v>
      </c>
      <c r="Z869">
        <v>0.13</v>
      </c>
      <c r="AA869" s="20">
        <f>Table3[[#This Row],[APS]]*Table3[[#This Row],[PrimaComercial Anual]]</f>
        <v>392.61144000000002</v>
      </c>
      <c r="AB869" s="8">
        <f>Table3[[#This Row],[PrimaComercial Anual]]*Table3[[#This Row],[Recargo adicional]]</f>
        <v>2241.6256278000001</v>
      </c>
      <c r="AC869" s="8">
        <f>Table3[[#This Row],[PrimaComercial Anual]]*Table3[[#This Row],[IT]]</f>
        <v>795.83399999999995</v>
      </c>
      <c r="AD869" s="8">
        <f>Table3[[#This Row],[PrimaComercial Anual]]*Table3[[#This Row],[IVA]]</f>
        <v>3448.614</v>
      </c>
      <c r="AE869" s="15">
        <f>Table3[[#This Row],[PrimaComercial Anual Asistencia]]</f>
        <v>26527.8</v>
      </c>
      <c r="AG869">
        <v>26527.8</v>
      </c>
    </row>
    <row r="870" spans="1:33" x14ac:dyDescent="0.25">
      <c r="A870" t="s">
        <v>18</v>
      </c>
      <c r="B870">
        <v>700001</v>
      </c>
      <c r="C870">
        <v>75</v>
      </c>
      <c r="D870" s="2">
        <f>Table3[[#This Row],[PrimaTécnica]]-Table3[[#This Row],[PrimaTécnica]]*SUM(Table3[[#This Row],[Gastos Adm]:[Cobranza]])</f>
        <v>12103.911101692798</v>
      </c>
      <c r="E870">
        <v>0</v>
      </c>
      <c r="F870">
        <v>0.15</v>
      </c>
      <c r="G870">
        <v>0.05</v>
      </c>
      <c r="H870">
        <v>0.01</v>
      </c>
      <c r="I870">
        <v>0.01</v>
      </c>
      <c r="J870" s="8">
        <f>Table3[[#This Row],[PrimaTécnica]]*Table3[[#This Row],[Gastos Adm]]</f>
        <v>2327.6752118639997</v>
      </c>
      <c r="K870" s="8">
        <f>Table3[[#This Row],[PrimaTécnica]]*Table3[[#This Row],[Utilidad]]</f>
        <v>775.89173728799994</v>
      </c>
      <c r="L870" s="8">
        <f>Table3[[#This Row],[PrimaTécnica]]*Table3[[#This Row],[Marketing]]</f>
        <v>155.17834745759998</v>
      </c>
      <c r="M870" s="8">
        <f>Table3[[#This Row],[PrimaTécnica]]*Table3[[#This Row],[Cobranza]]</f>
        <v>155.17834745759998</v>
      </c>
      <c r="N87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70">
        <v>21.84</v>
      </c>
      <c r="P870">
        <v>54.6</v>
      </c>
      <c r="Q870">
        <v>80.64</v>
      </c>
      <c r="R870">
        <v>44.377200000000002</v>
      </c>
      <c r="S870">
        <v>0.2</v>
      </c>
      <c r="T870">
        <v>0.02</v>
      </c>
      <c r="U870" s="8">
        <f>Table3[[#This Row],[PrimaNeta]]*Table3[[#This Row],[Comisión]]</f>
        <v>3929.82298644</v>
      </c>
      <c r="V870" s="15">
        <f>Table3[[#This Row],[PrimaComercial Anual]]-Table3[[#This Row],[PrimaComercial Anual]]*SUM(Table3[[#This Row],[APS]:[IVA]])</f>
        <v>19649.114932199998</v>
      </c>
      <c r="W870" s="2">
        <v>1.4800000000000001E-2</v>
      </c>
      <c r="X870" s="2">
        <v>8.4501000000000007E-2</v>
      </c>
      <c r="Y870">
        <v>0.03</v>
      </c>
      <c r="Z870">
        <v>0.13</v>
      </c>
      <c r="AA870" s="20">
        <f>Table3[[#This Row],[APS]]*Table3[[#This Row],[PrimaComercial Anual]]</f>
        <v>392.61144000000002</v>
      </c>
      <c r="AB870" s="8">
        <f>Table3[[#This Row],[PrimaComercial Anual]]*Table3[[#This Row],[Recargo adicional]]</f>
        <v>2241.6256278000001</v>
      </c>
      <c r="AC870" s="8">
        <f>Table3[[#This Row],[PrimaComercial Anual]]*Table3[[#This Row],[IT]]</f>
        <v>795.83399999999995</v>
      </c>
      <c r="AD870" s="8">
        <f>Table3[[#This Row],[PrimaComercial Anual]]*Table3[[#This Row],[IVA]]</f>
        <v>3448.614</v>
      </c>
      <c r="AE870" s="15">
        <f>Table3[[#This Row],[PrimaComercial Anual Asistencia]]</f>
        <v>26527.8</v>
      </c>
      <c r="AG870">
        <v>26527.8</v>
      </c>
    </row>
    <row r="871" spans="1:33" x14ac:dyDescent="0.25">
      <c r="A871" t="s">
        <v>18</v>
      </c>
      <c r="B871">
        <v>700001</v>
      </c>
      <c r="C871">
        <v>76</v>
      </c>
      <c r="D871" s="2">
        <f>Table3[[#This Row],[PrimaTécnica]]-Table3[[#This Row],[PrimaTécnica]]*SUM(Table3[[#This Row],[Gastos Adm]:[Cobranza]])</f>
        <v>12103.911101692798</v>
      </c>
      <c r="E871">
        <v>0</v>
      </c>
      <c r="F871">
        <v>0.15</v>
      </c>
      <c r="G871">
        <v>0.05</v>
      </c>
      <c r="H871">
        <v>0.01</v>
      </c>
      <c r="I871">
        <v>0.01</v>
      </c>
      <c r="J871" s="8">
        <f>Table3[[#This Row],[PrimaTécnica]]*Table3[[#This Row],[Gastos Adm]]</f>
        <v>2327.6752118639997</v>
      </c>
      <c r="K871" s="8">
        <f>Table3[[#This Row],[PrimaTécnica]]*Table3[[#This Row],[Utilidad]]</f>
        <v>775.89173728799994</v>
      </c>
      <c r="L871" s="8">
        <f>Table3[[#This Row],[PrimaTécnica]]*Table3[[#This Row],[Marketing]]</f>
        <v>155.17834745759998</v>
      </c>
      <c r="M871" s="8">
        <f>Table3[[#This Row],[PrimaTécnica]]*Table3[[#This Row],[Cobranza]]</f>
        <v>155.17834745759998</v>
      </c>
      <c r="N87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71">
        <v>21.84</v>
      </c>
      <c r="P871">
        <v>54.6</v>
      </c>
      <c r="Q871">
        <v>80.64</v>
      </c>
      <c r="R871">
        <v>44.377200000000002</v>
      </c>
      <c r="S871">
        <v>0.2</v>
      </c>
      <c r="T871">
        <v>0.02</v>
      </c>
      <c r="U871" s="8">
        <f>Table3[[#This Row],[PrimaNeta]]*Table3[[#This Row],[Comisión]]</f>
        <v>3929.82298644</v>
      </c>
      <c r="V871" s="15">
        <f>Table3[[#This Row],[PrimaComercial Anual]]-Table3[[#This Row],[PrimaComercial Anual]]*SUM(Table3[[#This Row],[APS]:[IVA]])</f>
        <v>19649.114932199998</v>
      </c>
      <c r="W871" s="2">
        <v>1.4800000000000001E-2</v>
      </c>
      <c r="X871" s="2">
        <v>8.4501000000000007E-2</v>
      </c>
      <c r="Y871">
        <v>0.03</v>
      </c>
      <c r="Z871">
        <v>0.13</v>
      </c>
      <c r="AA871" s="20">
        <f>Table3[[#This Row],[APS]]*Table3[[#This Row],[PrimaComercial Anual]]</f>
        <v>392.61144000000002</v>
      </c>
      <c r="AB871" s="8">
        <f>Table3[[#This Row],[PrimaComercial Anual]]*Table3[[#This Row],[Recargo adicional]]</f>
        <v>2241.6256278000001</v>
      </c>
      <c r="AC871" s="8">
        <f>Table3[[#This Row],[PrimaComercial Anual]]*Table3[[#This Row],[IT]]</f>
        <v>795.83399999999995</v>
      </c>
      <c r="AD871" s="8">
        <f>Table3[[#This Row],[PrimaComercial Anual]]*Table3[[#This Row],[IVA]]</f>
        <v>3448.614</v>
      </c>
      <c r="AE871" s="15">
        <f>Table3[[#This Row],[PrimaComercial Anual Asistencia]]</f>
        <v>26527.8</v>
      </c>
      <c r="AG871">
        <v>26527.8</v>
      </c>
    </row>
    <row r="872" spans="1:33" x14ac:dyDescent="0.25">
      <c r="A872" t="s">
        <v>18</v>
      </c>
      <c r="B872">
        <v>700001</v>
      </c>
      <c r="C872">
        <v>77</v>
      </c>
      <c r="D872" s="2">
        <f>Table3[[#This Row],[PrimaTécnica]]-Table3[[#This Row],[PrimaTécnica]]*SUM(Table3[[#This Row],[Gastos Adm]:[Cobranza]])</f>
        <v>12103.911101692798</v>
      </c>
      <c r="E872">
        <v>0</v>
      </c>
      <c r="F872">
        <v>0.15</v>
      </c>
      <c r="G872">
        <v>0.05</v>
      </c>
      <c r="H872">
        <v>0.01</v>
      </c>
      <c r="I872">
        <v>0.01</v>
      </c>
      <c r="J872" s="8">
        <f>Table3[[#This Row],[PrimaTécnica]]*Table3[[#This Row],[Gastos Adm]]</f>
        <v>2327.6752118639997</v>
      </c>
      <c r="K872" s="8">
        <f>Table3[[#This Row],[PrimaTécnica]]*Table3[[#This Row],[Utilidad]]</f>
        <v>775.89173728799994</v>
      </c>
      <c r="L872" s="8">
        <f>Table3[[#This Row],[PrimaTécnica]]*Table3[[#This Row],[Marketing]]</f>
        <v>155.17834745759998</v>
      </c>
      <c r="M872" s="8">
        <f>Table3[[#This Row],[PrimaTécnica]]*Table3[[#This Row],[Cobranza]]</f>
        <v>155.17834745759998</v>
      </c>
      <c r="N87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72">
        <v>21.84</v>
      </c>
      <c r="P872">
        <v>54.6</v>
      </c>
      <c r="Q872">
        <v>80.64</v>
      </c>
      <c r="R872">
        <v>44.377200000000002</v>
      </c>
      <c r="S872">
        <v>0.2</v>
      </c>
      <c r="T872">
        <v>0.02</v>
      </c>
      <c r="U872" s="8">
        <f>Table3[[#This Row],[PrimaNeta]]*Table3[[#This Row],[Comisión]]</f>
        <v>3929.82298644</v>
      </c>
      <c r="V872" s="15">
        <f>Table3[[#This Row],[PrimaComercial Anual]]-Table3[[#This Row],[PrimaComercial Anual]]*SUM(Table3[[#This Row],[APS]:[IVA]])</f>
        <v>19649.114932199998</v>
      </c>
      <c r="W872" s="2">
        <v>1.4800000000000001E-2</v>
      </c>
      <c r="X872" s="2">
        <v>8.4501000000000007E-2</v>
      </c>
      <c r="Y872">
        <v>0.03</v>
      </c>
      <c r="Z872">
        <v>0.13</v>
      </c>
      <c r="AA872" s="20">
        <f>Table3[[#This Row],[APS]]*Table3[[#This Row],[PrimaComercial Anual]]</f>
        <v>392.61144000000002</v>
      </c>
      <c r="AB872" s="8">
        <f>Table3[[#This Row],[PrimaComercial Anual]]*Table3[[#This Row],[Recargo adicional]]</f>
        <v>2241.6256278000001</v>
      </c>
      <c r="AC872" s="8">
        <f>Table3[[#This Row],[PrimaComercial Anual]]*Table3[[#This Row],[IT]]</f>
        <v>795.83399999999995</v>
      </c>
      <c r="AD872" s="8">
        <f>Table3[[#This Row],[PrimaComercial Anual]]*Table3[[#This Row],[IVA]]</f>
        <v>3448.614</v>
      </c>
      <c r="AE872" s="15">
        <f>Table3[[#This Row],[PrimaComercial Anual Asistencia]]</f>
        <v>26527.8</v>
      </c>
      <c r="AG872">
        <v>26527.8</v>
      </c>
    </row>
    <row r="873" spans="1:33" x14ac:dyDescent="0.25">
      <c r="A873" t="s">
        <v>18</v>
      </c>
      <c r="B873">
        <v>700001</v>
      </c>
      <c r="C873">
        <v>78</v>
      </c>
      <c r="D873" s="2">
        <f>Table3[[#This Row],[PrimaTécnica]]-Table3[[#This Row],[PrimaTécnica]]*SUM(Table3[[#This Row],[Gastos Adm]:[Cobranza]])</f>
        <v>12103.911101692798</v>
      </c>
      <c r="E873">
        <v>0</v>
      </c>
      <c r="F873">
        <v>0.15</v>
      </c>
      <c r="G873">
        <v>0.05</v>
      </c>
      <c r="H873">
        <v>0.01</v>
      </c>
      <c r="I873">
        <v>0.01</v>
      </c>
      <c r="J873" s="8">
        <f>Table3[[#This Row],[PrimaTécnica]]*Table3[[#This Row],[Gastos Adm]]</f>
        <v>2327.6752118639997</v>
      </c>
      <c r="K873" s="8">
        <f>Table3[[#This Row],[PrimaTécnica]]*Table3[[#This Row],[Utilidad]]</f>
        <v>775.89173728799994</v>
      </c>
      <c r="L873" s="8">
        <f>Table3[[#This Row],[PrimaTécnica]]*Table3[[#This Row],[Marketing]]</f>
        <v>155.17834745759998</v>
      </c>
      <c r="M873" s="8">
        <f>Table3[[#This Row],[PrimaTécnica]]*Table3[[#This Row],[Cobranza]]</f>
        <v>155.17834745759998</v>
      </c>
      <c r="N87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73">
        <v>21.84</v>
      </c>
      <c r="P873">
        <v>54.6</v>
      </c>
      <c r="Q873">
        <v>80.64</v>
      </c>
      <c r="R873">
        <v>44.377200000000002</v>
      </c>
      <c r="S873">
        <v>0.2</v>
      </c>
      <c r="T873">
        <v>0.02</v>
      </c>
      <c r="U873" s="8">
        <f>Table3[[#This Row],[PrimaNeta]]*Table3[[#This Row],[Comisión]]</f>
        <v>3929.82298644</v>
      </c>
      <c r="V873" s="15">
        <f>Table3[[#This Row],[PrimaComercial Anual]]-Table3[[#This Row],[PrimaComercial Anual]]*SUM(Table3[[#This Row],[APS]:[IVA]])</f>
        <v>19649.114932199998</v>
      </c>
      <c r="W873" s="2">
        <v>1.4800000000000001E-2</v>
      </c>
      <c r="X873" s="2">
        <v>8.4501000000000007E-2</v>
      </c>
      <c r="Y873">
        <v>0.03</v>
      </c>
      <c r="Z873">
        <v>0.13</v>
      </c>
      <c r="AA873" s="20">
        <f>Table3[[#This Row],[APS]]*Table3[[#This Row],[PrimaComercial Anual]]</f>
        <v>392.61144000000002</v>
      </c>
      <c r="AB873" s="8">
        <f>Table3[[#This Row],[PrimaComercial Anual]]*Table3[[#This Row],[Recargo adicional]]</f>
        <v>2241.6256278000001</v>
      </c>
      <c r="AC873" s="8">
        <f>Table3[[#This Row],[PrimaComercial Anual]]*Table3[[#This Row],[IT]]</f>
        <v>795.83399999999995</v>
      </c>
      <c r="AD873" s="8">
        <f>Table3[[#This Row],[PrimaComercial Anual]]*Table3[[#This Row],[IVA]]</f>
        <v>3448.614</v>
      </c>
      <c r="AE873" s="15">
        <f>Table3[[#This Row],[PrimaComercial Anual Asistencia]]</f>
        <v>26527.8</v>
      </c>
      <c r="AG873">
        <v>26527.8</v>
      </c>
    </row>
    <row r="874" spans="1:33" x14ac:dyDescent="0.25">
      <c r="A874" t="s">
        <v>18</v>
      </c>
      <c r="B874">
        <v>700001</v>
      </c>
      <c r="C874">
        <v>79</v>
      </c>
      <c r="D874" s="2">
        <f>Table3[[#This Row],[PrimaTécnica]]-Table3[[#This Row],[PrimaTécnica]]*SUM(Table3[[#This Row],[Gastos Adm]:[Cobranza]])</f>
        <v>12103.911101692798</v>
      </c>
      <c r="E874">
        <v>0</v>
      </c>
      <c r="F874">
        <v>0.15</v>
      </c>
      <c r="G874">
        <v>0.05</v>
      </c>
      <c r="H874">
        <v>0.01</v>
      </c>
      <c r="I874">
        <v>0.01</v>
      </c>
      <c r="J874" s="8">
        <f>Table3[[#This Row],[PrimaTécnica]]*Table3[[#This Row],[Gastos Adm]]</f>
        <v>2327.6752118639997</v>
      </c>
      <c r="K874" s="8">
        <f>Table3[[#This Row],[PrimaTécnica]]*Table3[[#This Row],[Utilidad]]</f>
        <v>775.89173728799994</v>
      </c>
      <c r="L874" s="8">
        <f>Table3[[#This Row],[PrimaTécnica]]*Table3[[#This Row],[Marketing]]</f>
        <v>155.17834745759998</v>
      </c>
      <c r="M874" s="8">
        <f>Table3[[#This Row],[PrimaTécnica]]*Table3[[#This Row],[Cobranza]]</f>
        <v>155.17834745759998</v>
      </c>
      <c r="N87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74">
        <v>21.84</v>
      </c>
      <c r="P874">
        <v>54.6</v>
      </c>
      <c r="Q874">
        <v>80.64</v>
      </c>
      <c r="R874">
        <v>44.377200000000002</v>
      </c>
      <c r="S874">
        <v>0.2</v>
      </c>
      <c r="T874">
        <v>0.02</v>
      </c>
      <c r="U874" s="8">
        <f>Table3[[#This Row],[PrimaNeta]]*Table3[[#This Row],[Comisión]]</f>
        <v>3929.82298644</v>
      </c>
      <c r="V874" s="15">
        <f>Table3[[#This Row],[PrimaComercial Anual]]-Table3[[#This Row],[PrimaComercial Anual]]*SUM(Table3[[#This Row],[APS]:[IVA]])</f>
        <v>19649.114932199998</v>
      </c>
      <c r="W874" s="2">
        <v>1.4800000000000001E-2</v>
      </c>
      <c r="X874" s="2">
        <v>8.4501000000000007E-2</v>
      </c>
      <c r="Y874">
        <v>0.03</v>
      </c>
      <c r="Z874">
        <v>0.13</v>
      </c>
      <c r="AA874" s="20">
        <f>Table3[[#This Row],[APS]]*Table3[[#This Row],[PrimaComercial Anual]]</f>
        <v>392.61144000000002</v>
      </c>
      <c r="AB874" s="8">
        <f>Table3[[#This Row],[PrimaComercial Anual]]*Table3[[#This Row],[Recargo adicional]]</f>
        <v>2241.6256278000001</v>
      </c>
      <c r="AC874" s="8">
        <f>Table3[[#This Row],[PrimaComercial Anual]]*Table3[[#This Row],[IT]]</f>
        <v>795.83399999999995</v>
      </c>
      <c r="AD874" s="8">
        <f>Table3[[#This Row],[PrimaComercial Anual]]*Table3[[#This Row],[IVA]]</f>
        <v>3448.614</v>
      </c>
      <c r="AE874" s="15">
        <f>Table3[[#This Row],[PrimaComercial Anual Asistencia]]</f>
        <v>26527.8</v>
      </c>
      <c r="AG874">
        <v>26527.8</v>
      </c>
    </row>
    <row r="875" spans="1:33" x14ac:dyDescent="0.25">
      <c r="A875" t="s">
        <v>18</v>
      </c>
      <c r="B875">
        <v>700001</v>
      </c>
      <c r="C875">
        <v>80</v>
      </c>
      <c r="D875" s="2">
        <f>Table3[[#This Row],[PrimaTécnica]]-Table3[[#This Row],[PrimaTécnica]]*SUM(Table3[[#This Row],[Gastos Adm]:[Cobranza]])</f>
        <v>12103.911101692798</v>
      </c>
      <c r="E875">
        <v>0</v>
      </c>
      <c r="F875">
        <v>0.15</v>
      </c>
      <c r="G875">
        <v>0.05</v>
      </c>
      <c r="H875">
        <v>0.01</v>
      </c>
      <c r="I875">
        <v>0.01</v>
      </c>
      <c r="J875" s="8">
        <f>Table3[[#This Row],[PrimaTécnica]]*Table3[[#This Row],[Gastos Adm]]</f>
        <v>2327.6752118639997</v>
      </c>
      <c r="K875" s="8">
        <f>Table3[[#This Row],[PrimaTécnica]]*Table3[[#This Row],[Utilidad]]</f>
        <v>775.89173728799994</v>
      </c>
      <c r="L875" s="8">
        <f>Table3[[#This Row],[PrimaTécnica]]*Table3[[#This Row],[Marketing]]</f>
        <v>155.17834745759998</v>
      </c>
      <c r="M875" s="8">
        <f>Table3[[#This Row],[PrimaTécnica]]*Table3[[#This Row],[Cobranza]]</f>
        <v>155.17834745759998</v>
      </c>
      <c r="N87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75">
        <v>21.84</v>
      </c>
      <c r="P875">
        <v>54.6</v>
      </c>
      <c r="Q875">
        <v>80.64</v>
      </c>
      <c r="R875">
        <v>44.377200000000002</v>
      </c>
      <c r="S875">
        <v>0.2</v>
      </c>
      <c r="T875">
        <v>0.02</v>
      </c>
      <c r="U875" s="8">
        <f>Table3[[#This Row],[PrimaNeta]]*Table3[[#This Row],[Comisión]]</f>
        <v>3929.82298644</v>
      </c>
      <c r="V875" s="15">
        <f>Table3[[#This Row],[PrimaComercial Anual]]-Table3[[#This Row],[PrimaComercial Anual]]*SUM(Table3[[#This Row],[APS]:[IVA]])</f>
        <v>19649.114932199998</v>
      </c>
      <c r="W875" s="2">
        <v>1.4800000000000001E-2</v>
      </c>
      <c r="X875" s="2">
        <v>8.4501000000000007E-2</v>
      </c>
      <c r="Y875">
        <v>0.03</v>
      </c>
      <c r="Z875">
        <v>0.13</v>
      </c>
      <c r="AA875" s="20">
        <f>Table3[[#This Row],[APS]]*Table3[[#This Row],[PrimaComercial Anual]]</f>
        <v>392.61144000000002</v>
      </c>
      <c r="AB875" s="8">
        <f>Table3[[#This Row],[PrimaComercial Anual]]*Table3[[#This Row],[Recargo adicional]]</f>
        <v>2241.6256278000001</v>
      </c>
      <c r="AC875" s="8">
        <f>Table3[[#This Row],[PrimaComercial Anual]]*Table3[[#This Row],[IT]]</f>
        <v>795.83399999999995</v>
      </c>
      <c r="AD875" s="8">
        <f>Table3[[#This Row],[PrimaComercial Anual]]*Table3[[#This Row],[IVA]]</f>
        <v>3448.614</v>
      </c>
      <c r="AE875" s="15">
        <f>Table3[[#This Row],[PrimaComercial Anual Asistencia]]</f>
        <v>26527.8</v>
      </c>
      <c r="AG875">
        <v>26527.8</v>
      </c>
    </row>
    <row r="876" spans="1:33" x14ac:dyDescent="0.25">
      <c r="A876" t="s">
        <v>18</v>
      </c>
      <c r="B876">
        <v>700001</v>
      </c>
      <c r="C876">
        <v>81</v>
      </c>
      <c r="D876" s="2">
        <f>Table3[[#This Row],[PrimaTécnica]]-Table3[[#This Row],[PrimaTécnica]]*SUM(Table3[[#This Row],[Gastos Adm]:[Cobranza]])</f>
        <v>12103.911101692798</v>
      </c>
      <c r="E876">
        <v>0</v>
      </c>
      <c r="F876">
        <v>0.15</v>
      </c>
      <c r="G876">
        <v>0.05</v>
      </c>
      <c r="H876">
        <v>0.01</v>
      </c>
      <c r="I876">
        <v>0.01</v>
      </c>
      <c r="J876" s="8">
        <f>Table3[[#This Row],[PrimaTécnica]]*Table3[[#This Row],[Gastos Adm]]</f>
        <v>2327.6752118639997</v>
      </c>
      <c r="K876" s="8">
        <f>Table3[[#This Row],[PrimaTécnica]]*Table3[[#This Row],[Utilidad]]</f>
        <v>775.89173728799994</v>
      </c>
      <c r="L876" s="8">
        <f>Table3[[#This Row],[PrimaTécnica]]*Table3[[#This Row],[Marketing]]</f>
        <v>155.17834745759998</v>
      </c>
      <c r="M876" s="8">
        <f>Table3[[#This Row],[PrimaTécnica]]*Table3[[#This Row],[Cobranza]]</f>
        <v>155.17834745759998</v>
      </c>
      <c r="N87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76">
        <v>21.84</v>
      </c>
      <c r="P876">
        <v>54.6</v>
      </c>
      <c r="Q876">
        <v>80.64</v>
      </c>
      <c r="R876">
        <v>44.377200000000002</v>
      </c>
      <c r="S876">
        <v>0.2</v>
      </c>
      <c r="T876">
        <v>0.02</v>
      </c>
      <c r="U876" s="8">
        <f>Table3[[#This Row],[PrimaNeta]]*Table3[[#This Row],[Comisión]]</f>
        <v>3929.82298644</v>
      </c>
      <c r="V876" s="15">
        <f>Table3[[#This Row],[PrimaComercial Anual]]-Table3[[#This Row],[PrimaComercial Anual]]*SUM(Table3[[#This Row],[APS]:[IVA]])</f>
        <v>19649.114932199998</v>
      </c>
      <c r="W876" s="2">
        <v>1.4800000000000001E-2</v>
      </c>
      <c r="X876" s="2">
        <v>8.4501000000000007E-2</v>
      </c>
      <c r="Y876">
        <v>0.03</v>
      </c>
      <c r="Z876">
        <v>0.13</v>
      </c>
      <c r="AA876" s="20">
        <f>Table3[[#This Row],[APS]]*Table3[[#This Row],[PrimaComercial Anual]]</f>
        <v>392.61144000000002</v>
      </c>
      <c r="AB876" s="8">
        <f>Table3[[#This Row],[PrimaComercial Anual]]*Table3[[#This Row],[Recargo adicional]]</f>
        <v>2241.6256278000001</v>
      </c>
      <c r="AC876" s="8">
        <f>Table3[[#This Row],[PrimaComercial Anual]]*Table3[[#This Row],[IT]]</f>
        <v>795.83399999999995</v>
      </c>
      <c r="AD876" s="8">
        <f>Table3[[#This Row],[PrimaComercial Anual]]*Table3[[#This Row],[IVA]]</f>
        <v>3448.614</v>
      </c>
      <c r="AE876" s="15">
        <f>Table3[[#This Row],[PrimaComercial Anual Asistencia]]</f>
        <v>26527.8</v>
      </c>
      <c r="AG876">
        <v>26527.8</v>
      </c>
    </row>
    <row r="877" spans="1:33" x14ac:dyDescent="0.25">
      <c r="A877" t="s">
        <v>18</v>
      </c>
      <c r="B877">
        <v>700001</v>
      </c>
      <c r="C877">
        <v>82</v>
      </c>
      <c r="D877" s="2">
        <f>Table3[[#This Row],[PrimaTécnica]]-Table3[[#This Row],[PrimaTécnica]]*SUM(Table3[[#This Row],[Gastos Adm]:[Cobranza]])</f>
        <v>12103.911101692798</v>
      </c>
      <c r="E877">
        <v>0</v>
      </c>
      <c r="F877">
        <v>0.15</v>
      </c>
      <c r="G877">
        <v>0.05</v>
      </c>
      <c r="H877">
        <v>0.01</v>
      </c>
      <c r="I877">
        <v>0.01</v>
      </c>
      <c r="J877" s="8">
        <f>Table3[[#This Row],[PrimaTécnica]]*Table3[[#This Row],[Gastos Adm]]</f>
        <v>2327.6752118639997</v>
      </c>
      <c r="K877" s="8">
        <f>Table3[[#This Row],[PrimaTécnica]]*Table3[[#This Row],[Utilidad]]</f>
        <v>775.89173728799994</v>
      </c>
      <c r="L877" s="8">
        <f>Table3[[#This Row],[PrimaTécnica]]*Table3[[#This Row],[Marketing]]</f>
        <v>155.17834745759998</v>
      </c>
      <c r="M877" s="8">
        <f>Table3[[#This Row],[PrimaTécnica]]*Table3[[#This Row],[Cobranza]]</f>
        <v>155.17834745759998</v>
      </c>
      <c r="N87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77">
        <v>21.84</v>
      </c>
      <c r="P877">
        <v>54.6</v>
      </c>
      <c r="Q877">
        <v>80.64</v>
      </c>
      <c r="R877">
        <v>44.377200000000002</v>
      </c>
      <c r="S877">
        <v>0.2</v>
      </c>
      <c r="T877">
        <v>0.02</v>
      </c>
      <c r="U877" s="8">
        <f>Table3[[#This Row],[PrimaNeta]]*Table3[[#This Row],[Comisión]]</f>
        <v>3929.82298644</v>
      </c>
      <c r="V877" s="15">
        <f>Table3[[#This Row],[PrimaComercial Anual]]-Table3[[#This Row],[PrimaComercial Anual]]*SUM(Table3[[#This Row],[APS]:[IVA]])</f>
        <v>19649.114932199998</v>
      </c>
      <c r="W877" s="2">
        <v>1.4800000000000001E-2</v>
      </c>
      <c r="X877" s="2">
        <v>8.4501000000000007E-2</v>
      </c>
      <c r="Y877">
        <v>0.03</v>
      </c>
      <c r="Z877">
        <v>0.13</v>
      </c>
      <c r="AA877" s="20">
        <f>Table3[[#This Row],[APS]]*Table3[[#This Row],[PrimaComercial Anual]]</f>
        <v>392.61144000000002</v>
      </c>
      <c r="AB877" s="8">
        <f>Table3[[#This Row],[PrimaComercial Anual]]*Table3[[#This Row],[Recargo adicional]]</f>
        <v>2241.6256278000001</v>
      </c>
      <c r="AC877" s="8">
        <f>Table3[[#This Row],[PrimaComercial Anual]]*Table3[[#This Row],[IT]]</f>
        <v>795.83399999999995</v>
      </c>
      <c r="AD877" s="8">
        <f>Table3[[#This Row],[PrimaComercial Anual]]*Table3[[#This Row],[IVA]]</f>
        <v>3448.614</v>
      </c>
      <c r="AE877" s="15">
        <f>Table3[[#This Row],[PrimaComercial Anual Asistencia]]</f>
        <v>26527.8</v>
      </c>
      <c r="AG877">
        <v>26527.8</v>
      </c>
    </row>
    <row r="878" spans="1:33" x14ac:dyDescent="0.25">
      <c r="A878" t="s">
        <v>18</v>
      </c>
      <c r="B878">
        <v>700001</v>
      </c>
      <c r="C878">
        <v>83</v>
      </c>
      <c r="D878" s="2">
        <f>Table3[[#This Row],[PrimaTécnica]]-Table3[[#This Row],[PrimaTécnica]]*SUM(Table3[[#This Row],[Gastos Adm]:[Cobranza]])</f>
        <v>12103.911101692798</v>
      </c>
      <c r="E878">
        <v>0</v>
      </c>
      <c r="F878">
        <v>0.15</v>
      </c>
      <c r="G878">
        <v>0.05</v>
      </c>
      <c r="H878">
        <v>0.01</v>
      </c>
      <c r="I878">
        <v>0.01</v>
      </c>
      <c r="J878" s="8">
        <f>Table3[[#This Row],[PrimaTécnica]]*Table3[[#This Row],[Gastos Adm]]</f>
        <v>2327.6752118639997</v>
      </c>
      <c r="K878" s="8">
        <f>Table3[[#This Row],[PrimaTécnica]]*Table3[[#This Row],[Utilidad]]</f>
        <v>775.89173728799994</v>
      </c>
      <c r="L878" s="8">
        <f>Table3[[#This Row],[PrimaTécnica]]*Table3[[#This Row],[Marketing]]</f>
        <v>155.17834745759998</v>
      </c>
      <c r="M878" s="8">
        <f>Table3[[#This Row],[PrimaTécnica]]*Table3[[#This Row],[Cobranza]]</f>
        <v>155.17834745759998</v>
      </c>
      <c r="N87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78">
        <v>21.84</v>
      </c>
      <c r="P878">
        <v>54.6</v>
      </c>
      <c r="Q878">
        <v>80.64</v>
      </c>
      <c r="R878">
        <v>44.377200000000002</v>
      </c>
      <c r="S878">
        <v>0.2</v>
      </c>
      <c r="T878">
        <v>0.02</v>
      </c>
      <c r="U878" s="8">
        <f>Table3[[#This Row],[PrimaNeta]]*Table3[[#This Row],[Comisión]]</f>
        <v>3929.82298644</v>
      </c>
      <c r="V878" s="15">
        <f>Table3[[#This Row],[PrimaComercial Anual]]-Table3[[#This Row],[PrimaComercial Anual]]*SUM(Table3[[#This Row],[APS]:[IVA]])</f>
        <v>19649.114932199998</v>
      </c>
      <c r="W878" s="2">
        <v>1.4800000000000001E-2</v>
      </c>
      <c r="X878" s="2">
        <v>8.4501000000000007E-2</v>
      </c>
      <c r="Y878">
        <v>0.03</v>
      </c>
      <c r="Z878">
        <v>0.13</v>
      </c>
      <c r="AA878" s="20">
        <f>Table3[[#This Row],[APS]]*Table3[[#This Row],[PrimaComercial Anual]]</f>
        <v>392.61144000000002</v>
      </c>
      <c r="AB878" s="8">
        <f>Table3[[#This Row],[PrimaComercial Anual]]*Table3[[#This Row],[Recargo adicional]]</f>
        <v>2241.6256278000001</v>
      </c>
      <c r="AC878" s="8">
        <f>Table3[[#This Row],[PrimaComercial Anual]]*Table3[[#This Row],[IT]]</f>
        <v>795.83399999999995</v>
      </c>
      <c r="AD878" s="8">
        <f>Table3[[#This Row],[PrimaComercial Anual]]*Table3[[#This Row],[IVA]]</f>
        <v>3448.614</v>
      </c>
      <c r="AE878" s="15">
        <f>Table3[[#This Row],[PrimaComercial Anual Asistencia]]</f>
        <v>26527.8</v>
      </c>
      <c r="AG878">
        <v>26527.8</v>
      </c>
    </row>
    <row r="879" spans="1:33" x14ac:dyDescent="0.25">
      <c r="A879" t="s">
        <v>18</v>
      </c>
      <c r="B879">
        <v>700001</v>
      </c>
      <c r="C879">
        <v>84</v>
      </c>
      <c r="D879" s="2">
        <f>Table3[[#This Row],[PrimaTécnica]]-Table3[[#This Row],[PrimaTécnica]]*SUM(Table3[[#This Row],[Gastos Adm]:[Cobranza]])</f>
        <v>12103.911101692798</v>
      </c>
      <c r="E879">
        <v>0</v>
      </c>
      <c r="F879">
        <v>0.15</v>
      </c>
      <c r="G879">
        <v>0.05</v>
      </c>
      <c r="H879">
        <v>0.01</v>
      </c>
      <c r="I879">
        <v>0.01</v>
      </c>
      <c r="J879" s="8">
        <f>Table3[[#This Row],[PrimaTécnica]]*Table3[[#This Row],[Gastos Adm]]</f>
        <v>2327.6752118639997</v>
      </c>
      <c r="K879" s="8">
        <f>Table3[[#This Row],[PrimaTécnica]]*Table3[[#This Row],[Utilidad]]</f>
        <v>775.89173728799994</v>
      </c>
      <c r="L879" s="8">
        <f>Table3[[#This Row],[PrimaTécnica]]*Table3[[#This Row],[Marketing]]</f>
        <v>155.17834745759998</v>
      </c>
      <c r="M879" s="8">
        <f>Table3[[#This Row],[PrimaTécnica]]*Table3[[#This Row],[Cobranza]]</f>
        <v>155.17834745759998</v>
      </c>
      <c r="N87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79">
        <v>21.84</v>
      </c>
      <c r="P879">
        <v>54.6</v>
      </c>
      <c r="Q879">
        <v>80.64</v>
      </c>
      <c r="R879">
        <v>44.377200000000002</v>
      </c>
      <c r="S879">
        <v>0.2</v>
      </c>
      <c r="T879">
        <v>0.02</v>
      </c>
      <c r="U879" s="8">
        <f>Table3[[#This Row],[PrimaNeta]]*Table3[[#This Row],[Comisión]]</f>
        <v>3929.82298644</v>
      </c>
      <c r="V879" s="15">
        <f>Table3[[#This Row],[PrimaComercial Anual]]-Table3[[#This Row],[PrimaComercial Anual]]*SUM(Table3[[#This Row],[APS]:[IVA]])</f>
        <v>19649.114932199998</v>
      </c>
      <c r="W879" s="2">
        <v>1.4800000000000001E-2</v>
      </c>
      <c r="X879" s="2">
        <v>8.4501000000000007E-2</v>
      </c>
      <c r="Y879">
        <v>0.03</v>
      </c>
      <c r="Z879">
        <v>0.13</v>
      </c>
      <c r="AA879" s="20">
        <f>Table3[[#This Row],[APS]]*Table3[[#This Row],[PrimaComercial Anual]]</f>
        <v>392.61144000000002</v>
      </c>
      <c r="AB879" s="8">
        <f>Table3[[#This Row],[PrimaComercial Anual]]*Table3[[#This Row],[Recargo adicional]]</f>
        <v>2241.6256278000001</v>
      </c>
      <c r="AC879" s="8">
        <f>Table3[[#This Row],[PrimaComercial Anual]]*Table3[[#This Row],[IT]]</f>
        <v>795.83399999999995</v>
      </c>
      <c r="AD879" s="8">
        <f>Table3[[#This Row],[PrimaComercial Anual]]*Table3[[#This Row],[IVA]]</f>
        <v>3448.614</v>
      </c>
      <c r="AE879" s="15">
        <f>Table3[[#This Row],[PrimaComercial Anual Asistencia]]</f>
        <v>26527.8</v>
      </c>
      <c r="AG879">
        <v>26527.8</v>
      </c>
    </row>
    <row r="880" spans="1:33" x14ac:dyDescent="0.25">
      <c r="A880" t="s">
        <v>18</v>
      </c>
      <c r="B880">
        <v>700001</v>
      </c>
      <c r="C880">
        <v>85</v>
      </c>
      <c r="D880" s="2">
        <f>Table3[[#This Row],[PrimaTécnica]]-Table3[[#This Row],[PrimaTécnica]]*SUM(Table3[[#This Row],[Gastos Adm]:[Cobranza]])</f>
        <v>12103.911101692798</v>
      </c>
      <c r="E880">
        <v>0</v>
      </c>
      <c r="F880">
        <v>0.15</v>
      </c>
      <c r="G880">
        <v>0.05</v>
      </c>
      <c r="H880">
        <v>0.01</v>
      </c>
      <c r="I880">
        <v>0.01</v>
      </c>
      <c r="J880" s="8">
        <f>Table3[[#This Row],[PrimaTécnica]]*Table3[[#This Row],[Gastos Adm]]</f>
        <v>2327.6752118639997</v>
      </c>
      <c r="K880" s="8">
        <f>Table3[[#This Row],[PrimaTécnica]]*Table3[[#This Row],[Utilidad]]</f>
        <v>775.89173728799994</v>
      </c>
      <c r="L880" s="8">
        <f>Table3[[#This Row],[PrimaTécnica]]*Table3[[#This Row],[Marketing]]</f>
        <v>155.17834745759998</v>
      </c>
      <c r="M880" s="8">
        <f>Table3[[#This Row],[PrimaTécnica]]*Table3[[#This Row],[Cobranza]]</f>
        <v>155.17834745759998</v>
      </c>
      <c r="N88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80">
        <v>21.84</v>
      </c>
      <c r="P880">
        <v>54.6</v>
      </c>
      <c r="Q880">
        <v>80.64</v>
      </c>
      <c r="R880">
        <v>44.377200000000002</v>
      </c>
      <c r="S880">
        <v>0.2</v>
      </c>
      <c r="T880">
        <v>0.02</v>
      </c>
      <c r="U880" s="8">
        <f>Table3[[#This Row],[PrimaNeta]]*Table3[[#This Row],[Comisión]]</f>
        <v>3929.82298644</v>
      </c>
      <c r="V880" s="15">
        <f>Table3[[#This Row],[PrimaComercial Anual]]-Table3[[#This Row],[PrimaComercial Anual]]*SUM(Table3[[#This Row],[APS]:[IVA]])</f>
        <v>19649.114932199998</v>
      </c>
      <c r="W880" s="2">
        <v>1.4800000000000001E-2</v>
      </c>
      <c r="X880" s="2">
        <v>8.4501000000000007E-2</v>
      </c>
      <c r="Y880">
        <v>0.03</v>
      </c>
      <c r="Z880">
        <v>0.13</v>
      </c>
      <c r="AA880" s="20">
        <f>Table3[[#This Row],[APS]]*Table3[[#This Row],[PrimaComercial Anual]]</f>
        <v>392.61144000000002</v>
      </c>
      <c r="AB880" s="8">
        <f>Table3[[#This Row],[PrimaComercial Anual]]*Table3[[#This Row],[Recargo adicional]]</f>
        <v>2241.6256278000001</v>
      </c>
      <c r="AC880" s="8">
        <f>Table3[[#This Row],[PrimaComercial Anual]]*Table3[[#This Row],[IT]]</f>
        <v>795.83399999999995</v>
      </c>
      <c r="AD880" s="8">
        <f>Table3[[#This Row],[PrimaComercial Anual]]*Table3[[#This Row],[IVA]]</f>
        <v>3448.614</v>
      </c>
      <c r="AE880" s="15">
        <f>Table3[[#This Row],[PrimaComercial Anual Asistencia]]</f>
        <v>26527.8</v>
      </c>
      <c r="AG880">
        <v>26527.8</v>
      </c>
    </row>
    <row r="881" spans="1:33" x14ac:dyDescent="0.25">
      <c r="A881" t="s">
        <v>18</v>
      </c>
      <c r="B881">
        <v>700001</v>
      </c>
      <c r="C881">
        <v>86</v>
      </c>
      <c r="D881" s="2">
        <f>Table3[[#This Row],[PrimaTécnica]]-Table3[[#This Row],[PrimaTécnica]]*SUM(Table3[[#This Row],[Gastos Adm]:[Cobranza]])</f>
        <v>12103.911101692798</v>
      </c>
      <c r="E881">
        <v>0</v>
      </c>
      <c r="F881">
        <v>0.15</v>
      </c>
      <c r="G881">
        <v>0.05</v>
      </c>
      <c r="H881">
        <v>0.01</v>
      </c>
      <c r="I881">
        <v>0.01</v>
      </c>
      <c r="J881" s="8">
        <f>Table3[[#This Row],[PrimaTécnica]]*Table3[[#This Row],[Gastos Adm]]</f>
        <v>2327.6752118639997</v>
      </c>
      <c r="K881" s="8">
        <f>Table3[[#This Row],[PrimaTécnica]]*Table3[[#This Row],[Utilidad]]</f>
        <v>775.89173728799994</v>
      </c>
      <c r="L881" s="8">
        <f>Table3[[#This Row],[PrimaTécnica]]*Table3[[#This Row],[Marketing]]</f>
        <v>155.17834745759998</v>
      </c>
      <c r="M881" s="8">
        <f>Table3[[#This Row],[PrimaTécnica]]*Table3[[#This Row],[Cobranza]]</f>
        <v>155.17834745759998</v>
      </c>
      <c r="N88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81">
        <v>21.84</v>
      </c>
      <c r="P881">
        <v>54.6</v>
      </c>
      <c r="Q881">
        <v>80.64</v>
      </c>
      <c r="R881">
        <v>44.377200000000002</v>
      </c>
      <c r="S881">
        <v>0.2</v>
      </c>
      <c r="T881">
        <v>0.02</v>
      </c>
      <c r="U881" s="8">
        <f>Table3[[#This Row],[PrimaNeta]]*Table3[[#This Row],[Comisión]]</f>
        <v>3929.82298644</v>
      </c>
      <c r="V881" s="15">
        <f>Table3[[#This Row],[PrimaComercial Anual]]-Table3[[#This Row],[PrimaComercial Anual]]*SUM(Table3[[#This Row],[APS]:[IVA]])</f>
        <v>19649.114932199998</v>
      </c>
      <c r="W881" s="2">
        <v>1.4800000000000001E-2</v>
      </c>
      <c r="X881" s="2">
        <v>8.4501000000000007E-2</v>
      </c>
      <c r="Y881">
        <v>0.03</v>
      </c>
      <c r="Z881">
        <v>0.13</v>
      </c>
      <c r="AA881" s="20">
        <f>Table3[[#This Row],[APS]]*Table3[[#This Row],[PrimaComercial Anual]]</f>
        <v>392.61144000000002</v>
      </c>
      <c r="AB881" s="8">
        <f>Table3[[#This Row],[PrimaComercial Anual]]*Table3[[#This Row],[Recargo adicional]]</f>
        <v>2241.6256278000001</v>
      </c>
      <c r="AC881" s="8">
        <f>Table3[[#This Row],[PrimaComercial Anual]]*Table3[[#This Row],[IT]]</f>
        <v>795.83399999999995</v>
      </c>
      <c r="AD881" s="8">
        <f>Table3[[#This Row],[PrimaComercial Anual]]*Table3[[#This Row],[IVA]]</f>
        <v>3448.614</v>
      </c>
      <c r="AE881" s="15">
        <f>Table3[[#This Row],[PrimaComercial Anual Asistencia]]</f>
        <v>26527.8</v>
      </c>
      <c r="AG881">
        <v>26527.8</v>
      </c>
    </row>
    <row r="882" spans="1:33" x14ac:dyDescent="0.25">
      <c r="A882" t="s">
        <v>18</v>
      </c>
      <c r="B882">
        <v>700001</v>
      </c>
      <c r="C882">
        <v>87</v>
      </c>
      <c r="D882" s="2">
        <f>Table3[[#This Row],[PrimaTécnica]]-Table3[[#This Row],[PrimaTécnica]]*SUM(Table3[[#This Row],[Gastos Adm]:[Cobranza]])</f>
        <v>12103.911101692798</v>
      </c>
      <c r="E882">
        <v>0</v>
      </c>
      <c r="F882">
        <v>0.15</v>
      </c>
      <c r="G882">
        <v>0.05</v>
      </c>
      <c r="H882">
        <v>0.01</v>
      </c>
      <c r="I882">
        <v>0.01</v>
      </c>
      <c r="J882" s="8">
        <f>Table3[[#This Row],[PrimaTécnica]]*Table3[[#This Row],[Gastos Adm]]</f>
        <v>2327.6752118639997</v>
      </c>
      <c r="K882" s="8">
        <f>Table3[[#This Row],[PrimaTécnica]]*Table3[[#This Row],[Utilidad]]</f>
        <v>775.89173728799994</v>
      </c>
      <c r="L882" s="8">
        <f>Table3[[#This Row],[PrimaTécnica]]*Table3[[#This Row],[Marketing]]</f>
        <v>155.17834745759998</v>
      </c>
      <c r="M882" s="8">
        <f>Table3[[#This Row],[PrimaTécnica]]*Table3[[#This Row],[Cobranza]]</f>
        <v>155.17834745759998</v>
      </c>
      <c r="N88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82">
        <v>21.84</v>
      </c>
      <c r="P882">
        <v>54.6</v>
      </c>
      <c r="Q882">
        <v>80.64</v>
      </c>
      <c r="R882">
        <v>44.377200000000002</v>
      </c>
      <c r="S882">
        <v>0.2</v>
      </c>
      <c r="T882">
        <v>0.02</v>
      </c>
      <c r="U882" s="8">
        <f>Table3[[#This Row],[PrimaNeta]]*Table3[[#This Row],[Comisión]]</f>
        <v>3929.82298644</v>
      </c>
      <c r="V882" s="15">
        <f>Table3[[#This Row],[PrimaComercial Anual]]-Table3[[#This Row],[PrimaComercial Anual]]*SUM(Table3[[#This Row],[APS]:[IVA]])</f>
        <v>19649.114932199998</v>
      </c>
      <c r="W882" s="2">
        <v>1.4800000000000001E-2</v>
      </c>
      <c r="X882" s="2">
        <v>8.4501000000000007E-2</v>
      </c>
      <c r="Y882">
        <v>0.03</v>
      </c>
      <c r="Z882">
        <v>0.13</v>
      </c>
      <c r="AA882" s="20">
        <f>Table3[[#This Row],[APS]]*Table3[[#This Row],[PrimaComercial Anual]]</f>
        <v>392.61144000000002</v>
      </c>
      <c r="AB882" s="8">
        <f>Table3[[#This Row],[PrimaComercial Anual]]*Table3[[#This Row],[Recargo adicional]]</f>
        <v>2241.6256278000001</v>
      </c>
      <c r="AC882" s="8">
        <f>Table3[[#This Row],[PrimaComercial Anual]]*Table3[[#This Row],[IT]]</f>
        <v>795.83399999999995</v>
      </c>
      <c r="AD882" s="8">
        <f>Table3[[#This Row],[PrimaComercial Anual]]*Table3[[#This Row],[IVA]]</f>
        <v>3448.614</v>
      </c>
      <c r="AE882" s="15">
        <f>Table3[[#This Row],[PrimaComercial Anual Asistencia]]</f>
        <v>26527.8</v>
      </c>
      <c r="AG882">
        <v>26527.8</v>
      </c>
    </row>
    <row r="883" spans="1:33" x14ac:dyDescent="0.25">
      <c r="A883" t="s">
        <v>18</v>
      </c>
      <c r="B883">
        <v>700001</v>
      </c>
      <c r="C883">
        <v>88</v>
      </c>
      <c r="D883" s="2">
        <f>Table3[[#This Row],[PrimaTécnica]]-Table3[[#This Row],[PrimaTécnica]]*SUM(Table3[[#This Row],[Gastos Adm]:[Cobranza]])</f>
        <v>12103.911101692798</v>
      </c>
      <c r="E883">
        <v>0</v>
      </c>
      <c r="F883">
        <v>0.15</v>
      </c>
      <c r="G883">
        <v>0.05</v>
      </c>
      <c r="H883">
        <v>0.01</v>
      </c>
      <c r="I883">
        <v>0.01</v>
      </c>
      <c r="J883" s="8">
        <f>Table3[[#This Row],[PrimaTécnica]]*Table3[[#This Row],[Gastos Adm]]</f>
        <v>2327.6752118639997</v>
      </c>
      <c r="K883" s="8">
        <f>Table3[[#This Row],[PrimaTécnica]]*Table3[[#This Row],[Utilidad]]</f>
        <v>775.89173728799994</v>
      </c>
      <c r="L883" s="8">
        <f>Table3[[#This Row],[PrimaTécnica]]*Table3[[#This Row],[Marketing]]</f>
        <v>155.17834745759998</v>
      </c>
      <c r="M883" s="8">
        <f>Table3[[#This Row],[PrimaTécnica]]*Table3[[#This Row],[Cobranza]]</f>
        <v>155.17834745759998</v>
      </c>
      <c r="N88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83">
        <v>21.84</v>
      </c>
      <c r="P883">
        <v>54.6</v>
      </c>
      <c r="Q883">
        <v>80.64</v>
      </c>
      <c r="R883">
        <v>44.377200000000002</v>
      </c>
      <c r="S883">
        <v>0.2</v>
      </c>
      <c r="T883">
        <v>0.02</v>
      </c>
      <c r="U883" s="8">
        <f>Table3[[#This Row],[PrimaNeta]]*Table3[[#This Row],[Comisión]]</f>
        <v>3929.82298644</v>
      </c>
      <c r="V883" s="15">
        <f>Table3[[#This Row],[PrimaComercial Anual]]-Table3[[#This Row],[PrimaComercial Anual]]*SUM(Table3[[#This Row],[APS]:[IVA]])</f>
        <v>19649.114932199998</v>
      </c>
      <c r="W883" s="2">
        <v>1.4800000000000001E-2</v>
      </c>
      <c r="X883" s="2">
        <v>8.4501000000000007E-2</v>
      </c>
      <c r="Y883">
        <v>0.03</v>
      </c>
      <c r="Z883">
        <v>0.13</v>
      </c>
      <c r="AA883" s="20">
        <f>Table3[[#This Row],[APS]]*Table3[[#This Row],[PrimaComercial Anual]]</f>
        <v>392.61144000000002</v>
      </c>
      <c r="AB883" s="8">
        <f>Table3[[#This Row],[PrimaComercial Anual]]*Table3[[#This Row],[Recargo adicional]]</f>
        <v>2241.6256278000001</v>
      </c>
      <c r="AC883" s="8">
        <f>Table3[[#This Row],[PrimaComercial Anual]]*Table3[[#This Row],[IT]]</f>
        <v>795.83399999999995</v>
      </c>
      <c r="AD883" s="8">
        <f>Table3[[#This Row],[PrimaComercial Anual]]*Table3[[#This Row],[IVA]]</f>
        <v>3448.614</v>
      </c>
      <c r="AE883" s="15">
        <f>Table3[[#This Row],[PrimaComercial Anual Asistencia]]</f>
        <v>26527.8</v>
      </c>
      <c r="AG883">
        <v>26527.8</v>
      </c>
    </row>
    <row r="884" spans="1:33" x14ac:dyDescent="0.25">
      <c r="A884" t="s">
        <v>18</v>
      </c>
      <c r="B884">
        <v>700001</v>
      </c>
      <c r="C884">
        <v>89</v>
      </c>
      <c r="D884" s="2">
        <f>Table3[[#This Row],[PrimaTécnica]]-Table3[[#This Row],[PrimaTécnica]]*SUM(Table3[[#This Row],[Gastos Adm]:[Cobranza]])</f>
        <v>12103.911101692798</v>
      </c>
      <c r="E884">
        <v>0</v>
      </c>
      <c r="F884">
        <v>0.15</v>
      </c>
      <c r="G884">
        <v>0.05</v>
      </c>
      <c r="H884">
        <v>0.01</v>
      </c>
      <c r="I884">
        <v>0.01</v>
      </c>
      <c r="J884" s="8">
        <f>Table3[[#This Row],[PrimaTécnica]]*Table3[[#This Row],[Gastos Adm]]</f>
        <v>2327.6752118639997</v>
      </c>
      <c r="K884" s="8">
        <f>Table3[[#This Row],[PrimaTécnica]]*Table3[[#This Row],[Utilidad]]</f>
        <v>775.89173728799994</v>
      </c>
      <c r="L884" s="8">
        <f>Table3[[#This Row],[PrimaTécnica]]*Table3[[#This Row],[Marketing]]</f>
        <v>155.17834745759998</v>
      </c>
      <c r="M884" s="8">
        <f>Table3[[#This Row],[PrimaTécnica]]*Table3[[#This Row],[Cobranza]]</f>
        <v>155.17834745759998</v>
      </c>
      <c r="N88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84">
        <v>21.84</v>
      </c>
      <c r="P884">
        <v>54.6</v>
      </c>
      <c r="Q884">
        <v>80.64</v>
      </c>
      <c r="R884">
        <v>44.377200000000002</v>
      </c>
      <c r="S884">
        <v>0.2</v>
      </c>
      <c r="T884">
        <v>0.02</v>
      </c>
      <c r="U884" s="8">
        <f>Table3[[#This Row],[PrimaNeta]]*Table3[[#This Row],[Comisión]]</f>
        <v>3929.82298644</v>
      </c>
      <c r="V884" s="15">
        <f>Table3[[#This Row],[PrimaComercial Anual]]-Table3[[#This Row],[PrimaComercial Anual]]*SUM(Table3[[#This Row],[APS]:[IVA]])</f>
        <v>19649.114932199998</v>
      </c>
      <c r="W884" s="2">
        <v>1.4800000000000001E-2</v>
      </c>
      <c r="X884" s="2">
        <v>8.4501000000000007E-2</v>
      </c>
      <c r="Y884">
        <v>0.03</v>
      </c>
      <c r="Z884">
        <v>0.13</v>
      </c>
      <c r="AA884" s="20">
        <f>Table3[[#This Row],[APS]]*Table3[[#This Row],[PrimaComercial Anual]]</f>
        <v>392.61144000000002</v>
      </c>
      <c r="AB884" s="8">
        <f>Table3[[#This Row],[PrimaComercial Anual]]*Table3[[#This Row],[Recargo adicional]]</f>
        <v>2241.6256278000001</v>
      </c>
      <c r="AC884" s="8">
        <f>Table3[[#This Row],[PrimaComercial Anual]]*Table3[[#This Row],[IT]]</f>
        <v>795.83399999999995</v>
      </c>
      <c r="AD884" s="8">
        <f>Table3[[#This Row],[PrimaComercial Anual]]*Table3[[#This Row],[IVA]]</f>
        <v>3448.614</v>
      </c>
      <c r="AE884" s="15">
        <f>Table3[[#This Row],[PrimaComercial Anual Asistencia]]</f>
        <v>26527.8</v>
      </c>
      <c r="AG884">
        <v>26527.8</v>
      </c>
    </row>
    <row r="885" spans="1:33" x14ac:dyDescent="0.25">
      <c r="A885" t="s">
        <v>18</v>
      </c>
      <c r="B885">
        <v>700001</v>
      </c>
      <c r="C885">
        <v>90</v>
      </c>
      <c r="D885" s="2">
        <f>Table3[[#This Row],[PrimaTécnica]]-Table3[[#This Row],[PrimaTécnica]]*SUM(Table3[[#This Row],[Gastos Adm]:[Cobranza]])</f>
        <v>12103.911101692798</v>
      </c>
      <c r="E885">
        <v>0</v>
      </c>
      <c r="F885">
        <v>0.15</v>
      </c>
      <c r="G885">
        <v>0.05</v>
      </c>
      <c r="H885">
        <v>0.01</v>
      </c>
      <c r="I885">
        <v>0.01</v>
      </c>
      <c r="J885" s="8">
        <f>Table3[[#This Row],[PrimaTécnica]]*Table3[[#This Row],[Gastos Adm]]</f>
        <v>2327.6752118639997</v>
      </c>
      <c r="K885" s="8">
        <f>Table3[[#This Row],[PrimaTécnica]]*Table3[[#This Row],[Utilidad]]</f>
        <v>775.89173728799994</v>
      </c>
      <c r="L885" s="8">
        <f>Table3[[#This Row],[PrimaTécnica]]*Table3[[#This Row],[Marketing]]</f>
        <v>155.17834745759998</v>
      </c>
      <c r="M885" s="8">
        <f>Table3[[#This Row],[PrimaTécnica]]*Table3[[#This Row],[Cobranza]]</f>
        <v>155.17834745759998</v>
      </c>
      <c r="N88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85">
        <v>21.84</v>
      </c>
      <c r="P885">
        <v>54.6</v>
      </c>
      <c r="Q885">
        <v>80.64</v>
      </c>
      <c r="R885">
        <v>44.377200000000002</v>
      </c>
      <c r="S885">
        <v>0.2</v>
      </c>
      <c r="T885">
        <v>0.02</v>
      </c>
      <c r="U885" s="8">
        <f>Table3[[#This Row],[PrimaNeta]]*Table3[[#This Row],[Comisión]]</f>
        <v>3929.82298644</v>
      </c>
      <c r="V885" s="15">
        <f>Table3[[#This Row],[PrimaComercial Anual]]-Table3[[#This Row],[PrimaComercial Anual]]*SUM(Table3[[#This Row],[APS]:[IVA]])</f>
        <v>19649.114932199998</v>
      </c>
      <c r="W885" s="2">
        <v>1.4800000000000001E-2</v>
      </c>
      <c r="X885" s="2">
        <v>8.4501000000000007E-2</v>
      </c>
      <c r="Y885">
        <v>0.03</v>
      </c>
      <c r="Z885">
        <v>0.13</v>
      </c>
      <c r="AA885" s="20">
        <f>Table3[[#This Row],[APS]]*Table3[[#This Row],[PrimaComercial Anual]]</f>
        <v>392.61144000000002</v>
      </c>
      <c r="AB885" s="8">
        <f>Table3[[#This Row],[PrimaComercial Anual]]*Table3[[#This Row],[Recargo adicional]]</f>
        <v>2241.6256278000001</v>
      </c>
      <c r="AC885" s="8">
        <f>Table3[[#This Row],[PrimaComercial Anual]]*Table3[[#This Row],[IT]]</f>
        <v>795.83399999999995</v>
      </c>
      <c r="AD885" s="8">
        <f>Table3[[#This Row],[PrimaComercial Anual]]*Table3[[#This Row],[IVA]]</f>
        <v>3448.614</v>
      </c>
      <c r="AE885" s="15">
        <f>Table3[[#This Row],[PrimaComercial Anual Asistencia]]</f>
        <v>26527.8</v>
      </c>
      <c r="AG885">
        <v>26527.8</v>
      </c>
    </row>
    <row r="886" spans="1:33" x14ac:dyDescent="0.25">
      <c r="A886" t="s">
        <v>18</v>
      </c>
      <c r="B886">
        <v>700001</v>
      </c>
      <c r="C886">
        <v>91</v>
      </c>
      <c r="D886" s="2">
        <f>Table3[[#This Row],[PrimaTécnica]]-Table3[[#This Row],[PrimaTécnica]]*SUM(Table3[[#This Row],[Gastos Adm]:[Cobranza]])</f>
        <v>12103.911101692798</v>
      </c>
      <c r="E886">
        <v>0</v>
      </c>
      <c r="F886">
        <v>0.15</v>
      </c>
      <c r="G886">
        <v>0.05</v>
      </c>
      <c r="H886">
        <v>0.01</v>
      </c>
      <c r="I886">
        <v>0.01</v>
      </c>
      <c r="J886" s="8">
        <f>Table3[[#This Row],[PrimaTécnica]]*Table3[[#This Row],[Gastos Adm]]</f>
        <v>2327.6752118639997</v>
      </c>
      <c r="K886" s="8">
        <f>Table3[[#This Row],[PrimaTécnica]]*Table3[[#This Row],[Utilidad]]</f>
        <v>775.89173728799994</v>
      </c>
      <c r="L886" s="8">
        <f>Table3[[#This Row],[PrimaTécnica]]*Table3[[#This Row],[Marketing]]</f>
        <v>155.17834745759998</v>
      </c>
      <c r="M886" s="8">
        <f>Table3[[#This Row],[PrimaTécnica]]*Table3[[#This Row],[Cobranza]]</f>
        <v>155.17834745759998</v>
      </c>
      <c r="N88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86">
        <v>21.84</v>
      </c>
      <c r="P886">
        <v>54.6</v>
      </c>
      <c r="Q886">
        <v>80.64</v>
      </c>
      <c r="R886">
        <v>44.377200000000002</v>
      </c>
      <c r="S886">
        <v>0.2</v>
      </c>
      <c r="T886">
        <v>0.02</v>
      </c>
      <c r="U886" s="8">
        <f>Table3[[#This Row],[PrimaNeta]]*Table3[[#This Row],[Comisión]]</f>
        <v>3929.82298644</v>
      </c>
      <c r="V886" s="15">
        <f>Table3[[#This Row],[PrimaComercial Anual]]-Table3[[#This Row],[PrimaComercial Anual]]*SUM(Table3[[#This Row],[APS]:[IVA]])</f>
        <v>19649.114932199998</v>
      </c>
      <c r="W886" s="2">
        <v>1.4800000000000001E-2</v>
      </c>
      <c r="X886" s="2">
        <v>8.4501000000000007E-2</v>
      </c>
      <c r="Y886">
        <v>0.03</v>
      </c>
      <c r="Z886">
        <v>0.13</v>
      </c>
      <c r="AA886" s="20">
        <f>Table3[[#This Row],[APS]]*Table3[[#This Row],[PrimaComercial Anual]]</f>
        <v>392.61144000000002</v>
      </c>
      <c r="AB886" s="8">
        <f>Table3[[#This Row],[PrimaComercial Anual]]*Table3[[#This Row],[Recargo adicional]]</f>
        <v>2241.6256278000001</v>
      </c>
      <c r="AC886" s="8">
        <f>Table3[[#This Row],[PrimaComercial Anual]]*Table3[[#This Row],[IT]]</f>
        <v>795.83399999999995</v>
      </c>
      <c r="AD886" s="8">
        <f>Table3[[#This Row],[PrimaComercial Anual]]*Table3[[#This Row],[IVA]]</f>
        <v>3448.614</v>
      </c>
      <c r="AE886" s="15">
        <f>Table3[[#This Row],[PrimaComercial Anual Asistencia]]</f>
        <v>26527.8</v>
      </c>
      <c r="AG886">
        <v>26527.8</v>
      </c>
    </row>
    <row r="887" spans="1:33" x14ac:dyDescent="0.25">
      <c r="A887" t="s">
        <v>18</v>
      </c>
      <c r="B887">
        <v>700001</v>
      </c>
      <c r="C887">
        <v>92</v>
      </c>
      <c r="D887" s="2">
        <f>Table3[[#This Row],[PrimaTécnica]]-Table3[[#This Row],[PrimaTécnica]]*SUM(Table3[[#This Row],[Gastos Adm]:[Cobranza]])</f>
        <v>12103.911101692798</v>
      </c>
      <c r="E887">
        <v>0</v>
      </c>
      <c r="F887">
        <v>0.15</v>
      </c>
      <c r="G887">
        <v>0.05</v>
      </c>
      <c r="H887">
        <v>0.01</v>
      </c>
      <c r="I887">
        <v>0.01</v>
      </c>
      <c r="J887" s="8">
        <f>Table3[[#This Row],[PrimaTécnica]]*Table3[[#This Row],[Gastos Adm]]</f>
        <v>2327.6752118639997</v>
      </c>
      <c r="K887" s="8">
        <f>Table3[[#This Row],[PrimaTécnica]]*Table3[[#This Row],[Utilidad]]</f>
        <v>775.89173728799994</v>
      </c>
      <c r="L887" s="8">
        <f>Table3[[#This Row],[PrimaTécnica]]*Table3[[#This Row],[Marketing]]</f>
        <v>155.17834745759998</v>
      </c>
      <c r="M887" s="8">
        <f>Table3[[#This Row],[PrimaTécnica]]*Table3[[#This Row],[Cobranza]]</f>
        <v>155.17834745759998</v>
      </c>
      <c r="N88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87">
        <v>21.84</v>
      </c>
      <c r="P887">
        <v>54.6</v>
      </c>
      <c r="Q887">
        <v>80.64</v>
      </c>
      <c r="R887">
        <v>44.377200000000002</v>
      </c>
      <c r="S887">
        <v>0.2</v>
      </c>
      <c r="T887">
        <v>0.02</v>
      </c>
      <c r="U887" s="8">
        <f>Table3[[#This Row],[PrimaNeta]]*Table3[[#This Row],[Comisión]]</f>
        <v>3929.82298644</v>
      </c>
      <c r="V887" s="15">
        <f>Table3[[#This Row],[PrimaComercial Anual]]-Table3[[#This Row],[PrimaComercial Anual]]*SUM(Table3[[#This Row],[APS]:[IVA]])</f>
        <v>19649.114932199998</v>
      </c>
      <c r="W887" s="2">
        <v>1.4800000000000001E-2</v>
      </c>
      <c r="X887" s="2">
        <v>8.4501000000000007E-2</v>
      </c>
      <c r="Y887">
        <v>0.03</v>
      </c>
      <c r="Z887">
        <v>0.13</v>
      </c>
      <c r="AA887" s="20">
        <f>Table3[[#This Row],[APS]]*Table3[[#This Row],[PrimaComercial Anual]]</f>
        <v>392.61144000000002</v>
      </c>
      <c r="AB887" s="8">
        <f>Table3[[#This Row],[PrimaComercial Anual]]*Table3[[#This Row],[Recargo adicional]]</f>
        <v>2241.6256278000001</v>
      </c>
      <c r="AC887" s="8">
        <f>Table3[[#This Row],[PrimaComercial Anual]]*Table3[[#This Row],[IT]]</f>
        <v>795.83399999999995</v>
      </c>
      <c r="AD887" s="8">
        <f>Table3[[#This Row],[PrimaComercial Anual]]*Table3[[#This Row],[IVA]]</f>
        <v>3448.614</v>
      </c>
      <c r="AE887" s="15">
        <f>Table3[[#This Row],[PrimaComercial Anual Asistencia]]</f>
        <v>26527.8</v>
      </c>
      <c r="AG887">
        <v>26527.8</v>
      </c>
    </row>
    <row r="888" spans="1:33" x14ac:dyDescent="0.25">
      <c r="A888" t="s">
        <v>18</v>
      </c>
      <c r="B888">
        <v>700001</v>
      </c>
      <c r="C888">
        <v>93</v>
      </c>
      <c r="D888" s="2">
        <f>Table3[[#This Row],[PrimaTécnica]]-Table3[[#This Row],[PrimaTécnica]]*SUM(Table3[[#This Row],[Gastos Adm]:[Cobranza]])</f>
        <v>12103.911101692798</v>
      </c>
      <c r="E888">
        <v>0</v>
      </c>
      <c r="F888">
        <v>0.15</v>
      </c>
      <c r="G888">
        <v>0.05</v>
      </c>
      <c r="H888">
        <v>0.01</v>
      </c>
      <c r="I888">
        <v>0.01</v>
      </c>
      <c r="J888" s="8">
        <f>Table3[[#This Row],[PrimaTécnica]]*Table3[[#This Row],[Gastos Adm]]</f>
        <v>2327.6752118639997</v>
      </c>
      <c r="K888" s="8">
        <f>Table3[[#This Row],[PrimaTécnica]]*Table3[[#This Row],[Utilidad]]</f>
        <v>775.89173728799994</v>
      </c>
      <c r="L888" s="8">
        <f>Table3[[#This Row],[PrimaTécnica]]*Table3[[#This Row],[Marketing]]</f>
        <v>155.17834745759998</v>
      </c>
      <c r="M888" s="8">
        <f>Table3[[#This Row],[PrimaTécnica]]*Table3[[#This Row],[Cobranza]]</f>
        <v>155.17834745759998</v>
      </c>
      <c r="N88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88">
        <v>21.84</v>
      </c>
      <c r="P888">
        <v>54.6</v>
      </c>
      <c r="Q888">
        <v>80.64</v>
      </c>
      <c r="R888">
        <v>44.377200000000002</v>
      </c>
      <c r="S888">
        <v>0.2</v>
      </c>
      <c r="T888">
        <v>0.02</v>
      </c>
      <c r="U888" s="8">
        <f>Table3[[#This Row],[PrimaNeta]]*Table3[[#This Row],[Comisión]]</f>
        <v>3929.82298644</v>
      </c>
      <c r="V888" s="15">
        <f>Table3[[#This Row],[PrimaComercial Anual]]-Table3[[#This Row],[PrimaComercial Anual]]*SUM(Table3[[#This Row],[APS]:[IVA]])</f>
        <v>19649.114932199998</v>
      </c>
      <c r="W888" s="2">
        <v>1.4800000000000001E-2</v>
      </c>
      <c r="X888" s="2">
        <v>8.4501000000000007E-2</v>
      </c>
      <c r="Y888">
        <v>0.03</v>
      </c>
      <c r="Z888">
        <v>0.13</v>
      </c>
      <c r="AA888" s="20">
        <f>Table3[[#This Row],[APS]]*Table3[[#This Row],[PrimaComercial Anual]]</f>
        <v>392.61144000000002</v>
      </c>
      <c r="AB888" s="8">
        <f>Table3[[#This Row],[PrimaComercial Anual]]*Table3[[#This Row],[Recargo adicional]]</f>
        <v>2241.6256278000001</v>
      </c>
      <c r="AC888" s="8">
        <f>Table3[[#This Row],[PrimaComercial Anual]]*Table3[[#This Row],[IT]]</f>
        <v>795.83399999999995</v>
      </c>
      <c r="AD888" s="8">
        <f>Table3[[#This Row],[PrimaComercial Anual]]*Table3[[#This Row],[IVA]]</f>
        <v>3448.614</v>
      </c>
      <c r="AE888" s="15">
        <f>Table3[[#This Row],[PrimaComercial Anual Asistencia]]</f>
        <v>26527.8</v>
      </c>
      <c r="AG888">
        <v>26527.8</v>
      </c>
    </row>
    <row r="889" spans="1:33" x14ac:dyDescent="0.25">
      <c r="A889" t="s">
        <v>18</v>
      </c>
      <c r="B889">
        <v>700001</v>
      </c>
      <c r="C889">
        <v>94</v>
      </c>
      <c r="D889" s="2">
        <f>Table3[[#This Row],[PrimaTécnica]]-Table3[[#This Row],[PrimaTécnica]]*SUM(Table3[[#This Row],[Gastos Adm]:[Cobranza]])</f>
        <v>12103.911101692798</v>
      </c>
      <c r="E889">
        <v>0</v>
      </c>
      <c r="F889">
        <v>0.15</v>
      </c>
      <c r="G889">
        <v>0.05</v>
      </c>
      <c r="H889">
        <v>0.01</v>
      </c>
      <c r="I889">
        <v>0.01</v>
      </c>
      <c r="J889" s="8">
        <f>Table3[[#This Row],[PrimaTécnica]]*Table3[[#This Row],[Gastos Adm]]</f>
        <v>2327.6752118639997</v>
      </c>
      <c r="K889" s="8">
        <f>Table3[[#This Row],[PrimaTécnica]]*Table3[[#This Row],[Utilidad]]</f>
        <v>775.89173728799994</v>
      </c>
      <c r="L889" s="8">
        <f>Table3[[#This Row],[PrimaTécnica]]*Table3[[#This Row],[Marketing]]</f>
        <v>155.17834745759998</v>
      </c>
      <c r="M889" s="8">
        <f>Table3[[#This Row],[PrimaTécnica]]*Table3[[#This Row],[Cobranza]]</f>
        <v>155.17834745759998</v>
      </c>
      <c r="N88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89">
        <v>21.84</v>
      </c>
      <c r="P889">
        <v>54.6</v>
      </c>
      <c r="Q889">
        <v>80.64</v>
      </c>
      <c r="R889">
        <v>44.377200000000002</v>
      </c>
      <c r="S889">
        <v>0.2</v>
      </c>
      <c r="T889">
        <v>0.02</v>
      </c>
      <c r="U889" s="8">
        <f>Table3[[#This Row],[PrimaNeta]]*Table3[[#This Row],[Comisión]]</f>
        <v>3929.82298644</v>
      </c>
      <c r="V889" s="15">
        <f>Table3[[#This Row],[PrimaComercial Anual]]-Table3[[#This Row],[PrimaComercial Anual]]*SUM(Table3[[#This Row],[APS]:[IVA]])</f>
        <v>19649.114932199998</v>
      </c>
      <c r="W889" s="2">
        <v>1.4800000000000001E-2</v>
      </c>
      <c r="X889" s="2">
        <v>8.4501000000000007E-2</v>
      </c>
      <c r="Y889">
        <v>0.03</v>
      </c>
      <c r="Z889">
        <v>0.13</v>
      </c>
      <c r="AA889" s="20">
        <f>Table3[[#This Row],[APS]]*Table3[[#This Row],[PrimaComercial Anual]]</f>
        <v>392.61144000000002</v>
      </c>
      <c r="AB889" s="8">
        <f>Table3[[#This Row],[PrimaComercial Anual]]*Table3[[#This Row],[Recargo adicional]]</f>
        <v>2241.6256278000001</v>
      </c>
      <c r="AC889" s="8">
        <f>Table3[[#This Row],[PrimaComercial Anual]]*Table3[[#This Row],[IT]]</f>
        <v>795.83399999999995</v>
      </c>
      <c r="AD889" s="8">
        <f>Table3[[#This Row],[PrimaComercial Anual]]*Table3[[#This Row],[IVA]]</f>
        <v>3448.614</v>
      </c>
      <c r="AE889" s="15">
        <f>Table3[[#This Row],[PrimaComercial Anual Asistencia]]</f>
        <v>26527.8</v>
      </c>
      <c r="AG889">
        <v>26527.8</v>
      </c>
    </row>
    <row r="890" spans="1:33" x14ac:dyDescent="0.25">
      <c r="A890" t="s">
        <v>18</v>
      </c>
      <c r="B890">
        <v>700001</v>
      </c>
      <c r="C890">
        <v>95</v>
      </c>
      <c r="D890" s="2">
        <f>Table3[[#This Row],[PrimaTécnica]]-Table3[[#This Row],[PrimaTécnica]]*SUM(Table3[[#This Row],[Gastos Adm]:[Cobranza]])</f>
        <v>12103.911101692798</v>
      </c>
      <c r="E890">
        <v>0</v>
      </c>
      <c r="F890">
        <v>0.15</v>
      </c>
      <c r="G890">
        <v>0.05</v>
      </c>
      <c r="H890">
        <v>0.01</v>
      </c>
      <c r="I890">
        <v>0.01</v>
      </c>
      <c r="J890" s="8">
        <f>Table3[[#This Row],[PrimaTécnica]]*Table3[[#This Row],[Gastos Adm]]</f>
        <v>2327.6752118639997</v>
      </c>
      <c r="K890" s="8">
        <f>Table3[[#This Row],[PrimaTécnica]]*Table3[[#This Row],[Utilidad]]</f>
        <v>775.89173728799994</v>
      </c>
      <c r="L890" s="8">
        <f>Table3[[#This Row],[PrimaTécnica]]*Table3[[#This Row],[Marketing]]</f>
        <v>155.17834745759998</v>
      </c>
      <c r="M890" s="8">
        <f>Table3[[#This Row],[PrimaTécnica]]*Table3[[#This Row],[Cobranza]]</f>
        <v>155.17834745759998</v>
      </c>
      <c r="N89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90">
        <v>21.84</v>
      </c>
      <c r="P890">
        <v>54.6</v>
      </c>
      <c r="Q890">
        <v>80.64</v>
      </c>
      <c r="R890">
        <v>44.377200000000002</v>
      </c>
      <c r="S890">
        <v>0.2</v>
      </c>
      <c r="T890">
        <v>0.02</v>
      </c>
      <c r="U890" s="8">
        <f>Table3[[#This Row],[PrimaNeta]]*Table3[[#This Row],[Comisión]]</f>
        <v>3929.82298644</v>
      </c>
      <c r="V890" s="15">
        <f>Table3[[#This Row],[PrimaComercial Anual]]-Table3[[#This Row],[PrimaComercial Anual]]*SUM(Table3[[#This Row],[APS]:[IVA]])</f>
        <v>19649.114932199998</v>
      </c>
      <c r="W890" s="2">
        <v>1.4800000000000001E-2</v>
      </c>
      <c r="X890" s="2">
        <v>8.4501000000000007E-2</v>
      </c>
      <c r="Y890">
        <v>0.03</v>
      </c>
      <c r="Z890">
        <v>0.13</v>
      </c>
      <c r="AA890" s="20">
        <f>Table3[[#This Row],[APS]]*Table3[[#This Row],[PrimaComercial Anual]]</f>
        <v>392.61144000000002</v>
      </c>
      <c r="AB890" s="8">
        <f>Table3[[#This Row],[PrimaComercial Anual]]*Table3[[#This Row],[Recargo adicional]]</f>
        <v>2241.6256278000001</v>
      </c>
      <c r="AC890" s="8">
        <f>Table3[[#This Row],[PrimaComercial Anual]]*Table3[[#This Row],[IT]]</f>
        <v>795.83399999999995</v>
      </c>
      <c r="AD890" s="8">
        <f>Table3[[#This Row],[PrimaComercial Anual]]*Table3[[#This Row],[IVA]]</f>
        <v>3448.614</v>
      </c>
      <c r="AE890" s="15">
        <f>Table3[[#This Row],[PrimaComercial Anual Asistencia]]</f>
        <v>26527.8</v>
      </c>
      <c r="AG890">
        <v>26527.8</v>
      </c>
    </row>
    <row r="891" spans="1:33" x14ac:dyDescent="0.25">
      <c r="A891" t="s">
        <v>18</v>
      </c>
      <c r="B891">
        <v>700001</v>
      </c>
      <c r="C891">
        <v>96</v>
      </c>
      <c r="D891" s="2">
        <f>Table3[[#This Row],[PrimaTécnica]]-Table3[[#This Row],[PrimaTécnica]]*SUM(Table3[[#This Row],[Gastos Adm]:[Cobranza]])</f>
        <v>12103.911101692798</v>
      </c>
      <c r="E891">
        <v>0</v>
      </c>
      <c r="F891">
        <v>0.15</v>
      </c>
      <c r="G891">
        <v>0.05</v>
      </c>
      <c r="H891">
        <v>0.01</v>
      </c>
      <c r="I891">
        <v>0.01</v>
      </c>
      <c r="J891" s="8">
        <f>Table3[[#This Row],[PrimaTécnica]]*Table3[[#This Row],[Gastos Adm]]</f>
        <v>2327.6752118639997</v>
      </c>
      <c r="K891" s="8">
        <f>Table3[[#This Row],[PrimaTécnica]]*Table3[[#This Row],[Utilidad]]</f>
        <v>775.89173728799994</v>
      </c>
      <c r="L891" s="8">
        <f>Table3[[#This Row],[PrimaTécnica]]*Table3[[#This Row],[Marketing]]</f>
        <v>155.17834745759998</v>
      </c>
      <c r="M891" s="8">
        <f>Table3[[#This Row],[PrimaTécnica]]*Table3[[#This Row],[Cobranza]]</f>
        <v>155.17834745759998</v>
      </c>
      <c r="N89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91">
        <v>21.84</v>
      </c>
      <c r="P891">
        <v>54.6</v>
      </c>
      <c r="Q891">
        <v>80.64</v>
      </c>
      <c r="R891">
        <v>44.377200000000002</v>
      </c>
      <c r="S891">
        <v>0.2</v>
      </c>
      <c r="T891">
        <v>0.02</v>
      </c>
      <c r="U891" s="8">
        <f>Table3[[#This Row],[PrimaNeta]]*Table3[[#This Row],[Comisión]]</f>
        <v>3929.82298644</v>
      </c>
      <c r="V891" s="15">
        <f>Table3[[#This Row],[PrimaComercial Anual]]-Table3[[#This Row],[PrimaComercial Anual]]*SUM(Table3[[#This Row],[APS]:[IVA]])</f>
        <v>19649.114932199998</v>
      </c>
      <c r="W891" s="2">
        <v>1.4800000000000001E-2</v>
      </c>
      <c r="X891" s="2">
        <v>8.4501000000000007E-2</v>
      </c>
      <c r="Y891">
        <v>0.03</v>
      </c>
      <c r="Z891">
        <v>0.13</v>
      </c>
      <c r="AA891" s="20">
        <f>Table3[[#This Row],[APS]]*Table3[[#This Row],[PrimaComercial Anual]]</f>
        <v>392.61144000000002</v>
      </c>
      <c r="AB891" s="8">
        <f>Table3[[#This Row],[PrimaComercial Anual]]*Table3[[#This Row],[Recargo adicional]]</f>
        <v>2241.6256278000001</v>
      </c>
      <c r="AC891" s="8">
        <f>Table3[[#This Row],[PrimaComercial Anual]]*Table3[[#This Row],[IT]]</f>
        <v>795.83399999999995</v>
      </c>
      <c r="AD891" s="8">
        <f>Table3[[#This Row],[PrimaComercial Anual]]*Table3[[#This Row],[IVA]]</f>
        <v>3448.614</v>
      </c>
      <c r="AE891" s="15">
        <f>Table3[[#This Row],[PrimaComercial Anual Asistencia]]</f>
        <v>26527.8</v>
      </c>
      <c r="AG891">
        <v>26527.8</v>
      </c>
    </row>
    <row r="892" spans="1:33" x14ac:dyDescent="0.25">
      <c r="A892" t="s">
        <v>18</v>
      </c>
      <c r="B892">
        <v>700001</v>
      </c>
      <c r="C892">
        <v>97</v>
      </c>
      <c r="D892" s="2">
        <f>Table3[[#This Row],[PrimaTécnica]]-Table3[[#This Row],[PrimaTécnica]]*SUM(Table3[[#This Row],[Gastos Adm]:[Cobranza]])</f>
        <v>12103.911101692798</v>
      </c>
      <c r="E892">
        <v>0</v>
      </c>
      <c r="F892">
        <v>0.15</v>
      </c>
      <c r="G892">
        <v>0.05</v>
      </c>
      <c r="H892">
        <v>0.01</v>
      </c>
      <c r="I892">
        <v>0.01</v>
      </c>
      <c r="J892" s="8">
        <f>Table3[[#This Row],[PrimaTécnica]]*Table3[[#This Row],[Gastos Adm]]</f>
        <v>2327.6752118639997</v>
      </c>
      <c r="K892" s="8">
        <f>Table3[[#This Row],[PrimaTécnica]]*Table3[[#This Row],[Utilidad]]</f>
        <v>775.89173728799994</v>
      </c>
      <c r="L892" s="8">
        <f>Table3[[#This Row],[PrimaTécnica]]*Table3[[#This Row],[Marketing]]</f>
        <v>155.17834745759998</v>
      </c>
      <c r="M892" s="8">
        <f>Table3[[#This Row],[PrimaTécnica]]*Table3[[#This Row],[Cobranza]]</f>
        <v>155.17834745759998</v>
      </c>
      <c r="N89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92">
        <v>21.84</v>
      </c>
      <c r="P892">
        <v>54.6</v>
      </c>
      <c r="Q892">
        <v>80.64</v>
      </c>
      <c r="R892">
        <v>44.377200000000002</v>
      </c>
      <c r="S892">
        <v>0.2</v>
      </c>
      <c r="T892">
        <v>0.02</v>
      </c>
      <c r="U892" s="8">
        <f>Table3[[#This Row],[PrimaNeta]]*Table3[[#This Row],[Comisión]]</f>
        <v>3929.82298644</v>
      </c>
      <c r="V892" s="15">
        <f>Table3[[#This Row],[PrimaComercial Anual]]-Table3[[#This Row],[PrimaComercial Anual]]*SUM(Table3[[#This Row],[APS]:[IVA]])</f>
        <v>19649.114932199998</v>
      </c>
      <c r="W892" s="2">
        <v>1.4800000000000001E-2</v>
      </c>
      <c r="X892" s="2">
        <v>8.4501000000000007E-2</v>
      </c>
      <c r="Y892">
        <v>0.03</v>
      </c>
      <c r="Z892">
        <v>0.13</v>
      </c>
      <c r="AA892" s="20">
        <f>Table3[[#This Row],[APS]]*Table3[[#This Row],[PrimaComercial Anual]]</f>
        <v>392.61144000000002</v>
      </c>
      <c r="AB892" s="8">
        <f>Table3[[#This Row],[PrimaComercial Anual]]*Table3[[#This Row],[Recargo adicional]]</f>
        <v>2241.6256278000001</v>
      </c>
      <c r="AC892" s="8">
        <f>Table3[[#This Row],[PrimaComercial Anual]]*Table3[[#This Row],[IT]]</f>
        <v>795.83399999999995</v>
      </c>
      <c r="AD892" s="8">
        <f>Table3[[#This Row],[PrimaComercial Anual]]*Table3[[#This Row],[IVA]]</f>
        <v>3448.614</v>
      </c>
      <c r="AE892" s="15">
        <f>Table3[[#This Row],[PrimaComercial Anual Asistencia]]</f>
        <v>26527.8</v>
      </c>
      <c r="AG892">
        <v>26527.8</v>
      </c>
    </row>
    <row r="893" spans="1:33" x14ac:dyDescent="0.25">
      <c r="A893" t="s">
        <v>18</v>
      </c>
      <c r="B893">
        <v>700001</v>
      </c>
      <c r="C893">
        <v>98</v>
      </c>
      <c r="D893" s="2">
        <f>Table3[[#This Row],[PrimaTécnica]]-Table3[[#This Row],[PrimaTécnica]]*SUM(Table3[[#This Row],[Gastos Adm]:[Cobranza]])</f>
        <v>12103.911101692798</v>
      </c>
      <c r="E893">
        <v>0</v>
      </c>
      <c r="F893">
        <v>0.15</v>
      </c>
      <c r="G893">
        <v>0.05</v>
      </c>
      <c r="H893">
        <v>0.01</v>
      </c>
      <c r="I893">
        <v>0.01</v>
      </c>
      <c r="J893" s="8">
        <f>Table3[[#This Row],[PrimaTécnica]]*Table3[[#This Row],[Gastos Adm]]</f>
        <v>2327.6752118639997</v>
      </c>
      <c r="K893" s="8">
        <f>Table3[[#This Row],[PrimaTécnica]]*Table3[[#This Row],[Utilidad]]</f>
        <v>775.89173728799994</v>
      </c>
      <c r="L893" s="8">
        <f>Table3[[#This Row],[PrimaTécnica]]*Table3[[#This Row],[Marketing]]</f>
        <v>155.17834745759998</v>
      </c>
      <c r="M893" s="8">
        <f>Table3[[#This Row],[PrimaTécnica]]*Table3[[#This Row],[Cobranza]]</f>
        <v>155.17834745759998</v>
      </c>
      <c r="N89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93">
        <v>21.84</v>
      </c>
      <c r="P893">
        <v>54.6</v>
      </c>
      <c r="Q893">
        <v>80.64</v>
      </c>
      <c r="R893">
        <v>44.377200000000002</v>
      </c>
      <c r="S893">
        <v>0.2</v>
      </c>
      <c r="T893">
        <v>0.02</v>
      </c>
      <c r="U893" s="8">
        <f>Table3[[#This Row],[PrimaNeta]]*Table3[[#This Row],[Comisión]]</f>
        <v>3929.82298644</v>
      </c>
      <c r="V893" s="15">
        <f>Table3[[#This Row],[PrimaComercial Anual]]-Table3[[#This Row],[PrimaComercial Anual]]*SUM(Table3[[#This Row],[APS]:[IVA]])</f>
        <v>19649.114932199998</v>
      </c>
      <c r="W893" s="2">
        <v>1.4800000000000001E-2</v>
      </c>
      <c r="X893" s="2">
        <v>8.4501000000000007E-2</v>
      </c>
      <c r="Y893">
        <v>0.03</v>
      </c>
      <c r="Z893">
        <v>0.13</v>
      </c>
      <c r="AA893" s="20">
        <f>Table3[[#This Row],[APS]]*Table3[[#This Row],[PrimaComercial Anual]]</f>
        <v>392.61144000000002</v>
      </c>
      <c r="AB893" s="8">
        <f>Table3[[#This Row],[PrimaComercial Anual]]*Table3[[#This Row],[Recargo adicional]]</f>
        <v>2241.6256278000001</v>
      </c>
      <c r="AC893" s="8">
        <f>Table3[[#This Row],[PrimaComercial Anual]]*Table3[[#This Row],[IT]]</f>
        <v>795.83399999999995</v>
      </c>
      <c r="AD893" s="8">
        <f>Table3[[#This Row],[PrimaComercial Anual]]*Table3[[#This Row],[IVA]]</f>
        <v>3448.614</v>
      </c>
      <c r="AE893" s="15">
        <f>Table3[[#This Row],[PrimaComercial Anual Asistencia]]</f>
        <v>26527.8</v>
      </c>
      <c r="AG893">
        <v>26527.8</v>
      </c>
    </row>
    <row r="894" spans="1:33" x14ac:dyDescent="0.25">
      <c r="A894" t="s">
        <v>18</v>
      </c>
      <c r="B894">
        <v>700001</v>
      </c>
      <c r="C894">
        <v>99</v>
      </c>
      <c r="D894" s="2">
        <f>Table3[[#This Row],[PrimaTécnica]]-Table3[[#This Row],[PrimaTécnica]]*SUM(Table3[[#This Row],[Gastos Adm]:[Cobranza]])</f>
        <v>12103.911101692798</v>
      </c>
      <c r="E894">
        <v>0</v>
      </c>
      <c r="F894">
        <v>0.15</v>
      </c>
      <c r="G894">
        <v>0.05</v>
      </c>
      <c r="H894">
        <v>0.01</v>
      </c>
      <c r="I894">
        <v>0.01</v>
      </c>
      <c r="J894" s="8">
        <f>Table3[[#This Row],[PrimaTécnica]]*Table3[[#This Row],[Gastos Adm]]</f>
        <v>2327.6752118639997</v>
      </c>
      <c r="K894" s="8">
        <f>Table3[[#This Row],[PrimaTécnica]]*Table3[[#This Row],[Utilidad]]</f>
        <v>775.89173728799994</v>
      </c>
      <c r="L894" s="8">
        <f>Table3[[#This Row],[PrimaTécnica]]*Table3[[#This Row],[Marketing]]</f>
        <v>155.17834745759998</v>
      </c>
      <c r="M894" s="8">
        <f>Table3[[#This Row],[PrimaTécnica]]*Table3[[#This Row],[Cobranza]]</f>
        <v>155.17834745759998</v>
      </c>
      <c r="N89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15517.834745759998</v>
      </c>
      <c r="O894">
        <v>21.84</v>
      </c>
      <c r="P894">
        <v>54.6</v>
      </c>
      <c r="Q894">
        <v>80.64</v>
      </c>
      <c r="R894">
        <v>44.377200000000002</v>
      </c>
      <c r="S894">
        <v>0.2</v>
      </c>
      <c r="T894">
        <v>0.02</v>
      </c>
      <c r="U894" s="8">
        <f>Table3[[#This Row],[PrimaNeta]]*Table3[[#This Row],[Comisión]]</f>
        <v>3929.82298644</v>
      </c>
      <c r="V894" s="15">
        <f>Table3[[#This Row],[PrimaComercial Anual]]-Table3[[#This Row],[PrimaComercial Anual]]*SUM(Table3[[#This Row],[APS]:[IVA]])</f>
        <v>19649.114932199998</v>
      </c>
      <c r="W894" s="2">
        <v>1.4800000000000001E-2</v>
      </c>
      <c r="X894" s="2">
        <v>8.4501000000000007E-2</v>
      </c>
      <c r="Y894">
        <v>0.03</v>
      </c>
      <c r="Z894">
        <v>0.13</v>
      </c>
      <c r="AA894" s="20">
        <f>Table3[[#This Row],[APS]]*Table3[[#This Row],[PrimaComercial Anual]]</f>
        <v>392.61144000000002</v>
      </c>
      <c r="AB894" s="8">
        <f>Table3[[#This Row],[PrimaComercial Anual]]*Table3[[#This Row],[Recargo adicional]]</f>
        <v>2241.6256278000001</v>
      </c>
      <c r="AC894" s="8">
        <f>Table3[[#This Row],[PrimaComercial Anual]]*Table3[[#This Row],[IT]]</f>
        <v>795.83399999999995</v>
      </c>
      <c r="AD894" s="8">
        <f>Table3[[#This Row],[PrimaComercial Anual]]*Table3[[#This Row],[IVA]]</f>
        <v>3448.614</v>
      </c>
      <c r="AE894" s="15">
        <f>Table3[[#This Row],[PrimaComercial Anual Asistencia]]</f>
        <v>26527.8</v>
      </c>
      <c r="AG894">
        <v>26527.8</v>
      </c>
    </row>
    <row r="895" spans="1:33" x14ac:dyDescent="0.25">
      <c r="A895" t="s">
        <v>19</v>
      </c>
      <c r="B895">
        <v>700001</v>
      </c>
      <c r="C895">
        <v>19</v>
      </c>
      <c r="D895" s="2">
        <f>Table3[[#This Row],[PrimaTécnica]]-Table3[[#This Row],[PrimaTécnica]]*SUM(Table3[[#This Row],[Gastos Adm]:[Cobranza]])</f>
        <v>2403.6150775104002</v>
      </c>
      <c r="E895">
        <v>754.47197279999989</v>
      </c>
      <c r="F895">
        <v>0.15</v>
      </c>
      <c r="G895">
        <v>0.05</v>
      </c>
      <c r="H895">
        <v>0.01</v>
      </c>
      <c r="I895">
        <v>0.01</v>
      </c>
      <c r="J895" s="8">
        <f>Table3[[#This Row],[PrimaTécnica]]*Table3[[#This Row],[Gastos Adm]]</f>
        <v>462.23366875200003</v>
      </c>
      <c r="K895" s="8">
        <f>Table3[[#This Row],[PrimaTécnica]]*Table3[[#This Row],[Utilidad]]</f>
        <v>154.07788958400002</v>
      </c>
      <c r="L895" s="8">
        <f>Table3[[#This Row],[PrimaTécnica]]*Table3[[#This Row],[Marketing]]</f>
        <v>30.815577916800002</v>
      </c>
      <c r="M895" s="8">
        <f>Table3[[#This Row],[PrimaTécnica]]*Table3[[#This Row],[Cobranza]]</f>
        <v>30.815577916800002</v>
      </c>
      <c r="N89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895">
        <v>21.84</v>
      </c>
      <c r="P895">
        <v>54.6</v>
      </c>
      <c r="Q895">
        <v>80.64</v>
      </c>
      <c r="R895">
        <v>44.377200000000002</v>
      </c>
      <c r="S895">
        <v>0.2</v>
      </c>
      <c r="T895">
        <v>0.02</v>
      </c>
      <c r="U895" s="8">
        <f>Table3[[#This Row],[PrimaNeta]]*Table3[[#This Row],[Comisión]]</f>
        <v>820.75374792000002</v>
      </c>
      <c r="V895" s="15">
        <f>Table3[[#This Row],[PrimaComercial Anual]]-Table3[[#This Row],[PrimaComercial Anual]]*SUM(Table3[[#This Row],[APS]:[IVA]])</f>
        <v>4103.7687396000001</v>
      </c>
      <c r="W895" s="2">
        <v>1.4800000000000001E-2</v>
      </c>
      <c r="X895" s="2">
        <v>8.4501000000000007E-2</v>
      </c>
      <c r="Y895">
        <v>0.03</v>
      </c>
      <c r="Z895">
        <v>0.13</v>
      </c>
      <c r="AA895" s="20">
        <f>Table3[[#This Row],[APS]]*Table3[[#This Row],[PrimaComercial Anual]]</f>
        <v>81.997919999999993</v>
      </c>
      <c r="AB895" s="8">
        <f>Table3[[#This Row],[PrimaComercial Anual]]*Table3[[#This Row],[Recargo adicional]]</f>
        <v>468.16934040000001</v>
      </c>
      <c r="AC895" s="8">
        <f>Table3[[#This Row],[PrimaComercial Anual]]*Table3[[#This Row],[IT]]</f>
        <v>166.21199999999999</v>
      </c>
      <c r="AD895" s="8">
        <f>Table3[[#This Row],[PrimaComercial Anual]]*Table3[[#This Row],[IVA]]</f>
        <v>720.25199999999995</v>
      </c>
      <c r="AE895" s="15">
        <f>Table3[[#This Row],[PrimaComercial Anual Asistencia]]</f>
        <v>5540.4</v>
      </c>
      <c r="AF895">
        <v>1675.8</v>
      </c>
      <c r="AG895">
        <v>5540.4</v>
      </c>
    </row>
    <row r="896" spans="1:33" x14ac:dyDescent="0.25">
      <c r="A896" t="s">
        <v>19</v>
      </c>
      <c r="B896">
        <v>700001</v>
      </c>
      <c r="C896">
        <v>20</v>
      </c>
      <c r="D896" s="2">
        <f>Table3[[#This Row],[PrimaTécnica]]-Table3[[#This Row],[PrimaTécnica]]*SUM(Table3[[#This Row],[Gastos Adm]:[Cobranza]])</f>
        <v>2403.6150775104002</v>
      </c>
      <c r="E896">
        <v>754.47197279999989</v>
      </c>
      <c r="F896">
        <v>0.15</v>
      </c>
      <c r="G896">
        <v>0.05</v>
      </c>
      <c r="H896">
        <v>0.01</v>
      </c>
      <c r="I896">
        <v>0.01</v>
      </c>
      <c r="J896" s="8">
        <f>Table3[[#This Row],[PrimaTécnica]]*Table3[[#This Row],[Gastos Adm]]</f>
        <v>462.23366875200003</v>
      </c>
      <c r="K896" s="8">
        <f>Table3[[#This Row],[PrimaTécnica]]*Table3[[#This Row],[Utilidad]]</f>
        <v>154.07788958400002</v>
      </c>
      <c r="L896" s="8">
        <f>Table3[[#This Row],[PrimaTécnica]]*Table3[[#This Row],[Marketing]]</f>
        <v>30.815577916800002</v>
      </c>
      <c r="M896" s="8">
        <f>Table3[[#This Row],[PrimaTécnica]]*Table3[[#This Row],[Cobranza]]</f>
        <v>30.815577916800002</v>
      </c>
      <c r="N89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896">
        <v>21.84</v>
      </c>
      <c r="P896">
        <v>54.6</v>
      </c>
      <c r="Q896">
        <v>80.64</v>
      </c>
      <c r="R896">
        <v>44.377200000000002</v>
      </c>
      <c r="S896">
        <v>0.2</v>
      </c>
      <c r="T896">
        <v>0.02</v>
      </c>
      <c r="U896" s="8">
        <f>Table3[[#This Row],[PrimaNeta]]*Table3[[#This Row],[Comisión]]</f>
        <v>820.75374792000002</v>
      </c>
      <c r="V896" s="15">
        <f>Table3[[#This Row],[PrimaComercial Anual]]-Table3[[#This Row],[PrimaComercial Anual]]*SUM(Table3[[#This Row],[APS]:[IVA]])</f>
        <v>4103.7687396000001</v>
      </c>
      <c r="W896" s="2">
        <v>1.4800000000000001E-2</v>
      </c>
      <c r="X896" s="2">
        <v>8.4501000000000007E-2</v>
      </c>
      <c r="Y896">
        <v>0.03</v>
      </c>
      <c r="Z896">
        <v>0.13</v>
      </c>
      <c r="AA896" s="20">
        <f>Table3[[#This Row],[APS]]*Table3[[#This Row],[PrimaComercial Anual]]</f>
        <v>81.997919999999993</v>
      </c>
      <c r="AB896" s="8">
        <f>Table3[[#This Row],[PrimaComercial Anual]]*Table3[[#This Row],[Recargo adicional]]</f>
        <v>468.16934040000001</v>
      </c>
      <c r="AC896" s="8">
        <f>Table3[[#This Row],[PrimaComercial Anual]]*Table3[[#This Row],[IT]]</f>
        <v>166.21199999999999</v>
      </c>
      <c r="AD896" s="8">
        <f>Table3[[#This Row],[PrimaComercial Anual]]*Table3[[#This Row],[IVA]]</f>
        <v>720.25199999999995</v>
      </c>
      <c r="AE896" s="15">
        <f>Table3[[#This Row],[PrimaComercial Anual Asistencia]]</f>
        <v>5540.4</v>
      </c>
      <c r="AF896">
        <v>1675.8</v>
      </c>
      <c r="AG896">
        <v>5540.4</v>
      </c>
    </row>
    <row r="897" spans="1:33" x14ac:dyDescent="0.25">
      <c r="A897" t="s">
        <v>19</v>
      </c>
      <c r="B897">
        <v>700001</v>
      </c>
      <c r="C897">
        <v>21</v>
      </c>
      <c r="D897" s="2">
        <f>Table3[[#This Row],[PrimaTécnica]]-Table3[[#This Row],[PrimaTécnica]]*SUM(Table3[[#This Row],[Gastos Adm]:[Cobranza]])</f>
        <v>2403.6150775104002</v>
      </c>
      <c r="E897">
        <v>754.47197279999989</v>
      </c>
      <c r="F897">
        <v>0.15</v>
      </c>
      <c r="G897">
        <v>0.05</v>
      </c>
      <c r="H897">
        <v>0.01</v>
      </c>
      <c r="I897">
        <v>0.01</v>
      </c>
      <c r="J897" s="8">
        <f>Table3[[#This Row],[PrimaTécnica]]*Table3[[#This Row],[Gastos Adm]]</f>
        <v>462.23366875200003</v>
      </c>
      <c r="K897" s="8">
        <f>Table3[[#This Row],[PrimaTécnica]]*Table3[[#This Row],[Utilidad]]</f>
        <v>154.07788958400002</v>
      </c>
      <c r="L897" s="8">
        <f>Table3[[#This Row],[PrimaTécnica]]*Table3[[#This Row],[Marketing]]</f>
        <v>30.815577916800002</v>
      </c>
      <c r="M897" s="8">
        <f>Table3[[#This Row],[PrimaTécnica]]*Table3[[#This Row],[Cobranza]]</f>
        <v>30.815577916800002</v>
      </c>
      <c r="N89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897">
        <v>21.84</v>
      </c>
      <c r="P897">
        <v>54.6</v>
      </c>
      <c r="Q897">
        <v>80.64</v>
      </c>
      <c r="R897">
        <v>44.377200000000002</v>
      </c>
      <c r="S897">
        <v>0.2</v>
      </c>
      <c r="T897">
        <v>0.02</v>
      </c>
      <c r="U897" s="8">
        <f>Table3[[#This Row],[PrimaNeta]]*Table3[[#This Row],[Comisión]]</f>
        <v>820.75374792000002</v>
      </c>
      <c r="V897" s="15">
        <f>Table3[[#This Row],[PrimaComercial Anual]]-Table3[[#This Row],[PrimaComercial Anual]]*SUM(Table3[[#This Row],[APS]:[IVA]])</f>
        <v>4103.7687396000001</v>
      </c>
      <c r="W897" s="2">
        <v>1.4800000000000001E-2</v>
      </c>
      <c r="X897" s="2">
        <v>8.4501000000000007E-2</v>
      </c>
      <c r="Y897">
        <v>0.03</v>
      </c>
      <c r="Z897">
        <v>0.13</v>
      </c>
      <c r="AA897" s="20">
        <f>Table3[[#This Row],[APS]]*Table3[[#This Row],[PrimaComercial Anual]]</f>
        <v>81.997919999999993</v>
      </c>
      <c r="AB897" s="8">
        <f>Table3[[#This Row],[PrimaComercial Anual]]*Table3[[#This Row],[Recargo adicional]]</f>
        <v>468.16934040000001</v>
      </c>
      <c r="AC897" s="8">
        <f>Table3[[#This Row],[PrimaComercial Anual]]*Table3[[#This Row],[IT]]</f>
        <v>166.21199999999999</v>
      </c>
      <c r="AD897" s="8">
        <f>Table3[[#This Row],[PrimaComercial Anual]]*Table3[[#This Row],[IVA]]</f>
        <v>720.25199999999995</v>
      </c>
      <c r="AE897" s="15">
        <f>Table3[[#This Row],[PrimaComercial Anual Asistencia]]</f>
        <v>5540.4</v>
      </c>
      <c r="AF897">
        <v>1675.8</v>
      </c>
      <c r="AG897">
        <v>5540.4</v>
      </c>
    </row>
    <row r="898" spans="1:33" x14ac:dyDescent="0.25">
      <c r="A898" t="s">
        <v>19</v>
      </c>
      <c r="B898">
        <v>700001</v>
      </c>
      <c r="C898">
        <v>22</v>
      </c>
      <c r="D898" s="2">
        <f>Table3[[#This Row],[PrimaTécnica]]-Table3[[#This Row],[PrimaTécnica]]*SUM(Table3[[#This Row],[Gastos Adm]:[Cobranza]])</f>
        <v>2403.6150775104002</v>
      </c>
      <c r="E898">
        <v>754.47197279999989</v>
      </c>
      <c r="F898">
        <v>0.15</v>
      </c>
      <c r="G898">
        <v>0.05</v>
      </c>
      <c r="H898">
        <v>0.01</v>
      </c>
      <c r="I898">
        <v>0.01</v>
      </c>
      <c r="J898" s="8">
        <f>Table3[[#This Row],[PrimaTécnica]]*Table3[[#This Row],[Gastos Adm]]</f>
        <v>462.23366875200003</v>
      </c>
      <c r="K898" s="8">
        <f>Table3[[#This Row],[PrimaTécnica]]*Table3[[#This Row],[Utilidad]]</f>
        <v>154.07788958400002</v>
      </c>
      <c r="L898" s="8">
        <f>Table3[[#This Row],[PrimaTécnica]]*Table3[[#This Row],[Marketing]]</f>
        <v>30.815577916800002</v>
      </c>
      <c r="M898" s="8">
        <f>Table3[[#This Row],[PrimaTécnica]]*Table3[[#This Row],[Cobranza]]</f>
        <v>30.815577916800002</v>
      </c>
      <c r="N89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898">
        <v>21.84</v>
      </c>
      <c r="P898">
        <v>54.6</v>
      </c>
      <c r="Q898">
        <v>80.64</v>
      </c>
      <c r="R898">
        <v>44.377200000000002</v>
      </c>
      <c r="S898">
        <v>0.2</v>
      </c>
      <c r="T898">
        <v>0.02</v>
      </c>
      <c r="U898" s="8">
        <f>Table3[[#This Row],[PrimaNeta]]*Table3[[#This Row],[Comisión]]</f>
        <v>820.75374792000002</v>
      </c>
      <c r="V898" s="15">
        <f>Table3[[#This Row],[PrimaComercial Anual]]-Table3[[#This Row],[PrimaComercial Anual]]*SUM(Table3[[#This Row],[APS]:[IVA]])</f>
        <v>4103.7687396000001</v>
      </c>
      <c r="W898" s="2">
        <v>1.4800000000000001E-2</v>
      </c>
      <c r="X898" s="2">
        <v>8.4501000000000007E-2</v>
      </c>
      <c r="Y898">
        <v>0.03</v>
      </c>
      <c r="Z898">
        <v>0.13</v>
      </c>
      <c r="AA898" s="20">
        <f>Table3[[#This Row],[APS]]*Table3[[#This Row],[PrimaComercial Anual]]</f>
        <v>81.997919999999993</v>
      </c>
      <c r="AB898" s="8">
        <f>Table3[[#This Row],[PrimaComercial Anual]]*Table3[[#This Row],[Recargo adicional]]</f>
        <v>468.16934040000001</v>
      </c>
      <c r="AC898" s="8">
        <f>Table3[[#This Row],[PrimaComercial Anual]]*Table3[[#This Row],[IT]]</f>
        <v>166.21199999999999</v>
      </c>
      <c r="AD898" s="8">
        <f>Table3[[#This Row],[PrimaComercial Anual]]*Table3[[#This Row],[IVA]]</f>
        <v>720.25199999999995</v>
      </c>
      <c r="AE898" s="15">
        <f>Table3[[#This Row],[PrimaComercial Anual Asistencia]]</f>
        <v>5540.4</v>
      </c>
      <c r="AF898">
        <v>1675.8</v>
      </c>
      <c r="AG898">
        <v>5540.4</v>
      </c>
    </row>
    <row r="899" spans="1:33" x14ac:dyDescent="0.25">
      <c r="A899" t="s">
        <v>19</v>
      </c>
      <c r="B899">
        <v>700001</v>
      </c>
      <c r="C899">
        <v>23</v>
      </c>
      <c r="D899" s="2">
        <f>Table3[[#This Row],[PrimaTécnica]]-Table3[[#This Row],[PrimaTécnica]]*SUM(Table3[[#This Row],[Gastos Adm]:[Cobranza]])</f>
        <v>2403.6150775104002</v>
      </c>
      <c r="E899">
        <v>754.47197279999989</v>
      </c>
      <c r="F899">
        <v>0.15</v>
      </c>
      <c r="G899">
        <v>0.05</v>
      </c>
      <c r="H899">
        <v>0.01</v>
      </c>
      <c r="I899">
        <v>0.01</v>
      </c>
      <c r="J899" s="8">
        <f>Table3[[#This Row],[PrimaTécnica]]*Table3[[#This Row],[Gastos Adm]]</f>
        <v>462.23366875200003</v>
      </c>
      <c r="K899" s="8">
        <f>Table3[[#This Row],[PrimaTécnica]]*Table3[[#This Row],[Utilidad]]</f>
        <v>154.07788958400002</v>
      </c>
      <c r="L899" s="8">
        <f>Table3[[#This Row],[PrimaTécnica]]*Table3[[#This Row],[Marketing]]</f>
        <v>30.815577916800002</v>
      </c>
      <c r="M899" s="8">
        <f>Table3[[#This Row],[PrimaTécnica]]*Table3[[#This Row],[Cobranza]]</f>
        <v>30.815577916800002</v>
      </c>
      <c r="N89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899">
        <v>21.84</v>
      </c>
      <c r="P899">
        <v>54.6</v>
      </c>
      <c r="Q899">
        <v>80.64</v>
      </c>
      <c r="R899">
        <v>44.377200000000002</v>
      </c>
      <c r="S899">
        <v>0.2</v>
      </c>
      <c r="T899">
        <v>0.02</v>
      </c>
      <c r="U899" s="8">
        <f>Table3[[#This Row],[PrimaNeta]]*Table3[[#This Row],[Comisión]]</f>
        <v>820.75374792000002</v>
      </c>
      <c r="V899" s="15">
        <f>Table3[[#This Row],[PrimaComercial Anual]]-Table3[[#This Row],[PrimaComercial Anual]]*SUM(Table3[[#This Row],[APS]:[IVA]])</f>
        <v>4103.7687396000001</v>
      </c>
      <c r="W899" s="2">
        <v>1.4800000000000001E-2</v>
      </c>
      <c r="X899" s="2">
        <v>8.4501000000000007E-2</v>
      </c>
      <c r="Y899">
        <v>0.03</v>
      </c>
      <c r="Z899">
        <v>0.13</v>
      </c>
      <c r="AA899" s="20">
        <f>Table3[[#This Row],[APS]]*Table3[[#This Row],[PrimaComercial Anual]]</f>
        <v>81.997919999999993</v>
      </c>
      <c r="AB899" s="8">
        <f>Table3[[#This Row],[PrimaComercial Anual]]*Table3[[#This Row],[Recargo adicional]]</f>
        <v>468.16934040000001</v>
      </c>
      <c r="AC899" s="8">
        <f>Table3[[#This Row],[PrimaComercial Anual]]*Table3[[#This Row],[IT]]</f>
        <v>166.21199999999999</v>
      </c>
      <c r="AD899" s="8">
        <f>Table3[[#This Row],[PrimaComercial Anual]]*Table3[[#This Row],[IVA]]</f>
        <v>720.25199999999995</v>
      </c>
      <c r="AE899" s="15">
        <f>Table3[[#This Row],[PrimaComercial Anual Asistencia]]</f>
        <v>5540.4</v>
      </c>
      <c r="AF899">
        <v>1675.8</v>
      </c>
      <c r="AG899">
        <v>5540.4</v>
      </c>
    </row>
    <row r="900" spans="1:33" x14ac:dyDescent="0.25">
      <c r="A900" t="s">
        <v>19</v>
      </c>
      <c r="B900">
        <v>700001</v>
      </c>
      <c r="C900">
        <v>24</v>
      </c>
      <c r="D900" s="2">
        <f>Table3[[#This Row],[PrimaTécnica]]-Table3[[#This Row],[PrimaTécnica]]*SUM(Table3[[#This Row],[Gastos Adm]:[Cobranza]])</f>
        <v>2403.6150775104002</v>
      </c>
      <c r="E900">
        <v>754.47197279999989</v>
      </c>
      <c r="F900">
        <v>0.15</v>
      </c>
      <c r="G900">
        <v>0.05</v>
      </c>
      <c r="H900">
        <v>0.01</v>
      </c>
      <c r="I900">
        <v>0.01</v>
      </c>
      <c r="J900" s="8">
        <f>Table3[[#This Row],[PrimaTécnica]]*Table3[[#This Row],[Gastos Adm]]</f>
        <v>462.23366875200003</v>
      </c>
      <c r="K900" s="8">
        <f>Table3[[#This Row],[PrimaTécnica]]*Table3[[#This Row],[Utilidad]]</f>
        <v>154.07788958400002</v>
      </c>
      <c r="L900" s="8">
        <f>Table3[[#This Row],[PrimaTécnica]]*Table3[[#This Row],[Marketing]]</f>
        <v>30.815577916800002</v>
      </c>
      <c r="M900" s="8">
        <f>Table3[[#This Row],[PrimaTécnica]]*Table3[[#This Row],[Cobranza]]</f>
        <v>30.815577916800002</v>
      </c>
      <c r="N90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900">
        <v>21.84</v>
      </c>
      <c r="P900">
        <v>54.6</v>
      </c>
      <c r="Q900">
        <v>80.64</v>
      </c>
      <c r="R900">
        <v>44.377200000000002</v>
      </c>
      <c r="S900">
        <v>0.2</v>
      </c>
      <c r="T900">
        <v>0.02</v>
      </c>
      <c r="U900" s="8">
        <f>Table3[[#This Row],[PrimaNeta]]*Table3[[#This Row],[Comisión]]</f>
        <v>820.75374792000002</v>
      </c>
      <c r="V900" s="15">
        <f>Table3[[#This Row],[PrimaComercial Anual]]-Table3[[#This Row],[PrimaComercial Anual]]*SUM(Table3[[#This Row],[APS]:[IVA]])</f>
        <v>4103.7687396000001</v>
      </c>
      <c r="W900" s="2">
        <v>1.4800000000000001E-2</v>
      </c>
      <c r="X900" s="2">
        <v>8.4501000000000007E-2</v>
      </c>
      <c r="Y900">
        <v>0.03</v>
      </c>
      <c r="Z900">
        <v>0.13</v>
      </c>
      <c r="AA900" s="20">
        <f>Table3[[#This Row],[APS]]*Table3[[#This Row],[PrimaComercial Anual]]</f>
        <v>81.997919999999993</v>
      </c>
      <c r="AB900" s="8">
        <f>Table3[[#This Row],[PrimaComercial Anual]]*Table3[[#This Row],[Recargo adicional]]</f>
        <v>468.16934040000001</v>
      </c>
      <c r="AC900" s="8">
        <f>Table3[[#This Row],[PrimaComercial Anual]]*Table3[[#This Row],[IT]]</f>
        <v>166.21199999999999</v>
      </c>
      <c r="AD900" s="8">
        <f>Table3[[#This Row],[PrimaComercial Anual]]*Table3[[#This Row],[IVA]]</f>
        <v>720.25199999999995</v>
      </c>
      <c r="AE900" s="15">
        <f>Table3[[#This Row],[PrimaComercial Anual Asistencia]]</f>
        <v>5540.4</v>
      </c>
      <c r="AF900">
        <v>1675.8</v>
      </c>
      <c r="AG900">
        <v>5540.4</v>
      </c>
    </row>
    <row r="901" spans="1:33" x14ac:dyDescent="0.25">
      <c r="A901" t="s">
        <v>19</v>
      </c>
      <c r="B901">
        <v>700001</v>
      </c>
      <c r="C901">
        <v>25</v>
      </c>
      <c r="D901" s="2">
        <f>Table3[[#This Row],[PrimaTécnica]]-Table3[[#This Row],[PrimaTécnica]]*SUM(Table3[[#This Row],[Gastos Adm]:[Cobranza]])</f>
        <v>2403.6150775104002</v>
      </c>
      <c r="E901">
        <v>754.47197279999989</v>
      </c>
      <c r="F901">
        <v>0.15</v>
      </c>
      <c r="G901">
        <v>0.05</v>
      </c>
      <c r="H901">
        <v>0.01</v>
      </c>
      <c r="I901">
        <v>0.01</v>
      </c>
      <c r="J901" s="8">
        <f>Table3[[#This Row],[PrimaTécnica]]*Table3[[#This Row],[Gastos Adm]]</f>
        <v>462.23366875200003</v>
      </c>
      <c r="K901" s="8">
        <f>Table3[[#This Row],[PrimaTécnica]]*Table3[[#This Row],[Utilidad]]</f>
        <v>154.07788958400002</v>
      </c>
      <c r="L901" s="8">
        <f>Table3[[#This Row],[PrimaTécnica]]*Table3[[#This Row],[Marketing]]</f>
        <v>30.815577916800002</v>
      </c>
      <c r="M901" s="8">
        <f>Table3[[#This Row],[PrimaTécnica]]*Table3[[#This Row],[Cobranza]]</f>
        <v>30.815577916800002</v>
      </c>
      <c r="N90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901">
        <v>21.84</v>
      </c>
      <c r="P901">
        <v>54.6</v>
      </c>
      <c r="Q901">
        <v>80.64</v>
      </c>
      <c r="R901">
        <v>44.377200000000002</v>
      </c>
      <c r="S901">
        <v>0.2</v>
      </c>
      <c r="T901">
        <v>0.02</v>
      </c>
      <c r="U901" s="8">
        <f>Table3[[#This Row],[PrimaNeta]]*Table3[[#This Row],[Comisión]]</f>
        <v>820.75374792000002</v>
      </c>
      <c r="V901" s="15">
        <f>Table3[[#This Row],[PrimaComercial Anual]]-Table3[[#This Row],[PrimaComercial Anual]]*SUM(Table3[[#This Row],[APS]:[IVA]])</f>
        <v>4103.7687396000001</v>
      </c>
      <c r="W901" s="2">
        <v>1.4800000000000001E-2</v>
      </c>
      <c r="X901" s="2">
        <v>8.4501000000000007E-2</v>
      </c>
      <c r="Y901">
        <v>0.03</v>
      </c>
      <c r="Z901">
        <v>0.13</v>
      </c>
      <c r="AA901" s="20">
        <f>Table3[[#This Row],[APS]]*Table3[[#This Row],[PrimaComercial Anual]]</f>
        <v>81.997919999999993</v>
      </c>
      <c r="AB901" s="8">
        <f>Table3[[#This Row],[PrimaComercial Anual]]*Table3[[#This Row],[Recargo adicional]]</f>
        <v>468.16934040000001</v>
      </c>
      <c r="AC901" s="8">
        <f>Table3[[#This Row],[PrimaComercial Anual]]*Table3[[#This Row],[IT]]</f>
        <v>166.21199999999999</v>
      </c>
      <c r="AD901" s="8">
        <f>Table3[[#This Row],[PrimaComercial Anual]]*Table3[[#This Row],[IVA]]</f>
        <v>720.25199999999995</v>
      </c>
      <c r="AE901" s="15">
        <f>Table3[[#This Row],[PrimaComercial Anual Asistencia]]</f>
        <v>5540.4</v>
      </c>
      <c r="AF901">
        <v>1675.8</v>
      </c>
      <c r="AG901">
        <v>5540.4</v>
      </c>
    </row>
    <row r="902" spans="1:33" x14ac:dyDescent="0.25">
      <c r="A902" t="s">
        <v>19</v>
      </c>
      <c r="B902">
        <v>700001</v>
      </c>
      <c r="C902">
        <v>26</v>
      </c>
      <c r="D902" s="2">
        <f>Table3[[#This Row],[PrimaTécnica]]-Table3[[#This Row],[PrimaTécnica]]*SUM(Table3[[#This Row],[Gastos Adm]:[Cobranza]])</f>
        <v>2403.6150775104002</v>
      </c>
      <c r="E902">
        <v>754.47197279999989</v>
      </c>
      <c r="F902">
        <v>0.15</v>
      </c>
      <c r="G902">
        <v>0.05</v>
      </c>
      <c r="H902">
        <v>0.01</v>
      </c>
      <c r="I902">
        <v>0.01</v>
      </c>
      <c r="J902" s="8">
        <f>Table3[[#This Row],[PrimaTécnica]]*Table3[[#This Row],[Gastos Adm]]</f>
        <v>462.23366875200003</v>
      </c>
      <c r="K902" s="8">
        <f>Table3[[#This Row],[PrimaTécnica]]*Table3[[#This Row],[Utilidad]]</f>
        <v>154.07788958400002</v>
      </c>
      <c r="L902" s="8">
        <f>Table3[[#This Row],[PrimaTécnica]]*Table3[[#This Row],[Marketing]]</f>
        <v>30.815577916800002</v>
      </c>
      <c r="M902" s="8">
        <f>Table3[[#This Row],[PrimaTécnica]]*Table3[[#This Row],[Cobranza]]</f>
        <v>30.815577916800002</v>
      </c>
      <c r="N90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902">
        <v>21.84</v>
      </c>
      <c r="P902">
        <v>54.6</v>
      </c>
      <c r="Q902">
        <v>80.64</v>
      </c>
      <c r="R902">
        <v>44.377200000000002</v>
      </c>
      <c r="S902">
        <v>0.2</v>
      </c>
      <c r="T902">
        <v>0.02</v>
      </c>
      <c r="U902" s="8">
        <f>Table3[[#This Row],[PrimaNeta]]*Table3[[#This Row],[Comisión]]</f>
        <v>820.75374792000002</v>
      </c>
      <c r="V902" s="15">
        <f>Table3[[#This Row],[PrimaComercial Anual]]-Table3[[#This Row],[PrimaComercial Anual]]*SUM(Table3[[#This Row],[APS]:[IVA]])</f>
        <v>4103.7687396000001</v>
      </c>
      <c r="W902" s="2">
        <v>1.4800000000000001E-2</v>
      </c>
      <c r="X902" s="2">
        <v>8.4501000000000007E-2</v>
      </c>
      <c r="Y902">
        <v>0.03</v>
      </c>
      <c r="Z902">
        <v>0.13</v>
      </c>
      <c r="AA902" s="20">
        <f>Table3[[#This Row],[APS]]*Table3[[#This Row],[PrimaComercial Anual]]</f>
        <v>81.997919999999993</v>
      </c>
      <c r="AB902" s="8">
        <f>Table3[[#This Row],[PrimaComercial Anual]]*Table3[[#This Row],[Recargo adicional]]</f>
        <v>468.16934040000001</v>
      </c>
      <c r="AC902" s="8">
        <f>Table3[[#This Row],[PrimaComercial Anual]]*Table3[[#This Row],[IT]]</f>
        <v>166.21199999999999</v>
      </c>
      <c r="AD902" s="8">
        <f>Table3[[#This Row],[PrimaComercial Anual]]*Table3[[#This Row],[IVA]]</f>
        <v>720.25199999999995</v>
      </c>
      <c r="AE902" s="15">
        <f>Table3[[#This Row],[PrimaComercial Anual Asistencia]]</f>
        <v>5540.4</v>
      </c>
      <c r="AF902">
        <v>1675.8</v>
      </c>
      <c r="AG902">
        <v>5540.4</v>
      </c>
    </row>
    <row r="903" spans="1:33" x14ac:dyDescent="0.25">
      <c r="A903" t="s">
        <v>19</v>
      </c>
      <c r="B903">
        <v>700001</v>
      </c>
      <c r="C903">
        <v>27</v>
      </c>
      <c r="D903" s="2">
        <f>Table3[[#This Row],[PrimaTécnica]]-Table3[[#This Row],[PrimaTécnica]]*SUM(Table3[[#This Row],[Gastos Adm]:[Cobranza]])</f>
        <v>2403.6150775104002</v>
      </c>
      <c r="E903">
        <v>754.47197279999989</v>
      </c>
      <c r="F903">
        <v>0.15</v>
      </c>
      <c r="G903">
        <v>0.05</v>
      </c>
      <c r="H903">
        <v>0.01</v>
      </c>
      <c r="I903">
        <v>0.01</v>
      </c>
      <c r="J903" s="8">
        <f>Table3[[#This Row],[PrimaTécnica]]*Table3[[#This Row],[Gastos Adm]]</f>
        <v>462.23366875200003</v>
      </c>
      <c r="K903" s="8">
        <f>Table3[[#This Row],[PrimaTécnica]]*Table3[[#This Row],[Utilidad]]</f>
        <v>154.07788958400002</v>
      </c>
      <c r="L903" s="8">
        <f>Table3[[#This Row],[PrimaTécnica]]*Table3[[#This Row],[Marketing]]</f>
        <v>30.815577916800002</v>
      </c>
      <c r="M903" s="8">
        <f>Table3[[#This Row],[PrimaTécnica]]*Table3[[#This Row],[Cobranza]]</f>
        <v>30.815577916800002</v>
      </c>
      <c r="N90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903">
        <v>21.84</v>
      </c>
      <c r="P903">
        <v>54.6</v>
      </c>
      <c r="Q903">
        <v>80.64</v>
      </c>
      <c r="R903">
        <v>44.377200000000002</v>
      </c>
      <c r="S903">
        <v>0.2</v>
      </c>
      <c r="T903">
        <v>0.02</v>
      </c>
      <c r="U903" s="8">
        <f>Table3[[#This Row],[PrimaNeta]]*Table3[[#This Row],[Comisión]]</f>
        <v>820.75374792000002</v>
      </c>
      <c r="V903" s="15">
        <f>Table3[[#This Row],[PrimaComercial Anual]]-Table3[[#This Row],[PrimaComercial Anual]]*SUM(Table3[[#This Row],[APS]:[IVA]])</f>
        <v>4103.7687396000001</v>
      </c>
      <c r="W903" s="2">
        <v>1.4800000000000001E-2</v>
      </c>
      <c r="X903" s="2">
        <v>8.4501000000000007E-2</v>
      </c>
      <c r="Y903">
        <v>0.03</v>
      </c>
      <c r="Z903">
        <v>0.13</v>
      </c>
      <c r="AA903" s="20">
        <f>Table3[[#This Row],[APS]]*Table3[[#This Row],[PrimaComercial Anual]]</f>
        <v>81.997919999999993</v>
      </c>
      <c r="AB903" s="8">
        <f>Table3[[#This Row],[PrimaComercial Anual]]*Table3[[#This Row],[Recargo adicional]]</f>
        <v>468.16934040000001</v>
      </c>
      <c r="AC903" s="8">
        <f>Table3[[#This Row],[PrimaComercial Anual]]*Table3[[#This Row],[IT]]</f>
        <v>166.21199999999999</v>
      </c>
      <c r="AD903" s="8">
        <f>Table3[[#This Row],[PrimaComercial Anual]]*Table3[[#This Row],[IVA]]</f>
        <v>720.25199999999995</v>
      </c>
      <c r="AE903" s="15">
        <f>Table3[[#This Row],[PrimaComercial Anual Asistencia]]</f>
        <v>5540.4</v>
      </c>
      <c r="AF903">
        <v>1675.8</v>
      </c>
      <c r="AG903">
        <v>5540.4</v>
      </c>
    </row>
    <row r="904" spans="1:33" x14ac:dyDescent="0.25">
      <c r="A904" t="s">
        <v>19</v>
      </c>
      <c r="B904">
        <v>700001</v>
      </c>
      <c r="C904">
        <v>28</v>
      </c>
      <c r="D904" s="2">
        <f>Table3[[#This Row],[PrimaTécnica]]-Table3[[#This Row],[PrimaTécnica]]*SUM(Table3[[#This Row],[Gastos Adm]:[Cobranza]])</f>
        <v>2403.6150775104002</v>
      </c>
      <c r="E904">
        <v>754.47197279999989</v>
      </c>
      <c r="F904">
        <v>0.15</v>
      </c>
      <c r="G904">
        <v>0.05</v>
      </c>
      <c r="H904">
        <v>0.01</v>
      </c>
      <c r="I904">
        <v>0.01</v>
      </c>
      <c r="J904" s="8">
        <f>Table3[[#This Row],[PrimaTécnica]]*Table3[[#This Row],[Gastos Adm]]</f>
        <v>462.23366875200003</v>
      </c>
      <c r="K904" s="8">
        <f>Table3[[#This Row],[PrimaTécnica]]*Table3[[#This Row],[Utilidad]]</f>
        <v>154.07788958400002</v>
      </c>
      <c r="L904" s="8">
        <f>Table3[[#This Row],[PrimaTécnica]]*Table3[[#This Row],[Marketing]]</f>
        <v>30.815577916800002</v>
      </c>
      <c r="M904" s="8">
        <f>Table3[[#This Row],[PrimaTécnica]]*Table3[[#This Row],[Cobranza]]</f>
        <v>30.815577916800002</v>
      </c>
      <c r="N90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904">
        <v>21.84</v>
      </c>
      <c r="P904">
        <v>54.6</v>
      </c>
      <c r="Q904">
        <v>80.64</v>
      </c>
      <c r="R904">
        <v>44.377200000000002</v>
      </c>
      <c r="S904">
        <v>0.2</v>
      </c>
      <c r="T904">
        <v>0.02</v>
      </c>
      <c r="U904" s="8">
        <f>Table3[[#This Row],[PrimaNeta]]*Table3[[#This Row],[Comisión]]</f>
        <v>820.75374792000002</v>
      </c>
      <c r="V904" s="15">
        <f>Table3[[#This Row],[PrimaComercial Anual]]-Table3[[#This Row],[PrimaComercial Anual]]*SUM(Table3[[#This Row],[APS]:[IVA]])</f>
        <v>4103.7687396000001</v>
      </c>
      <c r="W904" s="2">
        <v>1.4800000000000001E-2</v>
      </c>
      <c r="X904" s="2">
        <v>8.4501000000000007E-2</v>
      </c>
      <c r="Y904">
        <v>0.03</v>
      </c>
      <c r="Z904">
        <v>0.13</v>
      </c>
      <c r="AA904" s="20">
        <f>Table3[[#This Row],[APS]]*Table3[[#This Row],[PrimaComercial Anual]]</f>
        <v>81.997919999999993</v>
      </c>
      <c r="AB904" s="8">
        <f>Table3[[#This Row],[PrimaComercial Anual]]*Table3[[#This Row],[Recargo adicional]]</f>
        <v>468.16934040000001</v>
      </c>
      <c r="AC904" s="8">
        <f>Table3[[#This Row],[PrimaComercial Anual]]*Table3[[#This Row],[IT]]</f>
        <v>166.21199999999999</v>
      </c>
      <c r="AD904" s="8">
        <f>Table3[[#This Row],[PrimaComercial Anual]]*Table3[[#This Row],[IVA]]</f>
        <v>720.25199999999995</v>
      </c>
      <c r="AE904" s="15">
        <f>Table3[[#This Row],[PrimaComercial Anual Asistencia]]</f>
        <v>5540.4</v>
      </c>
      <c r="AF904">
        <v>1675.8</v>
      </c>
      <c r="AG904">
        <v>5540.4</v>
      </c>
    </row>
    <row r="905" spans="1:33" x14ac:dyDescent="0.25">
      <c r="A905" t="s">
        <v>19</v>
      </c>
      <c r="B905">
        <v>700001</v>
      </c>
      <c r="C905">
        <v>29</v>
      </c>
      <c r="D905" s="2">
        <f>Table3[[#This Row],[PrimaTécnica]]-Table3[[#This Row],[PrimaTécnica]]*SUM(Table3[[#This Row],[Gastos Adm]:[Cobranza]])</f>
        <v>2403.6150775104002</v>
      </c>
      <c r="E905">
        <v>754.47197279999989</v>
      </c>
      <c r="F905">
        <v>0.15</v>
      </c>
      <c r="G905">
        <v>0.05</v>
      </c>
      <c r="H905">
        <v>0.01</v>
      </c>
      <c r="I905">
        <v>0.01</v>
      </c>
      <c r="J905" s="8">
        <f>Table3[[#This Row],[PrimaTécnica]]*Table3[[#This Row],[Gastos Adm]]</f>
        <v>462.23366875200003</v>
      </c>
      <c r="K905" s="8">
        <f>Table3[[#This Row],[PrimaTécnica]]*Table3[[#This Row],[Utilidad]]</f>
        <v>154.07788958400002</v>
      </c>
      <c r="L905" s="8">
        <f>Table3[[#This Row],[PrimaTécnica]]*Table3[[#This Row],[Marketing]]</f>
        <v>30.815577916800002</v>
      </c>
      <c r="M905" s="8">
        <f>Table3[[#This Row],[PrimaTécnica]]*Table3[[#This Row],[Cobranza]]</f>
        <v>30.815577916800002</v>
      </c>
      <c r="N90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905">
        <v>21.84</v>
      </c>
      <c r="P905">
        <v>54.6</v>
      </c>
      <c r="Q905">
        <v>80.64</v>
      </c>
      <c r="R905">
        <v>44.377200000000002</v>
      </c>
      <c r="S905">
        <v>0.2</v>
      </c>
      <c r="T905">
        <v>0.02</v>
      </c>
      <c r="U905" s="8">
        <f>Table3[[#This Row],[PrimaNeta]]*Table3[[#This Row],[Comisión]]</f>
        <v>820.75374792000002</v>
      </c>
      <c r="V905" s="15">
        <f>Table3[[#This Row],[PrimaComercial Anual]]-Table3[[#This Row],[PrimaComercial Anual]]*SUM(Table3[[#This Row],[APS]:[IVA]])</f>
        <v>4103.7687396000001</v>
      </c>
      <c r="W905" s="2">
        <v>1.4800000000000001E-2</v>
      </c>
      <c r="X905" s="2">
        <v>8.4501000000000007E-2</v>
      </c>
      <c r="Y905">
        <v>0.03</v>
      </c>
      <c r="Z905">
        <v>0.13</v>
      </c>
      <c r="AA905" s="20">
        <f>Table3[[#This Row],[APS]]*Table3[[#This Row],[PrimaComercial Anual]]</f>
        <v>81.997919999999993</v>
      </c>
      <c r="AB905" s="8">
        <f>Table3[[#This Row],[PrimaComercial Anual]]*Table3[[#This Row],[Recargo adicional]]</f>
        <v>468.16934040000001</v>
      </c>
      <c r="AC905" s="8">
        <f>Table3[[#This Row],[PrimaComercial Anual]]*Table3[[#This Row],[IT]]</f>
        <v>166.21199999999999</v>
      </c>
      <c r="AD905" s="8">
        <f>Table3[[#This Row],[PrimaComercial Anual]]*Table3[[#This Row],[IVA]]</f>
        <v>720.25199999999995</v>
      </c>
      <c r="AE905" s="15">
        <f>Table3[[#This Row],[PrimaComercial Anual Asistencia]]</f>
        <v>5540.4</v>
      </c>
      <c r="AF905">
        <v>1675.8</v>
      </c>
      <c r="AG905">
        <v>5540.4</v>
      </c>
    </row>
    <row r="906" spans="1:33" x14ac:dyDescent="0.25">
      <c r="A906" t="s">
        <v>19</v>
      </c>
      <c r="B906">
        <v>700001</v>
      </c>
      <c r="C906">
        <v>30</v>
      </c>
      <c r="D906" s="2">
        <f>Table3[[#This Row],[PrimaTécnica]]-Table3[[#This Row],[PrimaTécnica]]*SUM(Table3[[#This Row],[Gastos Adm]:[Cobranza]])</f>
        <v>2477.3815872000005</v>
      </c>
      <c r="E906">
        <v>1077.817104</v>
      </c>
      <c r="F906">
        <v>0.15</v>
      </c>
      <c r="G906">
        <v>0.05</v>
      </c>
      <c r="H906">
        <v>0.01</v>
      </c>
      <c r="I906">
        <v>0.01</v>
      </c>
      <c r="J906" s="8">
        <f>Table3[[#This Row],[PrimaTécnica]]*Table3[[#This Row],[Gastos Adm]]</f>
        <v>476.41953600000005</v>
      </c>
      <c r="K906" s="8">
        <f>Table3[[#This Row],[PrimaTécnica]]*Table3[[#This Row],[Utilidad]]</f>
        <v>158.80651200000003</v>
      </c>
      <c r="L906" s="8">
        <f>Table3[[#This Row],[PrimaTécnica]]*Table3[[#This Row],[Marketing]]</f>
        <v>31.761302400000005</v>
      </c>
      <c r="M906" s="8">
        <f>Table3[[#This Row],[PrimaTécnica]]*Table3[[#This Row],[Cobranza]]</f>
        <v>31.761302400000005</v>
      </c>
      <c r="N90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3176.1302400000004</v>
      </c>
      <c r="O906">
        <v>21.84</v>
      </c>
      <c r="P906">
        <v>54.6</v>
      </c>
      <c r="Q906">
        <v>80.64</v>
      </c>
      <c r="R906">
        <v>44.377200000000002</v>
      </c>
      <c r="S906">
        <v>0.2</v>
      </c>
      <c r="T906">
        <v>0.02</v>
      </c>
      <c r="U906" s="8">
        <f>Table3[[#This Row],[PrimaNeta]]*Table3[[#This Row],[Comisión]]</f>
        <v>844.39686000000006</v>
      </c>
      <c r="V906" s="15">
        <f>Table3[[#This Row],[PrimaComercial Anual]]-Table3[[#This Row],[PrimaComercial Anual]]*SUM(Table3[[#This Row],[APS]:[IVA]])</f>
        <v>4221.9843000000001</v>
      </c>
      <c r="W906" s="2">
        <v>1.4800000000000001E-2</v>
      </c>
      <c r="X906" s="2">
        <v>8.4501000000000007E-2</v>
      </c>
      <c r="Y906">
        <v>0.03</v>
      </c>
      <c r="Z906">
        <v>0.13</v>
      </c>
      <c r="AA906" s="20">
        <f>Table3[[#This Row],[APS]]*Table3[[#This Row],[PrimaComercial Anual]]</f>
        <v>84.36</v>
      </c>
      <c r="AB906" s="8">
        <f>Table3[[#This Row],[PrimaComercial Anual]]*Table3[[#This Row],[Recargo adicional]]</f>
        <v>481.65570000000002</v>
      </c>
      <c r="AC906" s="8">
        <f>Table3[[#This Row],[PrimaComercial Anual]]*Table3[[#This Row],[IT]]</f>
        <v>171</v>
      </c>
      <c r="AD906" s="8">
        <f>Table3[[#This Row],[PrimaComercial Anual]]*Table3[[#This Row],[IVA]]</f>
        <v>741</v>
      </c>
      <c r="AE906" s="15">
        <f>Table3[[#This Row],[PrimaComercial Anual Asistencia]]</f>
        <v>5700</v>
      </c>
      <c r="AF906">
        <v>2394</v>
      </c>
      <c r="AG906">
        <v>5700</v>
      </c>
    </row>
    <row r="907" spans="1:33" x14ac:dyDescent="0.25">
      <c r="A907" t="s">
        <v>19</v>
      </c>
      <c r="B907">
        <v>700001</v>
      </c>
      <c r="C907">
        <v>31</v>
      </c>
      <c r="D907" s="2">
        <f>Table3[[#This Row],[PrimaTécnica]]-Table3[[#This Row],[PrimaTécnica]]*SUM(Table3[[#This Row],[Gastos Adm]:[Cobranza]])</f>
        <v>2477.3815872000005</v>
      </c>
      <c r="E907">
        <v>1077.817104</v>
      </c>
      <c r="F907">
        <v>0.15</v>
      </c>
      <c r="G907">
        <v>0.05</v>
      </c>
      <c r="H907">
        <v>0.01</v>
      </c>
      <c r="I907">
        <v>0.01</v>
      </c>
      <c r="J907" s="8">
        <f>Table3[[#This Row],[PrimaTécnica]]*Table3[[#This Row],[Gastos Adm]]</f>
        <v>476.41953600000005</v>
      </c>
      <c r="K907" s="8">
        <f>Table3[[#This Row],[PrimaTécnica]]*Table3[[#This Row],[Utilidad]]</f>
        <v>158.80651200000003</v>
      </c>
      <c r="L907" s="8">
        <f>Table3[[#This Row],[PrimaTécnica]]*Table3[[#This Row],[Marketing]]</f>
        <v>31.761302400000005</v>
      </c>
      <c r="M907" s="8">
        <f>Table3[[#This Row],[PrimaTécnica]]*Table3[[#This Row],[Cobranza]]</f>
        <v>31.761302400000005</v>
      </c>
      <c r="N90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3176.1302400000004</v>
      </c>
      <c r="O907">
        <v>21.84</v>
      </c>
      <c r="P907">
        <v>54.6</v>
      </c>
      <c r="Q907">
        <v>80.64</v>
      </c>
      <c r="R907">
        <v>44.377200000000002</v>
      </c>
      <c r="S907">
        <v>0.2</v>
      </c>
      <c r="T907">
        <v>0.02</v>
      </c>
      <c r="U907" s="8">
        <f>Table3[[#This Row],[PrimaNeta]]*Table3[[#This Row],[Comisión]]</f>
        <v>844.39686000000006</v>
      </c>
      <c r="V907" s="15">
        <f>Table3[[#This Row],[PrimaComercial Anual]]-Table3[[#This Row],[PrimaComercial Anual]]*SUM(Table3[[#This Row],[APS]:[IVA]])</f>
        <v>4221.9843000000001</v>
      </c>
      <c r="W907" s="2">
        <v>1.4800000000000001E-2</v>
      </c>
      <c r="X907" s="2">
        <v>8.4501000000000007E-2</v>
      </c>
      <c r="Y907">
        <v>0.03</v>
      </c>
      <c r="Z907">
        <v>0.13</v>
      </c>
      <c r="AA907" s="20">
        <f>Table3[[#This Row],[APS]]*Table3[[#This Row],[PrimaComercial Anual]]</f>
        <v>84.36</v>
      </c>
      <c r="AB907" s="8">
        <f>Table3[[#This Row],[PrimaComercial Anual]]*Table3[[#This Row],[Recargo adicional]]</f>
        <v>481.65570000000002</v>
      </c>
      <c r="AC907" s="8">
        <f>Table3[[#This Row],[PrimaComercial Anual]]*Table3[[#This Row],[IT]]</f>
        <v>171</v>
      </c>
      <c r="AD907" s="8">
        <f>Table3[[#This Row],[PrimaComercial Anual]]*Table3[[#This Row],[IVA]]</f>
        <v>741</v>
      </c>
      <c r="AE907" s="15">
        <f>Table3[[#This Row],[PrimaComercial Anual Asistencia]]</f>
        <v>5700</v>
      </c>
      <c r="AF907">
        <v>2394</v>
      </c>
      <c r="AG907">
        <v>5700</v>
      </c>
    </row>
    <row r="908" spans="1:33" x14ac:dyDescent="0.25">
      <c r="A908" t="s">
        <v>19</v>
      </c>
      <c r="B908">
        <v>700001</v>
      </c>
      <c r="C908">
        <v>32</v>
      </c>
      <c r="D908" s="2">
        <f>Table3[[#This Row],[PrimaTécnica]]-Table3[[#This Row],[PrimaTécnica]]*SUM(Table3[[#This Row],[Gastos Adm]:[Cobranza]])</f>
        <v>2477.3815872000005</v>
      </c>
      <c r="E908">
        <v>1077.817104</v>
      </c>
      <c r="F908">
        <v>0.15</v>
      </c>
      <c r="G908">
        <v>0.05</v>
      </c>
      <c r="H908">
        <v>0.01</v>
      </c>
      <c r="I908">
        <v>0.01</v>
      </c>
      <c r="J908" s="8">
        <f>Table3[[#This Row],[PrimaTécnica]]*Table3[[#This Row],[Gastos Adm]]</f>
        <v>476.41953600000005</v>
      </c>
      <c r="K908" s="8">
        <f>Table3[[#This Row],[PrimaTécnica]]*Table3[[#This Row],[Utilidad]]</f>
        <v>158.80651200000003</v>
      </c>
      <c r="L908" s="8">
        <f>Table3[[#This Row],[PrimaTécnica]]*Table3[[#This Row],[Marketing]]</f>
        <v>31.761302400000005</v>
      </c>
      <c r="M908" s="8">
        <f>Table3[[#This Row],[PrimaTécnica]]*Table3[[#This Row],[Cobranza]]</f>
        <v>31.761302400000005</v>
      </c>
      <c r="N90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3176.1302400000004</v>
      </c>
      <c r="O908">
        <v>21.84</v>
      </c>
      <c r="P908">
        <v>54.6</v>
      </c>
      <c r="Q908">
        <v>80.64</v>
      </c>
      <c r="R908">
        <v>44.377200000000002</v>
      </c>
      <c r="S908">
        <v>0.2</v>
      </c>
      <c r="T908">
        <v>0.02</v>
      </c>
      <c r="U908" s="8">
        <f>Table3[[#This Row],[PrimaNeta]]*Table3[[#This Row],[Comisión]]</f>
        <v>844.39686000000006</v>
      </c>
      <c r="V908" s="15">
        <f>Table3[[#This Row],[PrimaComercial Anual]]-Table3[[#This Row],[PrimaComercial Anual]]*SUM(Table3[[#This Row],[APS]:[IVA]])</f>
        <v>4221.9843000000001</v>
      </c>
      <c r="W908" s="2">
        <v>1.4800000000000001E-2</v>
      </c>
      <c r="X908" s="2">
        <v>8.4501000000000007E-2</v>
      </c>
      <c r="Y908">
        <v>0.03</v>
      </c>
      <c r="Z908">
        <v>0.13</v>
      </c>
      <c r="AA908" s="20">
        <f>Table3[[#This Row],[APS]]*Table3[[#This Row],[PrimaComercial Anual]]</f>
        <v>84.36</v>
      </c>
      <c r="AB908" s="8">
        <f>Table3[[#This Row],[PrimaComercial Anual]]*Table3[[#This Row],[Recargo adicional]]</f>
        <v>481.65570000000002</v>
      </c>
      <c r="AC908" s="8">
        <f>Table3[[#This Row],[PrimaComercial Anual]]*Table3[[#This Row],[IT]]</f>
        <v>171</v>
      </c>
      <c r="AD908" s="8">
        <f>Table3[[#This Row],[PrimaComercial Anual]]*Table3[[#This Row],[IVA]]</f>
        <v>741</v>
      </c>
      <c r="AE908" s="15">
        <f>Table3[[#This Row],[PrimaComercial Anual Asistencia]]</f>
        <v>5700</v>
      </c>
      <c r="AF908">
        <v>2394</v>
      </c>
      <c r="AG908">
        <v>5700</v>
      </c>
    </row>
    <row r="909" spans="1:33" x14ac:dyDescent="0.25">
      <c r="A909" t="s">
        <v>19</v>
      </c>
      <c r="B909">
        <v>700001</v>
      </c>
      <c r="C909">
        <v>33</v>
      </c>
      <c r="D909" s="2">
        <f>Table3[[#This Row],[PrimaTécnica]]-Table3[[#This Row],[PrimaTécnica]]*SUM(Table3[[#This Row],[Gastos Adm]:[Cobranza]])</f>
        <v>2477.3815872000005</v>
      </c>
      <c r="E909">
        <v>1077.817104</v>
      </c>
      <c r="F909">
        <v>0.15</v>
      </c>
      <c r="G909">
        <v>0.05</v>
      </c>
      <c r="H909">
        <v>0.01</v>
      </c>
      <c r="I909">
        <v>0.01</v>
      </c>
      <c r="J909" s="8">
        <f>Table3[[#This Row],[PrimaTécnica]]*Table3[[#This Row],[Gastos Adm]]</f>
        <v>476.41953600000005</v>
      </c>
      <c r="K909" s="8">
        <f>Table3[[#This Row],[PrimaTécnica]]*Table3[[#This Row],[Utilidad]]</f>
        <v>158.80651200000003</v>
      </c>
      <c r="L909" s="8">
        <f>Table3[[#This Row],[PrimaTécnica]]*Table3[[#This Row],[Marketing]]</f>
        <v>31.761302400000005</v>
      </c>
      <c r="M909" s="8">
        <f>Table3[[#This Row],[PrimaTécnica]]*Table3[[#This Row],[Cobranza]]</f>
        <v>31.761302400000005</v>
      </c>
      <c r="N90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3176.1302400000004</v>
      </c>
      <c r="O909">
        <v>21.84</v>
      </c>
      <c r="P909">
        <v>54.6</v>
      </c>
      <c r="Q909">
        <v>80.64</v>
      </c>
      <c r="R909">
        <v>44.377200000000002</v>
      </c>
      <c r="S909">
        <v>0.2</v>
      </c>
      <c r="T909">
        <v>0.02</v>
      </c>
      <c r="U909" s="8">
        <f>Table3[[#This Row],[PrimaNeta]]*Table3[[#This Row],[Comisión]]</f>
        <v>844.39686000000006</v>
      </c>
      <c r="V909" s="15">
        <f>Table3[[#This Row],[PrimaComercial Anual]]-Table3[[#This Row],[PrimaComercial Anual]]*SUM(Table3[[#This Row],[APS]:[IVA]])</f>
        <v>4221.9843000000001</v>
      </c>
      <c r="W909" s="2">
        <v>1.4800000000000001E-2</v>
      </c>
      <c r="X909" s="2">
        <v>8.4501000000000007E-2</v>
      </c>
      <c r="Y909">
        <v>0.03</v>
      </c>
      <c r="Z909">
        <v>0.13</v>
      </c>
      <c r="AA909" s="20">
        <f>Table3[[#This Row],[APS]]*Table3[[#This Row],[PrimaComercial Anual]]</f>
        <v>84.36</v>
      </c>
      <c r="AB909" s="8">
        <f>Table3[[#This Row],[PrimaComercial Anual]]*Table3[[#This Row],[Recargo adicional]]</f>
        <v>481.65570000000002</v>
      </c>
      <c r="AC909" s="8">
        <f>Table3[[#This Row],[PrimaComercial Anual]]*Table3[[#This Row],[IT]]</f>
        <v>171</v>
      </c>
      <c r="AD909" s="8">
        <f>Table3[[#This Row],[PrimaComercial Anual]]*Table3[[#This Row],[IVA]]</f>
        <v>741</v>
      </c>
      <c r="AE909" s="15">
        <f>Table3[[#This Row],[PrimaComercial Anual Asistencia]]</f>
        <v>5700</v>
      </c>
      <c r="AF909">
        <v>2394</v>
      </c>
      <c r="AG909">
        <v>5700</v>
      </c>
    </row>
    <row r="910" spans="1:33" x14ac:dyDescent="0.25">
      <c r="A910" t="s">
        <v>19</v>
      </c>
      <c r="B910">
        <v>700001</v>
      </c>
      <c r="C910">
        <v>34</v>
      </c>
      <c r="D910" s="2">
        <f>Table3[[#This Row],[PrimaTécnica]]-Table3[[#This Row],[PrimaTécnica]]*SUM(Table3[[#This Row],[Gastos Adm]:[Cobranza]])</f>
        <v>2477.3815872000005</v>
      </c>
      <c r="E910">
        <v>1077.817104</v>
      </c>
      <c r="F910">
        <v>0.15</v>
      </c>
      <c r="G910">
        <v>0.05</v>
      </c>
      <c r="H910">
        <v>0.01</v>
      </c>
      <c r="I910">
        <v>0.01</v>
      </c>
      <c r="J910" s="8">
        <f>Table3[[#This Row],[PrimaTécnica]]*Table3[[#This Row],[Gastos Adm]]</f>
        <v>476.41953600000005</v>
      </c>
      <c r="K910" s="8">
        <f>Table3[[#This Row],[PrimaTécnica]]*Table3[[#This Row],[Utilidad]]</f>
        <v>158.80651200000003</v>
      </c>
      <c r="L910" s="8">
        <f>Table3[[#This Row],[PrimaTécnica]]*Table3[[#This Row],[Marketing]]</f>
        <v>31.761302400000005</v>
      </c>
      <c r="M910" s="8">
        <f>Table3[[#This Row],[PrimaTécnica]]*Table3[[#This Row],[Cobranza]]</f>
        <v>31.761302400000005</v>
      </c>
      <c r="N91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3176.1302400000004</v>
      </c>
      <c r="O910">
        <v>21.84</v>
      </c>
      <c r="P910">
        <v>54.6</v>
      </c>
      <c r="Q910">
        <v>80.64</v>
      </c>
      <c r="R910">
        <v>44.377200000000002</v>
      </c>
      <c r="S910">
        <v>0.2</v>
      </c>
      <c r="T910">
        <v>0.02</v>
      </c>
      <c r="U910" s="8">
        <f>Table3[[#This Row],[PrimaNeta]]*Table3[[#This Row],[Comisión]]</f>
        <v>844.39686000000006</v>
      </c>
      <c r="V910" s="15">
        <f>Table3[[#This Row],[PrimaComercial Anual]]-Table3[[#This Row],[PrimaComercial Anual]]*SUM(Table3[[#This Row],[APS]:[IVA]])</f>
        <v>4221.9843000000001</v>
      </c>
      <c r="W910" s="2">
        <v>1.4800000000000001E-2</v>
      </c>
      <c r="X910" s="2">
        <v>8.4501000000000007E-2</v>
      </c>
      <c r="Y910">
        <v>0.03</v>
      </c>
      <c r="Z910">
        <v>0.13</v>
      </c>
      <c r="AA910" s="20">
        <f>Table3[[#This Row],[APS]]*Table3[[#This Row],[PrimaComercial Anual]]</f>
        <v>84.36</v>
      </c>
      <c r="AB910" s="8">
        <f>Table3[[#This Row],[PrimaComercial Anual]]*Table3[[#This Row],[Recargo adicional]]</f>
        <v>481.65570000000002</v>
      </c>
      <c r="AC910" s="8">
        <f>Table3[[#This Row],[PrimaComercial Anual]]*Table3[[#This Row],[IT]]</f>
        <v>171</v>
      </c>
      <c r="AD910" s="8">
        <f>Table3[[#This Row],[PrimaComercial Anual]]*Table3[[#This Row],[IVA]]</f>
        <v>741</v>
      </c>
      <c r="AE910" s="15">
        <f>Table3[[#This Row],[PrimaComercial Anual Asistencia]]</f>
        <v>5700</v>
      </c>
      <c r="AF910">
        <v>2394</v>
      </c>
      <c r="AG910">
        <v>5700</v>
      </c>
    </row>
    <row r="911" spans="1:33" x14ac:dyDescent="0.25">
      <c r="A911" t="s">
        <v>19</v>
      </c>
      <c r="B911">
        <v>700001</v>
      </c>
      <c r="C911">
        <v>35</v>
      </c>
      <c r="D911" s="2">
        <f>Table3[[#This Row],[PrimaTécnica]]-Table3[[#This Row],[PrimaTécnica]]*SUM(Table3[[#This Row],[Gastos Adm]:[Cobranza]])</f>
        <v>2477.3815872000005</v>
      </c>
      <c r="E911">
        <v>1077.817104</v>
      </c>
      <c r="F911">
        <v>0.15</v>
      </c>
      <c r="G911">
        <v>0.05</v>
      </c>
      <c r="H911">
        <v>0.01</v>
      </c>
      <c r="I911">
        <v>0.01</v>
      </c>
      <c r="J911" s="8">
        <f>Table3[[#This Row],[PrimaTécnica]]*Table3[[#This Row],[Gastos Adm]]</f>
        <v>476.41953600000005</v>
      </c>
      <c r="K911" s="8">
        <f>Table3[[#This Row],[PrimaTécnica]]*Table3[[#This Row],[Utilidad]]</f>
        <v>158.80651200000003</v>
      </c>
      <c r="L911" s="8">
        <f>Table3[[#This Row],[PrimaTécnica]]*Table3[[#This Row],[Marketing]]</f>
        <v>31.761302400000005</v>
      </c>
      <c r="M911" s="8">
        <f>Table3[[#This Row],[PrimaTécnica]]*Table3[[#This Row],[Cobranza]]</f>
        <v>31.761302400000005</v>
      </c>
      <c r="N91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3176.1302400000004</v>
      </c>
      <c r="O911">
        <v>21.84</v>
      </c>
      <c r="P911">
        <v>54.6</v>
      </c>
      <c r="Q911">
        <v>80.64</v>
      </c>
      <c r="R911">
        <v>44.377200000000002</v>
      </c>
      <c r="S911">
        <v>0.2</v>
      </c>
      <c r="T911">
        <v>0.02</v>
      </c>
      <c r="U911" s="8">
        <f>Table3[[#This Row],[PrimaNeta]]*Table3[[#This Row],[Comisión]]</f>
        <v>844.39686000000006</v>
      </c>
      <c r="V911" s="15">
        <f>Table3[[#This Row],[PrimaComercial Anual]]-Table3[[#This Row],[PrimaComercial Anual]]*SUM(Table3[[#This Row],[APS]:[IVA]])</f>
        <v>4221.9843000000001</v>
      </c>
      <c r="W911" s="2">
        <v>1.4800000000000001E-2</v>
      </c>
      <c r="X911" s="2">
        <v>8.4501000000000007E-2</v>
      </c>
      <c r="Y911">
        <v>0.03</v>
      </c>
      <c r="Z911">
        <v>0.13</v>
      </c>
      <c r="AA911" s="20">
        <f>Table3[[#This Row],[APS]]*Table3[[#This Row],[PrimaComercial Anual]]</f>
        <v>84.36</v>
      </c>
      <c r="AB911" s="8">
        <f>Table3[[#This Row],[PrimaComercial Anual]]*Table3[[#This Row],[Recargo adicional]]</f>
        <v>481.65570000000002</v>
      </c>
      <c r="AC911" s="8">
        <f>Table3[[#This Row],[PrimaComercial Anual]]*Table3[[#This Row],[IT]]</f>
        <v>171</v>
      </c>
      <c r="AD911" s="8">
        <f>Table3[[#This Row],[PrimaComercial Anual]]*Table3[[#This Row],[IVA]]</f>
        <v>741</v>
      </c>
      <c r="AE911" s="15">
        <f>Table3[[#This Row],[PrimaComercial Anual Asistencia]]</f>
        <v>5700</v>
      </c>
      <c r="AF911">
        <v>2394</v>
      </c>
      <c r="AG911">
        <v>5700</v>
      </c>
    </row>
    <row r="912" spans="1:33" x14ac:dyDescent="0.25">
      <c r="A912" t="s">
        <v>19</v>
      </c>
      <c r="B912">
        <v>700001</v>
      </c>
      <c r="C912">
        <v>36</v>
      </c>
      <c r="D912" s="2">
        <f>Table3[[#This Row],[PrimaTécnica]]-Table3[[#This Row],[PrimaTécnica]]*SUM(Table3[[#This Row],[Gastos Adm]:[Cobranza]])</f>
        <v>2477.3815872000005</v>
      </c>
      <c r="E912">
        <v>1077.817104</v>
      </c>
      <c r="F912">
        <v>0.15</v>
      </c>
      <c r="G912">
        <v>0.05</v>
      </c>
      <c r="H912">
        <v>0.01</v>
      </c>
      <c r="I912">
        <v>0.01</v>
      </c>
      <c r="J912" s="8">
        <f>Table3[[#This Row],[PrimaTécnica]]*Table3[[#This Row],[Gastos Adm]]</f>
        <v>476.41953600000005</v>
      </c>
      <c r="K912" s="8">
        <f>Table3[[#This Row],[PrimaTécnica]]*Table3[[#This Row],[Utilidad]]</f>
        <v>158.80651200000003</v>
      </c>
      <c r="L912" s="8">
        <f>Table3[[#This Row],[PrimaTécnica]]*Table3[[#This Row],[Marketing]]</f>
        <v>31.761302400000005</v>
      </c>
      <c r="M912" s="8">
        <f>Table3[[#This Row],[PrimaTécnica]]*Table3[[#This Row],[Cobranza]]</f>
        <v>31.761302400000005</v>
      </c>
      <c r="N91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3176.1302400000004</v>
      </c>
      <c r="O912">
        <v>21.84</v>
      </c>
      <c r="P912">
        <v>54.6</v>
      </c>
      <c r="Q912">
        <v>80.64</v>
      </c>
      <c r="R912">
        <v>44.377200000000002</v>
      </c>
      <c r="S912">
        <v>0.2</v>
      </c>
      <c r="T912">
        <v>0.02</v>
      </c>
      <c r="U912" s="8">
        <f>Table3[[#This Row],[PrimaNeta]]*Table3[[#This Row],[Comisión]]</f>
        <v>844.39686000000006</v>
      </c>
      <c r="V912" s="15">
        <f>Table3[[#This Row],[PrimaComercial Anual]]-Table3[[#This Row],[PrimaComercial Anual]]*SUM(Table3[[#This Row],[APS]:[IVA]])</f>
        <v>4221.9843000000001</v>
      </c>
      <c r="W912" s="2">
        <v>1.4800000000000001E-2</v>
      </c>
      <c r="X912" s="2">
        <v>8.4501000000000007E-2</v>
      </c>
      <c r="Y912">
        <v>0.03</v>
      </c>
      <c r="Z912">
        <v>0.13</v>
      </c>
      <c r="AA912" s="20">
        <f>Table3[[#This Row],[APS]]*Table3[[#This Row],[PrimaComercial Anual]]</f>
        <v>84.36</v>
      </c>
      <c r="AB912" s="8">
        <f>Table3[[#This Row],[PrimaComercial Anual]]*Table3[[#This Row],[Recargo adicional]]</f>
        <v>481.65570000000002</v>
      </c>
      <c r="AC912" s="8">
        <f>Table3[[#This Row],[PrimaComercial Anual]]*Table3[[#This Row],[IT]]</f>
        <v>171</v>
      </c>
      <c r="AD912" s="8">
        <f>Table3[[#This Row],[PrimaComercial Anual]]*Table3[[#This Row],[IVA]]</f>
        <v>741</v>
      </c>
      <c r="AE912" s="15">
        <f>Table3[[#This Row],[PrimaComercial Anual Asistencia]]</f>
        <v>5700</v>
      </c>
      <c r="AF912">
        <v>2394</v>
      </c>
      <c r="AG912">
        <v>5700</v>
      </c>
    </row>
    <row r="913" spans="1:33" x14ac:dyDescent="0.25">
      <c r="A913" t="s">
        <v>19</v>
      </c>
      <c r="B913">
        <v>700001</v>
      </c>
      <c r="C913">
        <v>37</v>
      </c>
      <c r="D913" s="2">
        <f>Table3[[#This Row],[PrimaTécnica]]-Table3[[#This Row],[PrimaTécnica]]*SUM(Table3[[#This Row],[Gastos Adm]:[Cobranza]])</f>
        <v>2477.3815872000005</v>
      </c>
      <c r="E913">
        <v>1077.817104</v>
      </c>
      <c r="F913">
        <v>0.15</v>
      </c>
      <c r="G913">
        <v>0.05</v>
      </c>
      <c r="H913">
        <v>0.01</v>
      </c>
      <c r="I913">
        <v>0.01</v>
      </c>
      <c r="J913" s="8">
        <f>Table3[[#This Row],[PrimaTécnica]]*Table3[[#This Row],[Gastos Adm]]</f>
        <v>476.41953600000005</v>
      </c>
      <c r="K913" s="8">
        <f>Table3[[#This Row],[PrimaTécnica]]*Table3[[#This Row],[Utilidad]]</f>
        <v>158.80651200000003</v>
      </c>
      <c r="L913" s="8">
        <f>Table3[[#This Row],[PrimaTécnica]]*Table3[[#This Row],[Marketing]]</f>
        <v>31.761302400000005</v>
      </c>
      <c r="M913" s="8">
        <f>Table3[[#This Row],[PrimaTécnica]]*Table3[[#This Row],[Cobranza]]</f>
        <v>31.761302400000005</v>
      </c>
      <c r="N91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3176.1302400000004</v>
      </c>
      <c r="O913">
        <v>21.84</v>
      </c>
      <c r="P913">
        <v>54.6</v>
      </c>
      <c r="Q913">
        <v>80.64</v>
      </c>
      <c r="R913">
        <v>44.377200000000002</v>
      </c>
      <c r="S913">
        <v>0.2</v>
      </c>
      <c r="T913">
        <v>0.02</v>
      </c>
      <c r="U913" s="8">
        <f>Table3[[#This Row],[PrimaNeta]]*Table3[[#This Row],[Comisión]]</f>
        <v>844.39686000000006</v>
      </c>
      <c r="V913" s="15">
        <f>Table3[[#This Row],[PrimaComercial Anual]]-Table3[[#This Row],[PrimaComercial Anual]]*SUM(Table3[[#This Row],[APS]:[IVA]])</f>
        <v>4221.9843000000001</v>
      </c>
      <c r="W913" s="2">
        <v>1.4800000000000001E-2</v>
      </c>
      <c r="X913" s="2">
        <v>8.4501000000000007E-2</v>
      </c>
      <c r="Y913">
        <v>0.03</v>
      </c>
      <c r="Z913">
        <v>0.13</v>
      </c>
      <c r="AA913" s="20">
        <f>Table3[[#This Row],[APS]]*Table3[[#This Row],[PrimaComercial Anual]]</f>
        <v>84.36</v>
      </c>
      <c r="AB913" s="8">
        <f>Table3[[#This Row],[PrimaComercial Anual]]*Table3[[#This Row],[Recargo adicional]]</f>
        <v>481.65570000000002</v>
      </c>
      <c r="AC913" s="8">
        <f>Table3[[#This Row],[PrimaComercial Anual]]*Table3[[#This Row],[IT]]</f>
        <v>171</v>
      </c>
      <c r="AD913" s="8">
        <f>Table3[[#This Row],[PrimaComercial Anual]]*Table3[[#This Row],[IVA]]</f>
        <v>741</v>
      </c>
      <c r="AE913" s="15">
        <f>Table3[[#This Row],[PrimaComercial Anual Asistencia]]</f>
        <v>5700</v>
      </c>
      <c r="AF913">
        <v>2394</v>
      </c>
      <c r="AG913">
        <v>5700</v>
      </c>
    </row>
    <row r="914" spans="1:33" x14ac:dyDescent="0.25">
      <c r="A914" t="s">
        <v>19</v>
      </c>
      <c r="B914">
        <v>700001</v>
      </c>
      <c r="C914">
        <v>38</v>
      </c>
      <c r="D914" s="2">
        <f>Table3[[#This Row],[PrimaTécnica]]-Table3[[#This Row],[PrimaTécnica]]*SUM(Table3[[#This Row],[Gastos Adm]:[Cobranza]])</f>
        <v>2477.3815872000005</v>
      </c>
      <c r="E914">
        <v>1077.817104</v>
      </c>
      <c r="F914">
        <v>0.15</v>
      </c>
      <c r="G914">
        <v>0.05</v>
      </c>
      <c r="H914">
        <v>0.01</v>
      </c>
      <c r="I914">
        <v>0.01</v>
      </c>
      <c r="J914" s="8">
        <f>Table3[[#This Row],[PrimaTécnica]]*Table3[[#This Row],[Gastos Adm]]</f>
        <v>476.41953600000005</v>
      </c>
      <c r="K914" s="8">
        <f>Table3[[#This Row],[PrimaTécnica]]*Table3[[#This Row],[Utilidad]]</f>
        <v>158.80651200000003</v>
      </c>
      <c r="L914" s="8">
        <f>Table3[[#This Row],[PrimaTécnica]]*Table3[[#This Row],[Marketing]]</f>
        <v>31.761302400000005</v>
      </c>
      <c r="M914" s="8">
        <f>Table3[[#This Row],[PrimaTécnica]]*Table3[[#This Row],[Cobranza]]</f>
        <v>31.761302400000005</v>
      </c>
      <c r="N91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3176.1302400000004</v>
      </c>
      <c r="O914">
        <v>21.84</v>
      </c>
      <c r="P914">
        <v>54.6</v>
      </c>
      <c r="Q914">
        <v>80.64</v>
      </c>
      <c r="R914">
        <v>44.377200000000002</v>
      </c>
      <c r="S914">
        <v>0.2</v>
      </c>
      <c r="T914">
        <v>0.02</v>
      </c>
      <c r="U914" s="8">
        <f>Table3[[#This Row],[PrimaNeta]]*Table3[[#This Row],[Comisión]]</f>
        <v>844.39686000000006</v>
      </c>
      <c r="V914" s="15">
        <f>Table3[[#This Row],[PrimaComercial Anual]]-Table3[[#This Row],[PrimaComercial Anual]]*SUM(Table3[[#This Row],[APS]:[IVA]])</f>
        <v>4221.9843000000001</v>
      </c>
      <c r="W914" s="2">
        <v>1.4800000000000001E-2</v>
      </c>
      <c r="X914" s="2">
        <v>8.4501000000000007E-2</v>
      </c>
      <c r="Y914">
        <v>0.03</v>
      </c>
      <c r="Z914">
        <v>0.13</v>
      </c>
      <c r="AA914" s="20">
        <f>Table3[[#This Row],[APS]]*Table3[[#This Row],[PrimaComercial Anual]]</f>
        <v>84.36</v>
      </c>
      <c r="AB914" s="8">
        <f>Table3[[#This Row],[PrimaComercial Anual]]*Table3[[#This Row],[Recargo adicional]]</f>
        <v>481.65570000000002</v>
      </c>
      <c r="AC914" s="8">
        <f>Table3[[#This Row],[PrimaComercial Anual]]*Table3[[#This Row],[IT]]</f>
        <v>171</v>
      </c>
      <c r="AD914" s="8">
        <f>Table3[[#This Row],[PrimaComercial Anual]]*Table3[[#This Row],[IVA]]</f>
        <v>741</v>
      </c>
      <c r="AE914" s="15">
        <f>Table3[[#This Row],[PrimaComercial Anual Asistencia]]</f>
        <v>5700</v>
      </c>
      <c r="AF914">
        <v>2394</v>
      </c>
      <c r="AG914">
        <v>5700</v>
      </c>
    </row>
    <row r="915" spans="1:33" x14ac:dyDescent="0.25">
      <c r="A915" t="s">
        <v>19</v>
      </c>
      <c r="B915">
        <v>700001</v>
      </c>
      <c r="C915">
        <v>39</v>
      </c>
      <c r="D915" s="2">
        <f>Table3[[#This Row],[PrimaTécnica]]-Table3[[#This Row],[PrimaTécnica]]*SUM(Table3[[#This Row],[Gastos Adm]:[Cobranza]])</f>
        <v>2477.3815872000005</v>
      </c>
      <c r="E915">
        <v>1077.817104</v>
      </c>
      <c r="F915">
        <v>0.15</v>
      </c>
      <c r="G915">
        <v>0.05</v>
      </c>
      <c r="H915">
        <v>0.01</v>
      </c>
      <c r="I915">
        <v>0.01</v>
      </c>
      <c r="J915" s="8">
        <f>Table3[[#This Row],[PrimaTécnica]]*Table3[[#This Row],[Gastos Adm]]</f>
        <v>476.41953600000005</v>
      </c>
      <c r="K915" s="8">
        <f>Table3[[#This Row],[PrimaTécnica]]*Table3[[#This Row],[Utilidad]]</f>
        <v>158.80651200000003</v>
      </c>
      <c r="L915" s="8">
        <f>Table3[[#This Row],[PrimaTécnica]]*Table3[[#This Row],[Marketing]]</f>
        <v>31.761302400000005</v>
      </c>
      <c r="M915" s="8">
        <f>Table3[[#This Row],[PrimaTécnica]]*Table3[[#This Row],[Cobranza]]</f>
        <v>31.761302400000005</v>
      </c>
      <c r="N91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3176.1302400000004</v>
      </c>
      <c r="O915">
        <v>21.84</v>
      </c>
      <c r="P915">
        <v>54.6</v>
      </c>
      <c r="Q915">
        <v>80.64</v>
      </c>
      <c r="R915">
        <v>44.377200000000002</v>
      </c>
      <c r="S915">
        <v>0.2</v>
      </c>
      <c r="T915">
        <v>0.02</v>
      </c>
      <c r="U915" s="8">
        <f>Table3[[#This Row],[PrimaNeta]]*Table3[[#This Row],[Comisión]]</f>
        <v>844.39686000000006</v>
      </c>
      <c r="V915" s="15">
        <f>Table3[[#This Row],[PrimaComercial Anual]]-Table3[[#This Row],[PrimaComercial Anual]]*SUM(Table3[[#This Row],[APS]:[IVA]])</f>
        <v>4221.9843000000001</v>
      </c>
      <c r="W915" s="2">
        <v>1.4800000000000001E-2</v>
      </c>
      <c r="X915" s="2">
        <v>8.4501000000000007E-2</v>
      </c>
      <c r="Y915">
        <v>0.03</v>
      </c>
      <c r="Z915">
        <v>0.13</v>
      </c>
      <c r="AA915" s="20">
        <f>Table3[[#This Row],[APS]]*Table3[[#This Row],[PrimaComercial Anual]]</f>
        <v>84.36</v>
      </c>
      <c r="AB915" s="8">
        <f>Table3[[#This Row],[PrimaComercial Anual]]*Table3[[#This Row],[Recargo adicional]]</f>
        <v>481.65570000000002</v>
      </c>
      <c r="AC915" s="8">
        <f>Table3[[#This Row],[PrimaComercial Anual]]*Table3[[#This Row],[IT]]</f>
        <v>171</v>
      </c>
      <c r="AD915" s="8">
        <f>Table3[[#This Row],[PrimaComercial Anual]]*Table3[[#This Row],[IVA]]</f>
        <v>741</v>
      </c>
      <c r="AE915" s="15">
        <f>Table3[[#This Row],[PrimaComercial Anual Asistencia]]</f>
        <v>5700</v>
      </c>
      <c r="AF915">
        <v>2394</v>
      </c>
      <c r="AG915">
        <v>5700</v>
      </c>
    </row>
    <row r="916" spans="1:33" x14ac:dyDescent="0.25">
      <c r="A916" t="s">
        <v>19</v>
      </c>
      <c r="B916">
        <v>700001</v>
      </c>
      <c r="C916">
        <v>40</v>
      </c>
      <c r="D916" s="2">
        <f>Table3[[#This Row],[PrimaTécnica]]-Table3[[#This Row],[PrimaTécnica]]*SUM(Table3[[#This Row],[Gastos Adm]:[Cobranza]])</f>
        <v>3510.1127228543992</v>
      </c>
      <c r="E916">
        <v>287.41789439999997</v>
      </c>
      <c r="F916">
        <v>0.15</v>
      </c>
      <c r="G916">
        <v>0.05</v>
      </c>
      <c r="H916">
        <v>0.01</v>
      </c>
      <c r="I916">
        <v>0.01</v>
      </c>
      <c r="J916" s="8">
        <f>Table3[[#This Row],[PrimaTécnica]]*Table3[[#This Row],[Gastos Adm]]</f>
        <v>675.02167747199985</v>
      </c>
      <c r="K916" s="8">
        <f>Table3[[#This Row],[PrimaTécnica]]*Table3[[#This Row],[Utilidad]]</f>
        <v>225.00722582399996</v>
      </c>
      <c r="L916" s="8">
        <f>Table3[[#This Row],[PrimaTécnica]]*Table3[[#This Row],[Marketing]]</f>
        <v>45.001445164799989</v>
      </c>
      <c r="M916" s="8">
        <f>Table3[[#This Row],[PrimaTécnica]]*Table3[[#This Row],[Cobranza]]</f>
        <v>45.001445164799989</v>
      </c>
      <c r="N91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4500.1445164799989</v>
      </c>
      <c r="O916">
        <v>21.84</v>
      </c>
      <c r="P916">
        <v>54.6</v>
      </c>
      <c r="Q916">
        <v>80.64</v>
      </c>
      <c r="R916">
        <v>44.377200000000002</v>
      </c>
      <c r="S916">
        <v>0.2</v>
      </c>
      <c r="T916">
        <v>0.02</v>
      </c>
      <c r="U916" s="8">
        <f>Table3[[#This Row],[PrimaNeta]]*Table3[[#This Row],[Comisión]]</f>
        <v>1175.4004291199999</v>
      </c>
      <c r="V916" s="15">
        <f>Table3[[#This Row],[PrimaComercial Anual]]-Table3[[#This Row],[PrimaComercial Anual]]*SUM(Table3[[#This Row],[APS]:[IVA]])</f>
        <v>5877.0021455999995</v>
      </c>
      <c r="W916" s="2">
        <v>1.4800000000000001E-2</v>
      </c>
      <c r="X916" s="2">
        <v>8.4501000000000007E-2</v>
      </c>
      <c r="Y916">
        <v>0.03</v>
      </c>
      <c r="Z916">
        <v>0.13</v>
      </c>
      <c r="AA916" s="20">
        <f>Table3[[#This Row],[APS]]*Table3[[#This Row],[PrimaComercial Anual]]</f>
        <v>117.42912</v>
      </c>
      <c r="AB916" s="8">
        <f>Table3[[#This Row],[PrimaComercial Anual]]*Table3[[#This Row],[Recargo adicional]]</f>
        <v>670.4647344</v>
      </c>
      <c r="AC916" s="8">
        <f>Table3[[#This Row],[PrimaComercial Anual]]*Table3[[#This Row],[IT]]</f>
        <v>238.03199999999998</v>
      </c>
      <c r="AD916" s="8">
        <f>Table3[[#This Row],[PrimaComercial Anual]]*Table3[[#This Row],[IVA]]</f>
        <v>1031.472</v>
      </c>
      <c r="AE916" s="15">
        <f>Table3[[#This Row],[PrimaComercial Anual Asistencia]]</f>
        <v>7934.4</v>
      </c>
      <c r="AF916">
        <v>638.4</v>
      </c>
      <c r="AG916">
        <v>7934.4</v>
      </c>
    </row>
    <row r="917" spans="1:33" x14ac:dyDescent="0.25">
      <c r="A917" t="s">
        <v>19</v>
      </c>
      <c r="B917">
        <v>700001</v>
      </c>
      <c r="C917">
        <v>41</v>
      </c>
      <c r="D917" s="2">
        <f>Table3[[#This Row],[PrimaTécnica]]-Table3[[#This Row],[PrimaTécnica]]*SUM(Table3[[#This Row],[Gastos Adm]:[Cobranza]])</f>
        <v>3510.1127228543992</v>
      </c>
      <c r="E917">
        <v>287.41789439999997</v>
      </c>
      <c r="F917">
        <v>0.15</v>
      </c>
      <c r="G917">
        <v>0.05</v>
      </c>
      <c r="H917">
        <v>0.01</v>
      </c>
      <c r="I917">
        <v>0.01</v>
      </c>
      <c r="J917" s="8">
        <f>Table3[[#This Row],[PrimaTécnica]]*Table3[[#This Row],[Gastos Adm]]</f>
        <v>675.02167747199985</v>
      </c>
      <c r="K917" s="8">
        <f>Table3[[#This Row],[PrimaTécnica]]*Table3[[#This Row],[Utilidad]]</f>
        <v>225.00722582399996</v>
      </c>
      <c r="L917" s="8">
        <f>Table3[[#This Row],[PrimaTécnica]]*Table3[[#This Row],[Marketing]]</f>
        <v>45.001445164799989</v>
      </c>
      <c r="M917" s="8">
        <f>Table3[[#This Row],[PrimaTécnica]]*Table3[[#This Row],[Cobranza]]</f>
        <v>45.001445164799989</v>
      </c>
      <c r="N91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4500.1445164799989</v>
      </c>
      <c r="O917">
        <v>21.84</v>
      </c>
      <c r="P917">
        <v>54.6</v>
      </c>
      <c r="Q917">
        <v>80.64</v>
      </c>
      <c r="R917">
        <v>44.377200000000002</v>
      </c>
      <c r="S917">
        <v>0.2</v>
      </c>
      <c r="T917">
        <v>0.02</v>
      </c>
      <c r="U917" s="8">
        <f>Table3[[#This Row],[PrimaNeta]]*Table3[[#This Row],[Comisión]]</f>
        <v>1175.4004291199999</v>
      </c>
      <c r="V917" s="15">
        <f>Table3[[#This Row],[PrimaComercial Anual]]-Table3[[#This Row],[PrimaComercial Anual]]*SUM(Table3[[#This Row],[APS]:[IVA]])</f>
        <v>5877.0021455999995</v>
      </c>
      <c r="W917" s="2">
        <v>1.4800000000000001E-2</v>
      </c>
      <c r="X917" s="2">
        <v>8.4501000000000007E-2</v>
      </c>
      <c r="Y917">
        <v>0.03</v>
      </c>
      <c r="Z917">
        <v>0.13</v>
      </c>
      <c r="AA917" s="20">
        <f>Table3[[#This Row],[APS]]*Table3[[#This Row],[PrimaComercial Anual]]</f>
        <v>117.42912</v>
      </c>
      <c r="AB917" s="8">
        <f>Table3[[#This Row],[PrimaComercial Anual]]*Table3[[#This Row],[Recargo adicional]]</f>
        <v>670.4647344</v>
      </c>
      <c r="AC917" s="8">
        <f>Table3[[#This Row],[PrimaComercial Anual]]*Table3[[#This Row],[IT]]</f>
        <v>238.03199999999998</v>
      </c>
      <c r="AD917" s="8">
        <f>Table3[[#This Row],[PrimaComercial Anual]]*Table3[[#This Row],[IVA]]</f>
        <v>1031.472</v>
      </c>
      <c r="AE917" s="15">
        <f>Table3[[#This Row],[PrimaComercial Anual Asistencia]]</f>
        <v>7934.4</v>
      </c>
      <c r="AF917">
        <v>638.4</v>
      </c>
      <c r="AG917">
        <v>7934.4</v>
      </c>
    </row>
    <row r="918" spans="1:33" x14ac:dyDescent="0.25">
      <c r="A918" t="s">
        <v>19</v>
      </c>
      <c r="B918">
        <v>700001</v>
      </c>
      <c r="C918">
        <v>42</v>
      </c>
      <c r="D918" s="2">
        <f>Table3[[#This Row],[PrimaTécnica]]-Table3[[#This Row],[PrimaTécnica]]*SUM(Table3[[#This Row],[Gastos Adm]:[Cobranza]])</f>
        <v>3510.1127228543992</v>
      </c>
      <c r="E918">
        <v>287.41789439999997</v>
      </c>
      <c r="F918">
        <v>0.15</v>
      </c>
      <c r="G918">
        <v>0.05</v>
      </c>
      <c r="H918">
        <v>0.01</v>
      </c>
      <c r="I918">
        <v>0.01</v>
      </c>
      <c r="J918" s="8">
        <f>Table3[[#This Row],[PrimaTécnica]]*Table3[[#This Row],[Gastos Adm]]</f>
        <v>675.02167747199985</v>
      </c>
      <c r="K918" s="8">
        <f>Table3[[#This Row],[PrimaTécnica]]*Table3[[#This Row],[Utilidad]]</f>
        <v>225.00722582399996</v>
      </c>
      <c r="L918" s="8">
        <f>Table3[[#This Row],[PrimaTécnica]]*Table3[[#This Row],[Marketing]]</f>
        <v>45.001445164799989</v>
      </c>
      <c r="M918" s="8">
        <f>Table3[[#This Row],[PrimaTécnica]]*Table3[[#This Row],[Cobranza]]</f>
        <v>45.001445164799989</v>
      </c>
      <c r="N91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4500.1445164799989</v>
      </c>
      <c r="O918">
        <v>21.84</v>
      </c>
      <c r="P918">
        <v>54.6</v>
      </c>
      <c r="Q918">
        <v>80.64</v>
      </c>
      <c r="R918">
        <v>44.377200000000002</v>
      </c>
      <c r="S918">
        <v>0.2</v>
      </c>
      <c r="T918">
        <v>0.02</v>
      </c>
      <c r="U918" s="8">
        <f>Table3[[#This Row],[PrimaNeta]]*Table3[[#This Row],[Comisión]]</f>
        <v>1175.4004291199999</v>
      </c>
      <c r="V918" s="15">
        <f>Table3[[#This Row],[PrimaComercial Anual]]-Table3[[#This Row],[PrimaComercial Anual]]*SUM(Table3[[#This Row],[APS]:[IVA]])</f>
        <v>5877.0021455999995</v>
      </c>
      <c r="W918" s="2">
        <v>1.4800000000000001E-2</v>
      </c>
      <c r="X918" s="2">
        <v>8.4501000000000007E-2</v>
      </c>
      <c r="Y918">
        <v>0.03</v>
      </c>
      <c r="Z918">
        <v>0.13</v>
      </c>
      <c r="AA918" s="20">
        <f>Table3[[#This Row],[APS]]*Table3[[#This Row],[PrimaComercial Anual]]</f>
        <v>117.42912</v>
      </c>
      <c r="AB918" s="8">
        <f>Table3[[#This Row],[PrimaComercial Anual]]*Table3[[#This Row],[Recargo adicional]]</f>
        <v>670.4647344</v>
      </c>
      <c r="AC918" s="8">
        <f>Table3[[#This Row],[PrimaComercial Anual]]*Table3[[#This Row],[IT]]</f>
        <v>238.03199999999998</v>
      </c>
      <c r="AD918" s="8">
        <f>Table3[[#This Row],[PrimaComercial Anual]]*Table3[[#This Row],[IVA]]</f>
        <v>1031.472</v>
      </c>
      <c r="AE918" s="15">
        <f>Table3[[#This Row],[PrimaComercial Anual Asistencia]]</f>
        <v>7934.4</v>
      </c>
      <c r="AF918">
        <v>638.4</v>
      </c>
      <c r="AG918">
        <v>7934.4</v>
      </c>
    </row>
    <row r="919" spans="1:33" x14ac:dyDescent="0.25">
      <c r="A919" t="s">
        <v>19</v>
      </c>
      <c r="B919">
        <v>700001</v>
      </c>
      <c r="C919">
        <v>43</v>
      </c>
      <c r="D919" s="2">
        <f>Table3[[#This Row],[PrimaTécnica]]-Table3[[#This Row],[PrimaTécnica]]*SUM(Table3[[#This Row],[Gastos Adm]:[Cobranza]])</f>
        <v>3510.1127228543992</v>
      </c>
      <c r="E919">
        <v>287.41789439999997</v>
      </c>
      <c r="F919">
        <v>0.15</v>
      </c>
      <c r="G919">
        <v>0.05</v>
      </c>
      <c r="H919">
        <v>0.01</v>
      </c>
      <c r="I919">
        <v>0.01</v>
      </c>
      <c r="J919" s="8">
        <f>Table3[[#This Row],[PrimaTécnica]]*Table3[[#This Row],[Gastos Adm]]</f>
        <v>675.02167747199985</v>
      </c>
      <c r="K919" s="8">
        <f>Table3[[#This Row],[PrimaTécnica]]*Table3[[#This Row],[Utilidad]]</f>
        <v>225.00722582399996</v>
      </c>
      <c r="L919" s="8">
        <f>Table3[[#This Row],[PrimaTécnica]]*Table3[[#This Row],[Marketing]]</f>
        <v>45.001445164799989</v>
      </c>
      <c r="M919" s="8">
        <f>Table3[[#This Row],[PrimaTécnica]]*Table3[[#This Row],[Cobranza]]</f>
        <v>45.001445164799989</v>
      </c>
      <c r="N91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4500.1445164799989</v>
      </c>
      <c r="O919">
        <v>21.84</v>
      </c>
      <c r="P919">
        <v>54.6</v>
      </c>
      <c r="Q919">
        <v>80.64</v>
      </c>
      <c r="R919">
        <v>44.377200000000002</v>
      </c>
      <c r="S919">
        <v>0.2</v>
      </c>
      <c r="T919">
        <v>0.02</v>
      </c>
      <c r="U919" s="8">
        <f>Table3[[#This Row],[PrimaNeta]]*Table3[[#This Row],[Comisión]]</f>
        <v>1175.4004291199999</v>
      </c>
      <c r="V919" s="15">
        <f>Table3[[#This Row],[PrimaComercial Anual]]-Table3[[#This Row],[PrimaComercial Anual]]*SUM(Table3[[#This Row],[APS]:[IVA]])</f>
        <v>5877.0021455999995</v>
      </c>
      <c r="W919" s="2">
        <v>1.4800000000000001E-2</v>
      </c>
      <c r="X919" s="2">
        <v>8.4501000000000007E-2</v>
      </c>
      <c r="Y919">
        <v>0.03</v>
      </c>
      <c r="Z919">
        <v>0.13</v>
      </c>
      <c r="AA919" s="20">
        <f>Table3[[#This Row],[APS]]*Table3[[#This Row],[PrimaComercial Anual]]</f>
        <v>117.42912</v>
      </c>
      <c r="AB919" s="8">
        <f>Table3[[#This Row],[PrimaComercial Anual]]*Table3[[#This Row],[Recargo adicional]]</f>
        <v>670.4647344</v>
      </c>
      <c r="AC919" s="8">
        <f>Table3[[#This Row],[PrimaComercial Anual]]*Table3[[#This Row],[IT]]</f>
        <v>238.03199999999998</v>
      </c>
      <c r="AD919" s="8">
        <f>Table3[[#This Row],[PrimaComercial Anual]]*Table3[[#This Row],[IVA]]</f>
        <v>1031.472</v>
      </c>
      <c r="AE919" s="15">
        <f>Table3[[#This Row],[PrimaComercial Anual Asistencia]]</f>
        <v>7934.4</v>
      </c>
      <c r="AF919">
        <v>638.4</v>
      </c>
      <c r="AG919">
        <v>7934.4</v>
      </c>
    </row>
    <row r="920" spans="1:33" x14ac:dyDescent="0.25">
      <c r="A920" t="s">
        <v>19</v>
      </c>
      <c r="B920">
        <v>700001</v>
      </c>
      <c r="C920">
        <v>44</v>
      </c>
      <c r="D920" s="2">
        <f>Table3[[#This Row],[PrimaTécnica]]-Table3[[#This Row],[PrimaTécnica]]*SUM(Table3[[#This Row],[Gastos Adm]:[Cobranza]])</f>
        <v>3510.1127228543992</v>
      </c>
      <c r="E920">
        <v>287.41789439999997</v>
      </c>
      <c r="F920">
        <v>0.15</v>
      </c>
      <c r="G920">
        <v>0.05</v>
      </c>
      <c r="H920">
        <v>0.01</v>
      </c>
      <c r="I920">
        <v>0.01</v>
      </c>
      <c r="J920" s="8">
        <f>Table3[[#This Row],[PrimaTécnica]]*Table3[[#This Row],[Gastos Adm]]</f>
        <v>675.02167747199985</v>
      </c>
      <c r="K920" s="8">
        <f>Table3[[#This Row],[PrimaTécnica]]*Table3[[#This Row],[Utilidad]]</f>
        <v>225.00722582399996</v>
      </c>
      <c r="L920" s="8">
        <f>Table3[[#This Row],[PrimaTécnica]]*Table3[[#This Row],[Marketing]]</f>
        <v>45.001445164799989</v>
      </c>
      <c r="M920" s="8">
        <f>Table3[[#This Row],[PrimaTécnica]]*Table3[[#This Row],[Cobranza]]</f>
        <v>45.001445164799989</v>
      </c>
      <c r="N92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4500.1445164799989</v>
      </c>
      <c r="O920">
        <v>21.84</v>
      </c>
      <c r="P920">
        <v>54.6</v>
      </c>
      <c r="Q920">
        <v>80.64</v>
      </c>
      <c r="R920">
        <v>44.377200000000002</v>
      </c>
      <c r="S920">
        <v>0.2</v>
      </c>
      <c r="T920">
        <v>0.02</v>
      </c>
      <c r="U920" s="8">
        <f>Table3[[#This Row],[PrimaNeta]]*Table3[[#This Row],[Comisión]]</f>
        <v>1175.4004291199999</v>
      </c>
      <c r="V920" s="15">
        <f>Table3[[#This Row],[PrimaComercial Anual]]-Table3[[#This Row],[PrimaComercial Anual]]*SUM(Table3[[#This Row],[APS]:[IVA]])</f>
        <v>5877.0021455999995</v>
      </c>
      <c r="W920" s="2">
        <v>1.4800000000000001E-2</v>
      </c>
      <c r="X920" s="2">
        <v>8.4501000000000007E-2</v>
      </c>
      <c r="Y920">
        <v>0.03</v>
      </c>
      <c r="Z920">
        <v>0.13</v>
      </c>
      <c r="AA920" s="20">
        <f>Table3[[#This Row],[APS]]*Table3[[#This Row],[PrimaComercial Anual]]</f>
        <v>117.42912</v>
      </c>
      <c r="AB920" s="8">
        <f>Table3[[#This Row],[PrimaComercial Anual]]*Table3[[#This Row],[Recargo adicional]]</f>
        <v>670.4647344</v>
      </c>
      <c r="AC920" s="8">
        <f>Table3[[#This Row],[PrimaComercial Anual]]*Table3[[#This Row],[IT]]</f>
        <v>238.03199999999998</v>
      </c>
      <c r="AD920" s="8">
        <f>Table3[[#This Row],[PrimaComercial Anual]]*Table3[[#This Row],[IVA]]</f>
        <v>1031.472</v>
      </c>
      <c r="AE920" s="15">
        <f>Table3[[#This Row],[PrimaComercial Anual Asistencia]]</f>
        <v>7934.4</v>
      </c>
      <c r="AF920">
        <v>638.4</v>
      </c>
      <c r="AG920">
        <v>7934.4</v>
      </c>
    </row>
    <row r="921" spans="1:33" x14ac:dyDescent="0.25">
      <c r="A921" t="s">
        <v>19</v>
      </c>
      <c r="B921">
        <v>700001</v>
      </c>
      <c r="C921">
        <v>45</v>
      </c>
      <c r="D921" s="2">
        <f>Table3[[#This Row],[PrimaTécnica]]-Table3[[#This Row],[PrimaTécnica]]*SUM(Table3[[#This Row],[Gastos Adm]:[Cobranza]])</f>
        <v>3510.1127228543992</v>
      </c>
      <c r="E921">
        <v>287.41789439999997</v>
      </c>
      <c r="F921">
        <v>0.15</v>
      </c>
      <c r="G921">
        <v>0.05</v>
      </c>
      <c r="H921">
        <v>0.01</v>
      </c>
      <c r="I921">
        <v>0.01</v>
      </c>
      <c r="J921" s="8">
        <f>Table3[[#This Row],[PrimaTécnica]]*Table3[[#This Row],[Gastos Adm]]</f>
        <v>675.02167747199985</v>
      </c>
      <c r="K921" s="8">
        <f>Table3[[#This Row],[PrimaTécnica]]*Table3[[#This Row],[Utilidad]]</f>
        <v>225.00722582399996</v>
      </c>
      <c r="L921" s="8">
        <f>Table3[[#This Row],[PrimaTécnica]]*Table3[[#This Row],[Marketing]]</f>
        <v>45.001445164799989</v>
      </c>
      <c r="M921" s="8">
        <f>Table3[[#This Row],[PrimaTécnica]]*Table3[[#This Row],[Cobranza]]</f>
        <v>45.001445164799989</v>
      </c>
      <c r="N92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4500.1445164799989</v>
      </c>
      <c r="O921">
        <v>21.84</v>
      </c>
      <c r="P921">
        <v>54.6</v>
      </c>
      <c r="Q921">
        <v>80.64</v>
      </c>
      <c r="R921">
        <v>44.377200000000002</v>
      </c>
      <c r="S921">
        <v>0.2</v>
      </c>
      <c r="T921">
        <v>0.02</v>
      </c>
      <c r="U921" s="8">
        <f>Table3[[#This Row],[PrimaNeta]]*Table3[[#This Row],[Comisión]]</f>
        <v>1175.4004291199999</v>
      </c>
      <c r="V921" s="15">
        <f>Table3[[#This Row],[PrimaComercial Anual]]-Table3[[#This Row],[PrimaComercial Anual]]*SUM(Table3[[#This Row],[APS]:[IVA]])</f>
        <v>5877.0021455999995</v>
      </c>
      <c r="W921" s="2">
        <v>1.4800000000000001E-2</v>
      </c>
      <c r="X921" s="2">
        <v>8.4501000000000007E-2</v>
      </c>
      <c r="Y921">
        <v>0.03</v>
      </c>
      <c r="Z921">
        <v>0.13</v>
      </c>
      <c r="AA921" s="20">
        <f>Table3[[#This Row],[APS]]*Table3[[#This Row],[PrimaComercial Anual]]</f>
        <v>117.42912</v>
      </c>
      <c r="AB921" s="8">
        <f>Table3[[#This Row],[PrimaComercial Anual]]*Table3[[#This Row],[Recargo adicional]]</f>
        <v>670.4647344</v>
      </c>
      <c r="AC921" s="8">
        <f>Table3[[#This Row],[PrimaComercial Anual]]*Table3[[#This Row],[IT]]</f>
        <v>238.03199999999998</v>
      </c>
      <c r="AD921" s="8">
        <f>Table3[[#This Row],[PrimaComercial Anual]]*Table3[[#This Row],[IVA]]</f>
        <v>1031.472</v>
      </c>
      <c r="AE921" s="15">
        <f>Table3[[#This Row],[PrimaComercial Anual Asistencia]]</f>
        <v>7934.4</v>
      </c>
      <c r="AF921">
        <v>638.4</v>
      </c>
      <c r="AG921">
        <v>7934.4</v>
      </c>
    </row>
    <row r="922" spans="1:33" x14ac:dyDescent="0.25">
      <c r="A922" t="s">
        <v>19</v>
      </c>
      <c r="B922">
        <v>700001</v>
      </c>
      <c r="C922">
        <v>46</v>
      </c>
      <c r="D922" s="2">
        <f>Table3[[#This Row],[PrimaTécnica]]-Table3[[#This Row],[PrimaTécnica]]*SUM(Table3[[#This Row],[Gastos Adm]:[Cobranza]])</f>
        <v>3510.1127228543992</v>
      </c>
      <c r="E922">
        <v>287.41789439999997</v>
      </c>
      <c r="F922">
        <v>0.15</v>
      </c>
      <c r="G922">
        <v>0.05</v>
      </c>
      <c r="H922">
        <v>0.01</v>
      </c>
      <c r="I922">
        <v>0.01</v>
      </c>
      <c r="J922" s="8">
        <f>Table3[[#This Row],[PrimaTécnica]]*Table3[[#This Row],[Gastos Adm]]</f>
        <v>675.02167747199985</v>
      </c>
      <c r="K922" s="8">
        <f>Table3[[#This Row],[PrimaTécnica]]*Table3[[#This Row],[Utilidad]]</f>
        <v>225.00722582399996</v>
      </c>
      <c r="L922" s="8">
        <f>Table3[[#This Row],[PrimaTécnica]]*Table3[[#This Row],[Marketing]]</f>
        <v>45.001445164799989</v>
      </c>
      <c r="M922" s="8">
        <f>Table3[[#This Row],[PrimaTécnica]]*Table3[[#This Row],[Cobranza]]</f>
        <v>45.001445164799989</v>
      </c>
      <c r="N92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4500.1445164799989</v>
      </c>
      <c r="O922">
        <v>21.84</v>
      </c>
      <c r="P922">
        <v>54.6</v>
      </c>
      <c r="Q922">
        <v>80.64</v>
      </c>
      <c r="R922">
        <v>44.377200000000002</v>
      </c>
      <c r="S922">
        <v>0.2</v>
      </c>
      <c r="T922">
        <v>0.02</v>
      </c>
      <c r="U922" s="8">
        <f>Table3[[#This Row],[PrimaNeta]]*Table3[[#This Row],[Comisión]]</f>
        <v>1175.4004291199999</v>
      </c>
      <c r="V922" s="15">
        <f>Table3[[#This Row],[PrimaComercial Anual]]-Table3[[#This Row],[PrimaComercial Anual]]*SUM(Table3[[#This Row],[APS]:[IVA]])</f>
        <v>5877.0021455999995</v>
      </c>
      <c r="W922" s="2">
        <v>1.4800000000000001E-2</v>
      </c>
      <c r="X922" s="2">
        <v>8.4501000000000007E-2</v>
      </c>
      <c r="Y922">
        <v>0.03</v>
      </c>
      <c r="Z922">
        <v>0.13</v>
      </c>
      <c r="AA922" s="20">
        <f>Table3[[#This Row],[APS]]*Table3[[#This Row],[PrimaComercial Anual]]</f>
        <v>117.42912</v>
      </c>
      <c r="AB922" s="8">
        <f>Table3[[#This Row],[PrimaComercial Anual]]*Table3[[#This Row],[Recargo adicional]]</f>
        <v>670.4647344</v>
      </c>
      <c r="AC922" s="8">
        <f>Table3[[#This Row],[PrimaComercial Anual]]*Table3[[#This Row],[IT]]</f>
        <v>238.03199999999998</v>
      </c>
      <c r="AD922" s="8">
        <f>Table3[[#This Row],[PrimaComercial Anual]]*Table3[[#This Row],[IVA]]</f>
        <v>1031.472</v>
      </c>
      <c r="AE922" s="15">
        <f>Table3[[#This Row],[PrimaComercial Anual Asistencia]]</f>
        <v>7934.4</v>
      </c>
      <c r="AF922">
        <v>638.4</v>
      </c>
      <c r="AG922">
        <v>7934.4</v>
      </c>
    </row>
    <row r="923" spans="1:33" x14ac:dyDescent="0.25">
      <c r="A923" t="s">
        <v>19</v>
      </c>
      <c r="B923">
        <v>700001</v>
      </c>
      <c r="C923">
        <v>47</v>
      </c>
      <c r="D923" s="2">
        <f>Table3[[#This Row],[PrimaTécnica]]-Table3[[#This Row],[PrimaTécnica]]*SUM(Table3[[#This Row],[Gastos Adm]:[Cobranza]])</f>
        <v>3510.1127228543992</v>
      </c>
      <c r="E923">
        <v>287.41789439999997</v>
      </c>
      <c r="F923">
        <v>0.15</v>
      </c>
      <c r="G923">
        <v>0.05</v>
      </c>
      <c r="H923">
        <v>0.01</v>
      </c>
      <c r="I923">
        <v>0.01</v>
      </c>
      <c r="J923" s="8">
        <f>Table3[[#This Row],[PrimaTécnica]]*Table3[[#This Row],[Gastos Adm]]</f>
        <v>675.02167747199985</v>
      </c>
      <c r="K923" s="8">
        <f>Table3[[#This Row],[PrimaTécnica]]*Table3[[#This Row],[Utilidad]]</f>
        <v>225.00722582399996</v>
      </c>
      <c r="L923" s="8">
        <f>Table3[[#This Row],[PrimaTécnica]]*Table3[[#This Row],[Marketing]]</f>
        <v>45.001445164799989</v>
      </c>
      <c r="M923" s="8">
        <f>Table3[[#This Row],[PrimaTécnica]]*Table3[[#This Row],[Cobranza]]</f>
        <v>45.001445164799989</v>
      </c>
      <c r="N92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4500.1445164799989</v>
      </c>
      <c r="O923">
        <v>21.84</v>
      </c>
      <c r="P923">
        <v>54.6</v>
      </c>
      <c r="Q923">
        <v>80.64</v>
      </c>
      <c r="R923">
        <v>44.377200000000002</v>
      </c>
      <c r="S923">
        <v>0.2</v>
      </c>
      <c r="T923">
        <v>0.02</v>
      </c>
      <c r="U923" s="8">
        <f>Table3[[#This Row],[PrimaNeta]]*Table3[[#This Row],[Comisión]]</f>
        <v>1175.4004291199999</v>
      </c>
      <c r="V923" s="15">
        <f>Table3[[#This Row],[PrimaComercial Anual]]-Table3[[#This Row],[PrimaComercial Anual]]*SUM(Table3[[#This Row],[APS]:[IVA]])</f>
        <v>5877.0021455999995</v>
      </c>
      <c r="W923" s="2">
        <v>1.4800000000000001E-2</v>
      </c>
      <c r="X923" s="2">
        <v>8.4501000000000007E-2</v>
      </c>
      <c r="Y923">
        <v>0.03</v>
      </c>
      <c r="Z923">
        <v>0.13</v>
      </c>
      <c r="AA923" s="20">
        <f>Table3[[#This Row],[APS]]*Table3[[#This Row],[PrimaComercial Anual]]</f>
        <v>117.42912</v>
      </c>
      <c r="AB923" s="8">
        <f>Table3[[#This Row],[PrimaComercial Anual]]*Table3[[#This Row],[Recargo adicional]]</f>
        <v>670.4647344</v>
      </c>
      <c r="AC923" s="8">
        <f>Table3[[#This Row],[PrimaComercial Anual]]*Table3[[#This Row],[IT]]</f>
        <v>238.03199999999998</v>
      </c>
      <c r="AD923" s="8">
        <f>Table3[[#This Row],[PrimaComercial Anual]]*Table3[[#This Row],[IVA]]</f>
        <v>1031.472</v>
      </c>
      <c r="AE923" s="15">
        <f>Table3[[#This Row],[PrimaComercial Anual Asistencia]]</f>
        <v>7934.4</v>
      </c>
      <c r="AF923">
        <v>638.4</v>
      </c>
      <c r="AG923">
        <v>7934.4</v>
      </c>
    </row>
    <row r="924" spans="1:33" x14ac:dyDescent="0.25">
      <c r="A924" t="s">
        <v>19</v>
      </c>
      <c r="B924">
        <v>700001</v>
      </c>
      <c r="C924">
        <v>48</v>
      </c>
      <c r="D924" s="2">
        <f>Table3[[#This Row],[PrimaTécnica]]-Table3[[#This Row],[PrimaTécnica]]*SUM(Table3[[#This Row],[Gastos Adm]:[Cobranza]])</f>
        <v>3510.1127228543992</v>
      </c>
      <c r="E924">
        <v>287.41789439999997</v>
      </c>
      <c r="F924">
        <v>0.15</v>
      </c>
      <c r="G924">
        <v>0.05</v>
      </c>
      <c r="H924">
        <v>0.01</v>
      </c>
      <c r="I924">
        <v>0.01</v>
      </c>
      <c r="J924" s="8">
        <f>Table3[[#This Row],[PrimaTécnica]]*Table3[[#This Row],[Gastos Adm]]</f>
        <v>675.02167747199985</v>
      </c>
      <c r="K924" s="8">
        <f>Table3[[#This Row],[PrimaTécnica]]*Table3[[#This Row],[Utilidad]]</f>
        <v>225.00722582399996</v>
      </c>
      <c r="L924" s="8">
        <f>Table3[[#This Row],[PrimaTécnica]]*Table3[[#This Row],[Marketing]]</f>
        <v>45.001445164799989</v>
      </c>
      <c r="M924" s="8">
        <f>Table3[[#This Row],[PrimaTécnica]]*Table3[[#This Row],[Cobranza]]</f>
        <v>45.001445164799989</v>
      </c>
      <c r="N92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4500.1445164799989</v>
      </c>
      <c r="O924">
        <v>21.84</v>
      </c>
      <c r="P924">
        <v>54.6</v>
      </c>
      <c r="Q924">
        <v>80.64</v>
      </c>
      <c r="R924">
        <v>44.377200000000002</v>
      </c>
      <c r="S924">
        <v>0.2</v>
      </c>
      <c r="T924">
        <v>0.02</v>
      </c>
      <c r="U924" s="8">
        <f>Table3[[#This Row],[PrimaNeta]]*Table3[[#This Row],[Comisión]]</f>
        <v>1175.4004291199999</v>
      </c>
      <c r="V924" s="15">
        <f>Table3[[#This Row],[PrimaComercial Anual]]-Table3[[#This Row],[PrimaComercial Anual]]*SUM(Table3[[#This Row],[APS]:[IVA]])</f>
        <v>5877.0021455999995</v>
      </c>
      <c r="W924" s="2">
        <v>1.4800000000000001E-2</v>
      </c>
      <c r="X924" s="2">
        <v>8.4501000000000007E-2</v>
      </c>
      <c r="Y924">
        <v>0.03</v>
      </c>
      <c r="Z924">
        <v>0.13</v>
      </c>
      <c r="AA924" s="20">
        <f>Table3[[#This Row],[APS]]*Table3[[#This Row],[PrimaComercial Anual]]</f>
        <v>117.42912</v>
      </c>
      <c r="AB924" s="8">
        <f>Table3[[#This Row],[PrimaComercial Anual]]*Table3[[#This Row],[Recargo adicional]]</f>
        <v>670.4647344</v>
      </c>
      <c r="AC924" s="8">
        <f>Table3[[#This Row],[PrimaComercial Anual]]*Table3[[#This Row],[IT]]</f>
        <v>238.03199999999998</v>
      </c>
      <c r="AD924" s="8">
        <f>Table3[[#This Row],[PrimaComercial Anual]]*Table3[[#This Row],[IVA]]</f>
        <v>1031.472</v>
      </c>
      <c r="AE924" s="15">
        <f>Table3[[#This Row],[PrimaComercial Anual Asistencia]]</f>
        <v>7934.4</v>
      </c>
      <c r="AF924">
        <v>638.4</v>
      </c>
      <c r="AG924">
        <v>7934.4</v>
      </c>
    </row>
    <row r="925" spans="1:33" x14ac:dyDescent="0.25">
      <c r="A925" t="s">
        <v>19</v>
      </c>
      <c r="B925">
        <v>700001</v>
      </c>
      <c r="C925">
        <v>49</v>
      </c>
      <c r="D925" s="2">
        <f>Table3[[#This Row],[PrimaTécnica]]-Table3[[#This Row],[PrimaTécnica]]*SUM(Table3[[#This Row],[Gastos Adm]:[Cobranza]])</f>
        <v>3510.1127228543992</v>
      </c>
      <c r="E925">
        <v>287.41789439999997</v>
      </c>
      <c r="F925">
        <v>0.15</v>
      </c>
      <c r="G925">
        <v>0.05</v>
      </c>
      <c r="H925">
        <v>0.01</v>
      </c>
      <c r="I925">
        <v>0.01</v>
      </c>
      <c r="J925" s="8">
        <f>Table3[[#This Row],[PrimaTécnica]]*Table3[[#This Row],[Gastos Adm]]</f>
        <v>675.02167747199985</v>
      </c>
      <c r="K925" s="8">
        <f>Table3[[#This Row],[PrimaTécnica]]*Table3[[#This Row],[Utilidad]]</f>
        <v>225.00722582399996</v>
      </c>
      <c r="L925" s="8">
        <f>Table3[[#This Row],[PrimaTécnica]]*Table3[[#This Row],[Marketing]]</f>
        <v>45.001445164799989</v>
      </c>
      <c r="M925" s="8">
        <f>Table3[[#This Row],[PrimaTécnica]]*Table3[[#This Row],[Cobranza]]</f>
        <v>45.001445164799989</v>
      </c>
      <c r="N92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4500.1445164799989</v>
      </c>
      <c r="O925">
        <v>21.84</v>
      </c>
      <c r="P925">
        <v>54.6</v>
      </c>
      <c r="Q925">
        <v>80.64</v>
      </c>
      <c r="R925">
        <v>44.377200000000002</v>
      </c>
      <c r="S925">
        <v>0.2</v>
      </c>
      <c r="T925">
        <v>0.02</v>
      </c>
      <c r="U925" s="8">
        <f>Table3[[#This Row],[PrimaNeta]]*Table3[[#This Row],[Comisión]]</f>
        <v>1175.4004291199999</v>
      </c>
      <c r="V925" s="15">
        <f>Table3[[#This Row],[PrimaComercial Anual]]-Table3[[#This Row],[PrimaComercial Anual]]*SUM(Table3[[#This Row],[APS]:[IVA]])</f>
        <v>5877.0021455999995</v>
      </c>
      <c r="W925" s="2">
        <v>1.4800000000000001E-2</v>
      </c>
      <c r="X925" s="2">
        <v>8.4501000000000007E-2</v>
      </c>
      <c r="Y925">
        <v>0.03</v>
      </c>
      <c r="Z925">
        <v>0.13</v>
      </c>
      <c r="AA925" s="20">
        <f>Table3[[#This Row],[APS]]*Table3[[#This Row],[PrimaComercial Anual]]</f>
        <v>117.42912</v>
      </c>
      <c r="AB925" s="8">
        <f>Table3[[#This Row],[PrimaComercial Anual]]*Table3[[#This Row],[Recargo adicional]]</f>
        <v>670.4647344</v>
      </c>
      <c r="AC925" s="8">
        <f>Table3[[#This Row],[PrimaComercial Anual]]*Table3[[#This Row],[IT]]</f>
        <v>238.03199999999998</v>
      </c>
      <c r="AD925" s="8">
        <f>Table3[[#This Row],[PrimaComercial Anual]]*Table3[[#This Row],[IVA]]</f>
        <v>1031.472</v>
      </c>
      <c r="AE925" s="15">
        <f>Table3[[#This Row],[PrimaComercial Anual Asistencia]]</f>
        <v>7934.4</v>
      </c>
      <c r="AF925">
        <v>638.4</v>
      </c>
      <c r="AG925">
        <v>7934.4</v>
      </c>
    </row>
    <row r="926" spans="1:33" x14ac:dyDescent="0.25">
      <c r="A926" t="s">
        <v>17</v>
      </c>
      <c r="B926">
        <v>700002</v>
      </c>
      <c r="C926">
        <v>0</v>
      </c>
      <c r="D926" s="2">
        <f>Table3[[#This Row],[PrimaTécnica]]-Table3[[#This Row],[PrimaTécnica]]*SUM(Table3[[#This Row],[Gastos Adm]:[Cobranza]])</f>
        <v>3362.5797034751986</v>
      </c>
      <c r="E926">
        <v>0</v>
      </c>
      <c r="F926">
        <v>0.15</v>
      </c>
      <c r="G926">
        <v>0.05</v>
      </c>
      <c r="H926">
        <v>0.01</v>
      </c>
      <c r="I926">
        <v>0.01</v>
      </c>
      <c r="J926" s="8">
        <f>Table3[[#This Row],[PrimaTécnica]]*Table3[[#This Row],[Gastos Adm]]</f>
        <v>646.64994297599981</v>
      </c>
      <c r="K926" s="8">
        <f>Table3[[#This Row],[PrimaTécnica]]*Table3[[#This Row],[Utilidad]]</f>
        <v>215.54998099199994</v>
      </c>
      <c r="L926" s="8">
        <f>Table3[[#This Row],[PrimaTécnica]]*Table3[[#This Row],[Marketing]]</f>
        <v>43.109996198399983</v>
      </c>
      <c r="M926" s="8">
        <f>Table3[[#This Row],[PrimaTécnica]]*Table3[[#This Row],[Cobranza]]</f>
        <v>43.109996198399983</v>
      </c>
      <c r="N92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4310.9996198399986</v>
      </c>
      <c r="O926">
        <v>21.84</v>
      </c>
      <c r="P926">
        <v>54.6</v>
      </c>
      <c r="Q926">
        <v>80.64</v>
      </c>
      <c r="R926">
        <v>44.377200000000002</v>
      </c>
      <c r="S926">
        <v>0.2</v>
      </c>
      <c r="T926">
        <v>0.02</v>
      </c>
      <c r="U926" s="8">
        <f>Table3[[#This Row],[PrimaNeta]]*Table3[[#This Row],[Comisión]]</f>
        <v>1128.1142049600001</v>
      </c>
      <c r="V926" s="15">
        <f>Table3[[#This Row],[PrimaComercial Anual]]-Table3[[#This Row],[PrimaComercial Anual]]*SUM(Table3[[#This Row],[APS]:[IVA]])</f>
        <v>5640.5710247999996</v>
      </c>
      <c r="W926" s="2">
        <v>1.4800000000000001E-2</v>
      </c>
      <c r="X926" s="2">
        <v>8.4501000000000007E-2</v>
      </c>
      <c r="Y926">
        <v>0.03</v>
      </c>
      <c r="Z926">
        <v>0.13</v>
      </c>
      <c r="AA926" s="20">
        <f>Table3[[#This Row],[APS]]*Table3[[#This Row],[PrimaComercial Anual]]</f>
        <v>112.70496</v>
      </c>
      <c r="AB926" s="8">
        <f>Table3[[#This Row],[PrimaComercial Anual]]*Table3[[#This Row],[Recargo adicional]]</f>
        <v>643.49201520000008</v>
      </c>
      <c r="AC926" s="8">
        <f>Table3[[#This Row],[PrimaComercial Anual]]*Table3[[#This Row],[IT]]</f>
        <v>228.45599999999999</v>
      </c>
      <c r="AD926" s="8">
        <f>Table3[[#This Row],[PrimaComercial Anual]]*Table3[[#This Row],[IVA]]</f>
        <v>989.976</v>
      </c>
      <c r="AE926" s="15">
        <f>Table3[[#This Row],[PrimaComercial Anual Asistencia]]</f>
        <v>7615.2</v>
      </c>
      <c r="AG926">
        <v>7615.2</v>
      </c>
    </row>
    <row r="927" spans="1:33" x14ac:dyDescent="0.25">
      <c r="A927" t="s">
        <v>17</v>
      </c>
      <c r="B927">
        <v>700002</v>
      </c>
      <c r="C927">
        <v>1</v>
      </c>
      <c r="D927" s="2">
        <f>Table3[[#This Row],[PrimaTécnica]]-Table3[[#This Row],[PrimaTécnica]]*SUM(Table3[[#This Row],[Gastos Adm]:[Cobranza]])</f>
        <v>3362.5797034751986</v>
      </c>
      <c r="E927">
        <v>0</v>
      </c>
      <c r="F927">
        <v>0.15</v>
      </c>
      <c r="G927">
        <v>0.05</v>
      </c>
      <c r="H927">
        <v>0.01</v>
      </c>
      <c r="I927">
        <v>0.01</v>
      </c>
      <c r="J927" s="8">
        <f>Table3[[#This Row],[PrimaTécnica]]*Table3[[#This Row],[Gastos Adm]]</f>
        <v>646.64994297599981</v>
      </c>
      <c r="K927" s="8">
        <f>Table3[[#This Row],[PrimaTécnica]]*Table3[[#This Row],[Utilidad]]</f>
        <v>215.54998099199994</v>
      </c>
      <c r="L927" s="8">
        <f>Table3[[#This Row],[PrimaTécnica]]*Table3[[#This Row],[Marketing]]</f>
        <v>43.109996198399983</v>
      </c>
      <c r="M927" s="8">
        <f>Table3[[#This Row],[PrimaTécnica]]*Table3[[#This Row],[Cobranza]]</f>
        <v>43.109996198399983</v>
      </c>
      <c r="N92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4310.9996198399986</v>
      </c>
      <c r="O927">
        <v>21.84</v>
      </c>
      <c r="P927">
        <v>54.6</v>
      </c>
      <c r="Q927">
        <v>80.64</v>
      </c>
      <c r="R927">
        <v>44.377200000000002</v>
      </c>
      <c r="S927">
        <v>0.2</v>
      </c>
      <c r="T927">
        <v>0.02</v>
      </c>
      <c r="U927" s="8">
        <f>Table3[[#This Row],[PrimaNeta]]*Table3[[#This Row],[Comisión]]</f>
        <v>1128.1142049600001</v>
      </c>
      <c r="V927" s="15">
        <f>Table3[[#This Row],[PrimaComercial Anual]]-Table3[[#This Row],[PrimaComercial Anual]]*SUM(Table3[[#This Row],[APS]:[IVA]])</f>
        <v>5640.5710247999996</v>
      </c>
      <c r="W927" s="2">
        <v>1.4800000000000001E-2</v>
      </c>
      <c r="X927" s="2">
        <v>8.4501000000000007E-2</v>
      </c>
      <c r="Y927">
        <v>0.03</v>
      </c>
      <c r="Z927">
        <v>0.13</v>
      </c>
      <c r="AA927" s="20">
        <f>Table3[[#This Row],[APS]]*Table3[[#This Row],[PrimaComercial Anual]]</f>
        <v>112.70496</v>
      </c>
      <c r="AB927" s="8">
        <f>Table3[[#This Row],[PrimaComercial Anual]]*Table3[[#This Row],[Recargo adicional]]</f>
        <v>643.49201520000008</v>
      </c>
      <c r="AC927" s="8">
        <f>Table3[[#This Row],[PrimaComercial Anual]]*Table3[[#This Row],[IT]]</f>
        <v>228.45599999999999</v>
      </c>
      <c r="AD927" s="8">
        <f>Table3[[#This Row],[PrimaComercial Anual]]*Table3[[#This Row],[IVA]]</f>
        <v>989.976</v>
      </c>
      <c r="AE927" s="15">
        <f>Table3[[#This Row],[PrimaComercial Anual Asistencia]]</f>
        <v>7615.2</v>
      </c>
      <c r="AG927">
        <v>7615.2</v>
      </c>
    </row>
    <row r="928" spans="1:33" x14ac:dyDescent="0.25">
      <c r="A928" t="s">
        <v>17</v>
      </c>
      <c r="B928">
        <v>700002</v>
      </c>
      <c r="C928">
        <v>2</v>
      </c>
      <c r="D928" s="2">
        <f>Table3[[#This Row],[PrimaTécnica]]-Table3[[#This Row],[PrimaTécnica]]*SUM(Table3[[#This Row],[Gastos Adm]:[Cobranza]])</f>
        <v>3362.5797034751986</v>
      </c>
      <c r="E928">
        <v>0</v>
      </c>
      <c r="F928">
        <v>0.15</v>
      </c>
      <c r="G928">
        <v>0.05</v>
      </c>
      <c r="H928">
        <v>0.01</v>
      </c>
      <c r="I928">
        <v>0.01</v>
      </c>
      <c r="J928" s="8">
        <f>Table3[[#This Row],[PrimaTécnica]]*Table3[[#This Row],[Gastos Adm]]</f>
        <v>646.64994297599981</v>
      </c>
      <c r="K928" s="8">
        <f>Table3[[#This Row],[PrimaTécnica]]*Table3[[#This Row],[Utilidad]]</f>
        <v>215.54998099199994</v>
      </c>
      <c r="L928" s="8">
        <f>Table3[[#This Row],[PrimaTécnica]]*Table3[[#This Row],[Marketing]]</f>
        <v>43.109996198399983</v>
      </c>
      <c r="M928" s="8">
        <f>Table3[[#This Row],[PrimaTécnica]]*Table3[[#This Row],[Cobranza]]</f>
        <v>43.109996198399983</v>
      </c>
      <c r="N92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4310.9996198399986</v>
      </c>
      <c r="O928">
        <v>21.84</v>
      </c>
      <c r="P928">
        <v>54.6</v>
      </c>
      <c r="Q928">
        <v>80.64</v>
      </c>
      <c r="R928">
        <v>44.377200000000002</v>
      </c>
      <c r="S928">
        <v>0.2</v>
      </c>
      <c r="T928">
        <v>0.02</v>
      </c>
      <c r="U928" s="8">
        <f>Table3[[#This Row],[PrimaNeta]]*Table3[[#This Row],[Comisión]]</f>
        <v>1128.1142049600001</v>
      </c>
      <c r="V928" s="15">
        <f>Table3[[#This Row],[PrimaComercial Anual]]-Table3[[#This Row],[PrimaComercial Anual]]*SUM(Table3[[#This Row],[APS]:[IVA]])</f>
        <v>5640.5710247999996</v>
      </c>
      <c r="W928" s="2">
        <v>1.4800000000000001E-2</v>
      </c>
      <c r="X928" s="2">
        <v>8.4501000000000007E-2</v>
      </c>
      <c r="Y928">
        <v>0.03</v>
      </c>
      <c r="Z928">
        <v>0.13</v>
      </c>
      <c r="AA928" s="20">
        <f>Table3[[#This Row],[APS]]*Table3[[#This Row],[PrimaComercial Anual]]</f>
        <v>112.70496</v>
      </c>
      <c r="AB928" s="8">
        <f>Table3[[#This Row],[PrimaComercial Anual]]*Table3[[#This Row],[Recargo adicional]]</f>
        <v>643.49201520000008</v>
      </c>
      <c r="AC928" s="8">
        <f>Table3[[#This Row],[PrimaComercial Anual]]*Table3[[#This Row],[IT]]</f>
        <v>228.45599999999999</v>
      </c>
      <c r="AD928" s="8">
        <f>Table3[[#This Row],[PrimaComercial Anual]]*Table3[[#This Row],[IVA]]</f>
        <v>989.976</v>
      </c>
      <c r="AE928" s="15">
        <f>Table3[[#This Row],[PrimaComercial Anual Asistencia]]</f>
        <v>7615.2</v>
      </c>
      <c r="AG928">
        <v>7615.2</v>
      </c>
    </row>
    <row r="929" spans="1:33" x14ac:dyDescent="0.25">
      <c r="A929" t="s">
        <v>17</v>
      </c>
      <c r="B929">
        <v>700002</v>
      </c>
      <c r="C929">
        <v>3</v>
      </c>
      <c r="D929" s="2">
        <f>Table3[[#This Row],[PrimaTécnica]]-Table3[[#This Row],[PrimaTécnica]]*SUM(Table3[[#This Row],[Gastos Adm]:[Cobranza]])</f>
        <v>2440.4983323552001</v>
      </c>
      <c r="E929">
        <v>0</v>
      </c>
      <c r="F929">
        <v>0.15</v>
      </c>
      <c r="G929">
        <v>0.05</v>
      </c>
      <c r="H929">
        <v>0.01</v>
      </c>
      <c r="I929">
        <v>0.01</v>
      </c>
      <c r="J929" s="8">
        <f>Table3[[#This Row],[PrimaTécnica]]*Table3[[#This Row],[Gastos Adm]]</f>
        <v>469.32660237600004</v>
      </c>
      <c r="K929" s="8">
        <f>Table3[[#This Row],[PrimaTécnica]]*Table3[[#This Row],[Utilidad]]</f>
        <v>156.44220079200002</v>
      </c>
      <c r="L929" s="8">
        <f>Table3[[#This Row],[PrimaTécnica]]*Table3[[#This Row],[Marketing]]</f>
        <v>31.288440158400004</v>
      </c>
      <c r="M929" s="8">
        <f>Table3[[#This Row],[PrimaTécnica]]*Table3[[#This Row],[Cobranza]]</f>
        <v>31.288440158400004</v>
      </c>
      <c r="N92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3128.8440158400003</v>
      </c>
      <c r="O929">
        <v>21.84</v>
      </c>
      <c r="P929">
        <v>54.6</v>
      </c>
      <c r="Q929">
        <v>80.64</v>
      </c>
      <c r="R929">
        <v>44.377200000000002</v>
      </c>
      <c r="S929">
        <v>0.2</v>
      </c>
      <c r="T929">
        <v>0.02</v>
      </c>
      <c r="U929" s="8">
        <f>Table3[[#This Row],[PrimaNeta]]*Table3[[#This Row],[Comisión]]</f>
        <v>832.57530396000004</v>
      </c>
      <c r="V929" s="15">
        <f>Table3[[#This Row],[PrimaComercial Anual]]-Table3[[#This Row],[PrimaComercial Anual]]*SUM(Table3[[#This Row],[APS]:[IVA]])</f>
        <v>4162.8765198000001</v>
      </c>
      <c r="W929" s="2">
        <v>1.4800000000000001E-2</v>
      </c>
      <c r="X929" s="2">
        <v>8.4501000000000007E-2</v>
      </c>
      <c r="Y929">
        <v>0.03</v>
      </c>
      <c r="Z929">
        <v>0.13</v>
      </c>
      <c r="AA929" s="20">
        <f>Table3[[#This Row],[APS]]*Table3[[#This Row],[PrimaComercial Anual]]</f>
        <v>83.178960000000004</v>
      </c>
      <c r="AB929" s="8">
        <f>Table3[[#This Row],[PrimaComercial Anual]]*Table3[[#This Row],[Recargo adicional]]</f>
        <v>474.91252020000002</v>
      </c>
      <c r="AC929" s="8">
        <f>Table3[[#This Row],[PrimaComercial Anual]]*Table3[[#This Row],[IT]]</f>
        <v>168.60599999999999</v>
      </c>
      <c r="AD929" s="8">
        <f>Table3[[#This Row],[PrimaComercial Anual]]*Table3[[#This Row],[IVA]]</f>
        <v>730.62599999999998</v>
      </c>
      <c r="AE929" s="15">
        <f>Table3[[#This Row],[PrimaComercial Anual Asistencia]]</f>
        <v>5620.2</v>
      </c>
      <c r="AG929">
        <v>5620.2</v>
      </c>
    </row>
    <row r="930" spans="1:33" x14ac:dyDescent="0.25">
      <c r="A930" t="s">
        <v>17</v>
      </c>
      <c r="B930">
        <v>700002</v>
      </c>
      <c r="C930">
        <v>4</v>
      </c>
      <c r="D930" s="2">
        <f>Table3[[#This Row],[PrimaTécnica]]-Table3[[#This Row],[PrimaTécnica]]*SUM(Table3[[#This Row],[Gastos Adm]:[Cobranza]])</f>
        <v>2440.4983323552001</v>
      </c>
      <c r="E930">
        <v>0</v>
      </c>
      <c r="F930">
        <v>0.15</v>
      </c>
      <c r="G930">
        <v>0.05</v>
      </c>
      <c r="H930">
        <v>0.01</v>
      </c>
      <c r="I930">
        <v>0.01</v>
      </c>
      <c r="J930" s="8">
        <f>Table3[[#This Row],[PrimaTécnica]]*Table3[[#This Row],[Gastos Adm]]</f>
        <v>469.32660237600004</v>
      </c>
      <c r="K930" s="8">
        <f>Table3[[#This Row],[PrimaTécnica]]*Table3[[#This Row],[Utilidad]]</f>
        <v>156.44220079200002</v>
      </c>
      <c r="L930" s="8">
        <f>Table3[[#This Row],[PrimaTécnica]]*Table3[[#This Row],[Marketing]]</f>
        <v>31.288440158400004</v>
      </c>
      <c r="M930" s="8">
        <f>Table3[[#This Row],[PrimaTécnica]]*Table3[[#This Row],[Cobranza]]</f>
        <v>31.288440158400004</v>
      </c>
      <c r="N93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3128.8440158400003</v>
      </c>
      <c r="O930">
        <v>21.84</v>
      </c>
      <c r="P930">
        <v>54.6</v>
      </c>
      <c r="Q930">
        <v>80.64</v>
      </c>
      <c r="R930">
        <v>44.377200000000002</v>
      </c>
      <c r="S930">
        <v>0.2</v>
      </c>
      <c r="T930">
        <v>0.02</v>
      </c>
      <c r="U930" s="8">
        <f>Table3[[#This Row],[PrimaNeta]]*Table3[[#This Row],[Comisión]]</f>
        <v>832.57530396000004</v>
      </c>
      <c r="V930" s="15">
        <f>Table3[[#This Row],[PrimaComercial Anual]]-Table3[[#This Row],[PrimaComercial Anual]]*SUM(Table3[[#This Row],[APS]:[IVA]])</f>
        <v>4162.8765198000001</v>
      </c>
      <c r="W930" s="2">
        <v>1.4800000000000001E-2</v>
      </c>
      <c r="X930" s="2">
        <v>8.4501000000000007E-2</v>
      </c>
      <c r="Y930">
        <v>0.03</v>
      </c>
      <c r="Z930">
        <v>0.13</v>
      </c>
      <c r="AA930" s="20">
        <f>Table3[[#This Row],[APS]]*Table3[[#This Row],[PrimaComercial Anual]]</f>
        <v>83.178960000000004</v>
      </c>
      <c r="AB930" s="8">
        <f>Table3[[#This Row],[PrimaComercial Anual]]*Table3[[#This Row],[Recargo adicional]]</f>
        <v>474.91252020000002</v>
      </c>
      <c r="AC930" s="8">
        <f>Table3[[#This Row],[PrimaComercial Anual]]*Table3[[#This Row],[IT]]</f>
        <v>168.60599999999999</v>
      </c>
      <c r="AD930" s="8">
        <f>Table3[[#This Row],[PrimaComercial Anual]]*Table3[[#This Row],[IVA]]</f>
        <v>730.62599999999998</v>
      </c>
      <c r="AE930" s="15">
        <f>Table3[[#This Row],[PrimaComercial Anual Asistencia]]</f>
        <v>5620.2</v>
      </c>
      <c r="AG930">
        <v>5620.2</v>
      </c>
    </row>
    <row r="931" spans="1:33" x14ac:dyDescent="0.25">
      <c r="A931" t="s">
        <v>17</v>
      </c>
      <c r="B931">
        <v>700002</v>
      </c>
      <c r="C931">
        <v>5</v>
      </c>
      <c r="D931" s="2">
        <f>Table3[[#This Row],[PrimaTécnica]]-Table3[[#This Row],[PrimaTécnica]]*SUM(Table3[[#This Row],[Gastos Adm]:[Cobranza]])</f>
        <v>2440.4983323552001</v>
      </c>
      <c r="E931">
        <v>0</v>
      </c>
      <c r="F931">
        <v>0.15</v>
      </c>
      <c r="G931">
        <v>0.05</v>
      </c>
      <c r="H931">
        <v>0.01</v>
      </c>
      <c r="I931">
        <v>0.01</v>
      </c>
      <c r="J931" s="8">
        <f>Table3[[#This Row],[PrimaTécnica]]*Table3[[#This Row],[Gastos Adm]]</f>
        <v>469.32660237600004</v>
      </c>
      <c r="K931" s="8">
        <f>Table3[[#This Row],[PrimaTécnica]]*Table3[[#This Row],[Utilidad]]</f>
        <v>156.44220079200002</v>
      </c>
      <c r="L931" s="8">
        <f>Table3[[#This Row],[PrimaTécnica]]*Table3[[#This Row],[Marketing]]</f>
        <v>31.288440158400004</v>
      </c>
      <c r="M931" s="8">
        <f>Table3[[#This Row],[PrimaTécnica]]*Table3[[#This Row],[Cobranza]]</f>
        <v>31.288440158400004</v>
      </c>
      <c r="N93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3128.8440158400003</v>
      </c>
      <c r="O931">
        <v>21.84</v>
      </c>
      <c r="P931">
        <v>54.6</v>
      </c>
      <c r="Q931">
        <v>80.64</v>
      </c>
      <c r="R931">
        <v>44.377200000000002</v>
      </c>
      <c r="S931">
        <v>0.2</v>
      </c>
      <c r="T931">
        <v>0.02</v>
      </c>
      <c r="U931" s="8">
        <f>Table3[[#This Row],[PrimaNeta]]*Table3[[#This Row],[Comisión]]</f>
        <v>832.57530396000004</v>
      </c>
      <c r="V931" s="15">
        <f>Table3[[#This Row],[PrimaComercial Anual]]-Table3[[#This Row],[PrimaComercial Anual]]*SUM(Table3[[#This Row],[APS]:[IVA]])</f>
        <v>4162.8765198000001</v>
      </c>
      <c r="W931" s="2">
        <v>1.4800000000000001E-2</v>
      </c>
      <c r="X931" s="2">
        <v>8.4501000000000007E-2</v>
      </c>
      <c r="Y931">
        <v>0.03</v>
      </c>
      <c r="Z931">
        <v>0.13</v>
      </c>
      <c r="AA931" s="20">
        <f>Table3[[#This Row],[APS]]*Table3[[#This Row],[PrimaComercial Anual]]</f>
        <v>83.178960000000004</v>
      </c>
      <c r="AB931" s="8">
        <f>Table3[[#This Row],[PrimaComercial Anual]]*Table3[[#This Row],[Recargo adicional]]</f>
        <v>474.91252020000002</v>
      </c>
      <c r="AC931" s="8">
        <f>Table3[[#This Row],[PrimaComercial Anual]]*Table3[[#This Row],[IT]]</f>
        <v>168.60599999999999</v>
      </c>
      <c r="AD931" s="8">
        <f>Table3[[#This Row],[PrimaComercial Anual]]*Table3[[#This Row],[IVA]]</f>
        <v>730.62599999999998</v>
      </c>
      <c r="AE931" s="15">
        <f>Table3[[#This Row],[PrimaComercial Anual Asistencia]]</f>
        <v>5620.2</v>
      </c>
      <c r="AG931">
        <v>5620.2</v>
      </c>
    </row>
    <row r="932" spans="1:33" x14ac:dyDescent="0.25">
      <c r="A932" t="s">
        <v>17</v>
      </c>
      <c r="B932">
        <v>700002</v>
      </c>
      <c r="C932">
        <v>6</v>
      </c>
      <c r="D932" s="2">
        <f>Table3[[#This Row],[PrimaTécnica]]-Table3[[#This Row],[PrimaTécnica]]*SUM(Table3[[#This Row],[Gastos Adm]:[Cobranza]])</f>
        <v>2292.9653129760004</v>
      </c>
      <c r="E932">
        <v>0</v>
      </c>
      <c r="F932">
        <v>0.15</v>
      </c>
      <c r="G932">
        <v>0.05</v>
      </c>
      <c r="H932">
        <v>0.01</v>
      </c>
      <c r="I932">
        <v>0.01</v>
      </c>
      <c r="J932" s="8">
        <f>Table3[[#This Row],[PrimaTécnica]]*Table3[[#This Row],[Gastos Adm]]</f>
        <v>440.95486788000005</v>
      </c>
      <c r="K932" s="8">
        <f>Table3[[#This Row],[PrimaTécnica]]*Table3[[#This Row],[Utilidad]]</f>
        <v>146.98495596000004</v>
      </c>
      <c r="L932" s="8">
        <f>Table3[[#This Row],[PrimaTécnica]]*Table3[[#This Row],[Marketing]]</f>
        <v>29.396991192000005</v>
      </c>
      <c r="M932" s="8">
        <f>Table3[[#This Row],[PrimaTécnica]]*Table3[[#This Row],[Cobranza]]</f>
        <v>29.396991192000005</v>
      </c>
      <c r="N93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2939.6991192000005</v>
      </c>
      <c r="O932">
        <v>21.84</v>
      </c>
      <c r="P932">
        <v>54.6</v>
      </c>
      <c r="Q932">
        <v>80.64</v>
      </c>
      <c r="R932">
        <v>44.377200000000002</v>
      </c>
      <c r="S932">
        <v>0.2</v>
      </c>
      <c r="T932">
        <v>0.02</v>
      </c>
      <c r="U932" s="8">
        <f>Table3[[#This Row],[PrimaNeta]]*Table3[[#This Row],[Comisión]]</f>
        <v>785.28907980000008</v>
      </c>
      <c r="V932" s="15">
        <f>Table3[[#This Row],[PrimaComercial Anual]]-Table3[[#This Row],[PrimaComercial Anual]]*SUM(Table3[[#This Row],[APS]:[IVA]])</f>
        <v>3926.4453990000002</v>
      </c>
      <c r="W932" s="2">
        <v>1.4800000000000001E-2</v>
      </c>
      <c r="X932" s="2">
        <v>8.4501000000000007E-2</v>
      </c>
      <c r="Y932">
        <v>0.03</v>
      </c>
      <c r="Z932">
        <v>0.13</v>
      </c>
      <c r="AA932" s="20">
        <f>Table3[[#This Row],[APS]]*Table3[[#This Row],[PrimaComercial Anual]]</f>
        <v>78.454800000000006</v>
      </c>
      <c r="AB932" s="8">
        <f>Table3[[#This Row],[PrimaComercial Anual]]*Table3[[#This Row],[Recargo adicional]]</f>
        <v>447.93980100000005</v>
      </c>
      <c r="AC932" s="8">
        <f>Table3[[#This Row],[PrimaComercial Anual]]*Table3[[#This Row],[IT]]</f>
        <v>159.03</v>
      </c>
      <c r="AD932" s="8">
        <f>Table3[[#This Row],[PrimaComercial Anual]]*Table3[[#This Row],[IVA]]</f>
        <v>689.13</v>
      </c>
      <c r="AE932" s="15">
        <f>Table3[[#This Row],[PrimaComercial Anual Asistencia]]</f>
        <v>5301</v>
      </c>
      <c r="AG932">
        <v>5301</v>
      </c>
    </row>
    <row r="933" spans="1:33" x14ac:dyDescent="0.25">
      <c r="A933" t="s">
        <v>17</v>
      </c>
      <c r="B933">
        <v>700002</v>
      </c>
      <c r="C933">
        <v>7</v>
      </c>
      <c r="D933" s="2">
        <f>Table3[[#This Row],[PrimaTécnica]]-Table3[[#This Row],[PrimaTécnica]]*SUM(Table3[[#This Row],[Gastos Adm]:[Cobranza]])</f>
        <v>2292.9653129760004</v>
      </c>
      <c r="E933">
        <v>0</v>
      </c>
      <c r="F933">
        <v>0.15</v>
      </c>
      <c r="G933">
        <v>0.05</v>
      </c>
      <c r="H933">
        <v>0.01</v>
      </c>
      <c r="I933">
        <v>0.01</v>
      </c>
      <c r="J933" s="8">
        <f>Table3[[#This Row],[PrimaTécnica]]*Table3[[#This Row],[Gastos Adm]]</f>
        <v>440.95486788000005</v>
      </c>
      <c r="K933" s="8">
        <f>Table3[[#This Row],[PrimaTécnica]]*Table3[[#This Row],[Utilidad]]</f>
        <v>146.98495596000004</v>
      </c>
      <c r="L933" s="8">
        <f>Table3[[#This Row],[PrimaTécnica]]*Table3[[#This Row],[Marketing]]</f>
        <v>29.396991192000005</v>
      </c>
      <c r="M933" s="8">
        <f>Table3[[#This Row],[PrimaTécnica]]*Table3[[#This Row],[Cobranza]]</f>
        <v>29.396991192000005</v>
      </c>
      <c r="N93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2939.6991192000005</v>
      </c>
      <c r="O933">
        <v>21.84</v>
      </c>
      <c r="P933">
        <v>54.6</v>
      </c>
      <c r="Q933">
        <v>80.64</v>
      </c>
      <c r="R933">
        <v>44.377200000000002</v>
      </c>
      <c r="S933">
        <v>0.2</v>
      </c>
      <c r="T933">
        <v>0.02</v>
      </c>
      <c r="U933" s="8">
        <f>Table3[[#This Row],[PrimaNeta]]*Table3[[#This Row],[Comisión]]</f>
        <v>785.28907980000008</v>
      </c>
      <c r="V933" s="15">
        <f>Table3[[#This Row],[PrimaComercial Anual]]-Table3[[#This Row],[PrimaComercial Anual]]*SUM(Table3[[#This Row],[APS]:[IVA]])</f>
        <v>3926.4453990000002</v>
      </c>
      <c r="W933" s="2">
        <v>1.4800000000000001E-2</v>
      </c>
      <c r="X933" s="2">
        <v>8.4501000000000007E-2</v>
      </c>
      <c r="Y933">
        <v>0.03</v>
      </c>
      <c r="Z933">
        <v>0.13</v>
      </c>
      <c r="AA933" s="20">
        <f>Table3[[#This Row],[APS]]*Table3[[#This Row],[PrimaComercial Anual]]</f>
        <v>78.454800000000006</v>
      </c>
      <c r="AB933" s="8">
        <f>Table3[[#This Row],[PrimaComercial Anual]]*Table3[[#This Row],[Recargo adicional]]</f>
        <v>447.93980100000005</v>
      </c>
      <c r="AC933" s="8">
        <f>Table3[[#This Row],[PrimaComercial Anual]]*Table3[[#This Row],[IT]]</f>
        <v>159.03</v>
      </c>
      <c r="AD933" s="8">
        <f>Table3[[#This Row],[PrimaComercial Anual]]*Table3[[#This Row],[IVA]]</f>
        <v>689.13</v>
      </c>
      <c r="AE933" s="15">
        <f>Table3[[#This Row],[PrimaComercial Anual Asistencia]]</f>
        <v>5301</v>
      </c>
      <c r="AG933">
        <v>5301</v>
      </c>
    </row>
    <row r="934" spans="1:33" x14ac:dyDescent="0.25">
      <c r="A934" t="s">
        <v>17</v>
      </c>
      <c r="B934">
        <v>700002</v>
      </c>
      <c r="C934">
        <v>8</v>
      </c>
      <c r="D934" s="2">
        <f>Table3[[#This Row],[PrimaTécnica]]-Table3[[#This Row],[PrimaTécnica]]*SUM(Table3[[#This Row],[Gastos Adm]:[Cobranza]])</f>
        <v>2292.9653129760004</v>
      </c>
      <c r="E934">
        <v>0</v>
      </c>
      <c r="F934">
        <v>0.15</v>
      </c>
      <c r="G934">
        <v>0.05</v>
      </c>
      <c r="H934">
        <v>0.01</v>
      </c>
      <c r="I934">
        <v>0.01</v>
      </c>
      <c r="J934" s="8">
        <f>Table3[[#This Row],[PrimaTécnica]]*Table3[[#This Row],[Gastos Adm]]</f>
        <v>440.95486788000005</v>
      </c>
      <c r="K934" s="8">
        <f>Table3[[#This Row],[PrimaTécnica]]*Table3[[#This Row],[Utilidad]]</f>
        <v>146.98495596000004</v>
      </c>
      <c r="L934" s="8">
        <f>Table3[[#This Row],[PrimaTécnica]]*Table3[[#This Row],[Marketing]]</f>
        <v>29.396991192000005</v>
      </c>
      <c r="M934" s="8">
        <f>Table3[[#This Row],[PrimaTécnica]]*Table3[[#This Row],[Cobranza]]</f>
        <v>29.396991192000005</v>
      </c>
      <c r="N93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2939.6991192000005</v>
      </c>
      <c r="O934">
        <v>21.84</v>
      </c>
      <c r="P934">
        <v>54.6</v>
      </c>
      <c r="Q934">
        <v>80.64</v>
      </c>
      <c r="R934">
        <v>44.377200000000002</v>
      </c>
      <c r="S934">
        <v>0.2</v>
      </c>
      <c r="T934">
        <v>0.02</v>
      </c>
      <c r="U934" s="8">
        <f>Table3[[#This Row],[PrimaNeta]]*Table3[[#This Row],[Comisión]]</f>
        <v>785.28907980000008</v>
      </c>
      <c r="V934" s="15">
        <f>Table3[[#This Row],[PrimaComercial Anual]]-Table3[[#This Row],[PrimaComercial Anual]]*SUM(Table3[[#This Row],[APS]:[IVA]])</f>
        <v>3926.4453990000002</v>
      </c>
      <c r="W934" s="2">
        <v>1.4800000000000001E-2</v>
      </c>
      <c r="X934" s="2">
        <v>8.4501000000000007E-2</v>
      </c>
      <c r="Y934">
        <v>0.03</v>
      </c>
      <c r="Z934">
        <v>0.13</v>
      </c>
      <c r="AA934" s="20">
        <f>Table3[[#This Row],[APS]]*Table3[[#This Row],[PrimaComercial Anual]]</f>
        <v>78.454800000000006</v>
      </c>
      <c r="AB934" s="8">
        <f>Table3[[#This Row],[PrimaComercial Anual]]*Table3[[#This Row],[Recargo adicional]]</f>
        <v>447.93980100000005</v>
      </c>
      <c r="AC934" s="8">
        <f>Table3[[#This Row],[PrimaComercial Anual]]*Table3[[#This Row],[IT]]</f>
        <v>159.03</v>
      </c>
      <c r="AD934" s="8">
        <f>Table3[[#This Row],[PrimaComercial Anual]]*Table3[[#This Row],[IVA]]</f>
        <v>689.13</v>
      </c>
      <c r="AE934" s="15">
        <f>Table3[[#This Row],[PrimaComercial Anual Asistencia]]</f>
        <v>5301</v>
      </c>
      <c r="AG934">
        <v>5301</v>
      </c>
    </row>
    <row r="935" spans="1:33" x14ac:dyDescent="0.25">
      <c r="A935" t="s">
        <v>17</v>
      </c>
      <c r="B935">
        <v>700002</v>
      </c>
      <c r="C935">
        <v>9</v>
      </c>
      <c r="D935" s="2">
        <f>Table3[[#This Row],[PrimaTécnica]]-Table3[[#This Row],[PrimaTécnica]]*SUM(Table3[[#This Row],[Gastos Adm]:[Cobranza]])</f>
        <v>2292.9653129760004</v>
      </c>
      <c r="E935">
        <v>0</v>
      </c>
      <c r="F935">
        <v>0.15</v>
      </c>
      <c r="G935">
        <v>0.05</v>
      </c>
      <c r="H935">
        <v>0.01</v>
      </c>
      <c r="I935">
        <v>0.01</v>
      </c>
      <c r="J935" s="8">
        <f>Table3[[#This Row],[PrimaTécnica]]*Table3[[#This Row],[Gastos Adm]]</f>
        <v>440.95486788000005</v>
      </c>
      <c r="K935" s="8">
        <f>Table3[[#This Row],[PrimaTécnica]]*Table3[[#This Row],[Utilidad]]</f>
        <v>146.98495596000004</v>
      </c>
      <c r="L935" s="8">
        <f>Table3[[#This Row],[PrimaTécnica]]*Table3[[#This Row],[Marketing]]</f>
        <v>29.396991192000005</v>
      </c>
      <c r="M935" s="8">
        <f>Table3[[#This Row],[PrimaTécnica]]*Table3[[#This Row],[Cobranza]]</f>
        <v>29.396991192000005</v>
      </c>
      <c r="N93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2939.6991192000005</v>
      </c>
      <c r="O935">
        <v>21.84</v>
      </c>
      <c r="P935">
        <v>54.6</v>
      </c>
      <c r="Q935">
        <v>80.64</v>
      </c>
      <c r="R935">
        <v>44.377200000000002</v>
      </c>
      <c r="S935">
        <v>0.2</v>
      </c>
      <c r="T935">
        <v>0.02</v>
      </c>
      <c r="U935" s="8">
        <f>Table3[[#This Row],[PrimaNeta]]*Table3[[#This Row],[Comisión]]</f>
        <v>785.28907980000008</v>
      </c>
      <c r="V935" s="15">
        <f>Table3[[#This Row],[PrimaComercial Anual]]-Table3[[#This Row],[PrimaComercial Anual]]*SUM(Table3[[#This Row],[APS]:[IVA]])</f>
        <v>3926.4453990000002</v>
      </c>
      <c r="W935" s="2">
        <v>1.4800000000000001E-2</v>
      </c>
      <c r="X935" s="2">
        <v>8.4501000000000007E-2</v>
      </c>
      <c r="Y935">
        <v>0.03</v>
      </c>
      <c r="Z935">
        <v>0.13</v>
      </c>
      <c r="AA935" s="20">
        <f>Table3[[#This Row],[APS]]*Table3[[#This Row],[PrimaComercial Anual]]</f>
        <v>78.454800000000006</v>
      </c>
      <c r="AB935" s="8">
        <f>Table3[[#This Row],[PrimaComercial Anual]]*Table3[[#This Row],[Recargo adicional]]</f>
        <v>447.93980100000005</v>
      </c>
      <c r="AC935" s="8">
        <f>Table3[[#This Row],[PrimaComercial Anual]]*Table3[[#This Row],[IT]]</f>
        <v>159.03</v>
      </c>
      <c r="AD935" s="8">
        <f>Table3[[#This Row],[PrimaComercial Anual]]*Table3[[#This Row],[IVA]]</f>
        <v>689.13</v>
      </c>
      <c r="AE935" s="15">
        <f>Table3[[#This Row],[PrimaComercial Anual Asistencia]]</f>
        <v>5301</v>
      </c>
      <c r="AG935">
        <v>5301</v>
      </c>
    </row>
    <row r="936" spans="1:33" x14ac:dyDescent="0.25">
      <c r="A936" t="s">
        <v>17</v>
      </c>
      <c r="B936">
        <v>700002</v>
      </c>
      <c r="C936">
        <v>10</v>
      </c>
      <c r="D936" s="2">
        <f>Table3[[#This Row],[PrimaTécnica]]-Table3[[#This Row],[PrimaTécnica]]*SUM(Table3[[#This Row],[Gastos Adm]:[Cobranza]])</f>
        <v>2292.9653129760004</v>
      </c>
      <c r="E936">
        <v>0</v>
      </c>
      <c r="F936">
        <v>0.15</v>
      </c>
      <c r="G936">
        <v>0.05</v>
      </c>
      <c r="H936">
        <v>0.01</v>
      </c>
      <c r="I936">
        <v>0.01</v>
      </c>
      <c r="J936" s="8">
        <f>Table3[[#This Row],[PrimaTécnica]]*Table3[[#This Row],[Gastos Adm]]</f>
        <v>440.95486788000005</v>
      </c>
      <c r="K936" s="8">
        <f>Table3[[#This Row],[PrimaTécnica]]*Table3[[#This Row],[Utilidad]]</f>
        <v>146.98495596000004</v>
      </c>
      <c r="L936" s="8">
        <f>Table3[[#This Row],[PrimaTécnica]]*Table3[[#This Row],[Marketing]]</f>
        <v>29.396991192000005</v>
      </c>
      <c r="M936" s="8">
        <f>Table3[[#This Row],[PrimaTécnica]]*Table3[[#This Row],[Cobranza]]</f>
        <v>29.396991192000005</v>
      </c>
      <c r="N93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2939.6991192000005</v>
      </c>
      <c r="O936">
        <v>21.84</v>
      </c>
      <c r="P936">
        <v>54.6</v>
      </c>
      <c r="Q936">
        <v>80.64</v>
      </c>
      <c r="R936">
        <v>44.377200000000002</v>
      </c>
      <c r="S936">
        <v>0.2</v>
      </c>
      <c r="T936">
        <v>0.02</v>
      </c>
      <c r="U936" s="8">
        <f>Table3[[#This Row],[PrimaNeta]]*Table3[[#This Row],[Comisión]]</f>
        <v>785.28907980000008</v>
      </c>
      <c r="V936" s="15">
        <f>Table3[[#This Row],[PrimaComercial Anual]]-Table3[[#This Row],[PrimaComercial Anual]]*SUM(Table3[[#This Row],[APS]:[IVA]])</f>
        <v>3926.4453990000002</v>
      </c>
      <c r="W936" s="2">
        <v>1.4800000000000001E-2</v>
      </c>
      <c r="X936" s="2">
        <v>8.4501000000000007E-2</v>
      </c>
      <c r="Y936">
        <v>0.03</v>
      </c>
      <c r="Z936">
        <v>0.13</v>
      </c>
      <c r="AA936" s="20">
        <f>Table3[[#This Row],[APS]]*Table3[[#This Row],[PrimaComercial Anual]]</f>
        <v>78.454800000000006</v>
      </c>
      <c r="AB936" s="8">
        <f>Table3[[#This Row],[PrimaComercial Anual]]*Table3[[#This Row],[Recargo adicional]]</f>
        <v>447.93980100000005</v>
      </c>
      <c r="AC936" s="8">
        <f>Table3[[#This Row],[PrimaComercial Anual]]*Table3[[#This Row],[IT]]</f>
        <v>159.03</v>
      </c>
      <c r="AD936" s="8">
        <f>Table3[[#This Row],[PrimaComercial Anual]]*Table3[[#This Row],[IVA]]</f>
        <v>689.13</v>
      </c>
      <c r="AE936" s="15">
        <f>Table3[[#This Row],[PrimaComercial Anual Asistencia]]</f>
        <v>5301</v>
      </c>
      <c r="AG936">
        <v>5301</v>
      </c>
    </row>
    <row r="937" spans="1:33" x14ac:dyDescent="0.25">
      <c r="A937" t="s">
        <v>17</v>
      </c>
      <c r="B937">
        <v>700002</v>
      </c>
      <c r="C937">
        <v>11</v>
      </c>
      <c r="D937" s="2">
        <f>Table3[[#This Row],[PrimaTécnica]]-Table3[[#This Row],[PrimaTécnica]]*SUM(Table3[[#This Row],[Gastos Adm]:[Cobranza]])</f>
        <v>2292.9653129760004</v>
      </c>
      <c r="E937">
        <v>0</v>
      </c>
      <c r="F937">
        <v>0.15</v>
      </c>
      <c r="G937">
        <v>0.05</v>
      </c>
      <c r="H937">
        <v>0.01</v>
      </c>
      <c r="I937">
        <v>0.01</v>
      </c>
      <c r="J937" s="8">
        <f>Table3[[#This Row],[PrimaTécnica]]*Table3[[#This Row],[Gastos Adm]]</f>
        <v>440.95486788000005</v>
      </c>
      <c r="K937" s="8">
        <f>Table3[[#This Row],[PrimaTécnica]]*Table3[[#This Row],[Utilidad]]</f>
        <v>146.98495596000004</v>
      </c>
      <c r="L937" s="8">
        <f>Table3[[#This Row],[PrimaTécnica]]*Table3[[#This Row],[Marketing]]</f>
        <v>29.396991192000005</v>
      </c>
      <c r="M937" s="8">
        <f>Table3[[#This Row],[PrimaTécnica]]*Table3[[#This Row],[Cobranza]]</f>
        <v>29.396991192000005</v>
      </c>
      <c r="N93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2939.6991192000005</v>
      </c>
      <c r="O937">
        <v>21.84</v>
      </c>
      <c r="P937">
        <v>54.6</v>
      </c>
      <c r="Q937">
        <v>80.64</v>
      </c>
      <c r="R937">
        <v>44.377200000000002</v>
      </c>
      <c r="S937">
        <v>0.2</v>
      </c>
      <c r="T937">
        <v>0.02</v>
      </c>
      <c r="U937" s="8">
        <f>Table3[[#This Row],[PrimaNeta]]*Table3[[#This Row],[Comisión]]</f>
        <v>785.28907980000008</v>
      </c>
      <c r="V937" s="15">
        <f>Table3[[#This Row],[PrimaComercial Anual]]-Table3[[#This Row],[PrimaComercial Anual]]*SUM(Table3[[#This Row],[APS]:[IVA]])</f>
        <v>3926.4453990000002</v>
      </c>
      <c r="W937" s="2">
        <v>1.4800000000000001E-2</v>
      </c>
      <c r="X937" s="2">
        <v>8.4501000000000007E-2</v>
      </c>
      <c r="Y937">
        <v>0.03</v>
      </c>
      <c r="Z937">
        <v>0.13</v>
      </c>
      <c r="AA937" s="20">
        <f>Table3[[#This Row],[APS]]*Table3[[#This Row],[PrimaComercial Anual]]</f>
        <v>78.454800000000006</v>
      </c>
      <c r="AB937" s="8">
        <f>Table3[[#This Row],[PrimaComercial Anual]]*Table3[[#This Row],[Recargo adicional]]</f>
        <v>447.93980100000005</v>
      </c>
      <c r="AC937" s="8">
        <f>Table3[[#This Row],[PrimaComercial Anual]]*Table3[[#This Row],[IT]]</f>
        <v>159.03</v>
      </c>
      <c r="AD937" s="8">
        <f>Table3[[#This Row],[PrimaComercial Anual]]*Table3[[#This Row],[IVA]]</f>
        <v>689.13</v>
      </c>
      <c r="AE937" s="15">
        <f>Table3[[#This Row],[PrimaComercial Anual Asistencia]]</f>
        <v>5301</v>
      </c>
      <c r="AG937">
        <v>5301</v>
      </c>
    </row>
    <row r="938" spans="1:33" x14ac:dyDescent="0.25">
      <c r="A938" t="s">
        <v>17</v>
      </c>
      <c r="B938">
        <v>700002</v>
      </c>
      <c r="C938">
        <v>12</v>
      </c>
      <c r="D938" s="2">
        <f>Table3[[#This Row],[PrimaTécnica]]-Table3[[#This Row],[PrimaTécnica]]*SUM(Table3[[#This Row],[Gastos Adm]:[Cobranza]])</f>
        <v>2292.9653129760004</v>
      </c>
      <c r="E938">
        <v>0</v>
      </c>
      <c r="F938">
        <v>0.15</v>
      </c>
      <c r="G938">
        <v>0.05</v>
      </c>
      <c r="H938">
        <v>0.01</v>
      </c>
      <c r="I938">
        <v>0.01</v>
      </c>
      <c r="J938" s="8">
        <f>Table3[[#This Row],[PrimaTécnica]]*Table3[[#This Row],[Gastos Adm]]</f>
        <v>440.95486788000005</v>
      </c>
      <c r="K938" s="8">
        <f>Table3[[#This Row],[PrimaTécnica]]*Table3[[#This Row],[Utilidad]]</f>
        <v>146.98495596000004</v>
      </c>
      <c r="L938" s="8">
        <f>Table3[[#This Row],[PrimaTécnica]]*Table3[[#This Row],[Marketing]]</f>
        <v>29.396991192000005</v>
      </c>
      <c r="M938" s="8">
        <f>Table3[[#This Row],[PrimaTécnica]]*Table3[[#This Row],[Cobranza]]</f>
        <v>29.396991192000005</v>
      </c>
      <c r="N93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2939.6991192000005</v>
      </c>
      <c r="O938">
        <v>21.84</v>
      </c>
      <c r="P938">
        <v>54.6</v>
      </c>
      <c r="Q938">
        <v>80.64</v>
      </c>
      <c r="R938">
        <v>44.377200000000002</v>
      </c>
      <c r="S938">
        <v>0.2</v>
      </c>
      <c r="T938">
        <v>0.02</v>
      </c>
      <c r="U938" s="8">
        <f>Table3[[#This Row],[PrimaNeta]]*Table3[[#This Row],[Comisión]]</f>
        <v>785.28907980000008</v>
      </c>
      <c r="V938" s="15">
        <f>Table3[[#This Row],[PrimaComercial Anual]]-Table3[[#This Row],[PrimaComercial Anual]]*SUM(Table3[[#This Row],[APS]:[IVA]])</f>
        <v>3926.4453990000002</v>
      </c>
      <c r="W938" s="2">
        <v>1.4800000000000001E-2</v>
      </c>
      <c r="X938" s="2">
        <v>8.4501000000000007E-2</v>
      </c>
      <c r="Y938">
        <v>0.03</v>
      </c>
      <c r="Z938">
        <v>0.13</v>
      </c>
      <c r="AA938" s="20">
        <f>Table3[[#This Row],[APS]]*Table3[[#This Row],[PrimaComercial Anual]]</f>
        <v>78.454800000000006</v>
      </c>
      <c r="AB938" s="8">
        <f>Table3[[#This Row],[PrimaComercial Anual]]*Table3[[#This Row],[Recargo adicional]]</f>
        <v>447.93980100000005</v>
      </c>
      <c r="AC938" s="8">
        <f>Table3[[#This Row],[PrimaComercial Anual]]*Table3[[#This Row],[IT]]</f>
        <v>159.03</v>
      </c>
      <c r="AD938" s="8">
        <f>Table3[[#This Row],[PrimaComercial Anual]]*Table3[[#This Row],[IVA]]</f>
        <v>689.13</v>
      </c>
      <c r="AE938" s="15">
        <f>Table3[[#This Row],[PrimaComercial Anual Asistencia]]</f>
        <v>5301</v>
      </c>
      <c r="AG938">
        <v>5301</v>
      </c>
    </row>
    <row r="939" spans="1:33" x14ac:dyDescent="0.25">
      <c r="A939" t="s">
        <v>17</v>
      </c>
      <c r="B939">
        <v>700002</v>
      </c>
      <c r="C939">
        <v>13</v>
      </c>
      <c r="D939" s="2">
        <f>Table3[[#This Row],[PrimaTécnica]]-Table3[[#This Row],[PrimaTécnica]]*SUM(Table3[[#This Row],[Gastos Adm]:[Cobranza]])</f>
        <v>2292.9653129760004</v>
      </c>
      <c r="E939">
        <v>0</v>
      </c>
      <c r="F939">
        <v>0.15</v>
      </c>
      <c r="G939">
        <v>0.05</v>
      </c>
      <c r="H939">
        <v>0.01</v>
      </c>
      <c r="I939">
        <v>0.01</v>
      </c>
      <c r="J939" s="8">
        <f>Table3[[#This Row],[PrimaTécnica]]*Table3[[#This Row],[Gastos Adm]]</f>
        <v>440.95486788000005</v>
      </c>
      <c r="K939" s="8">
        <f>Table3[[#This Row],[PrimaTécnica]]*Table3[[#This Row],[Utilidad]]</f>
        <v>146.98495596000004</v>
      </c>
      <c r="L939" s="8">
        <f>Table3[[#This Row],[PrimaTécnica]]*Table3[[#This Row],[Marketing]]</f>
        <v>29.396991192000005</v>
      </c>
      <c r="M939" s="8">
        <f>Table3[[#This Row],[PrimaTécnica]]*Table3[[#This Row],[Cobranza]]</f>
        <v>29.396991192000005</v>
      </c>
      <c r="N93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2939.6991192000005</v>
      </c>
      <c r="O939">
        <v>21.84</v>
      </c>
      <c r="P939">
        <v>54.6</v>
      </c>
      <c r="Q939">
        <v>80.64</v>
      </c>
      <c r="R939">
        <v>44.377200000000002</v>
      </c>
      <c r="S939">
        <v>0.2</v>
      </c>
      <c r="T939">
        <v>0.02</v>
      </c>
      <c r="U939" s="8">
        <f>Table3[[#This Row],[PrimaNeta]]*Table3[[#This Row],[Comisión]]</f>
        <v>785.28907980000008</v>
      </c>
      <c r="V939" s="15">
        <f>Table3[[#This Row],[PrimaComercial Anual]]-Table3[[#This Row],[PrimaComercial Anual]]*SUM(Table3[[#This Row],[APS]:[IVA]])</f>
        <v>3926.4453990000002</v>
      </c>
      <c r="W939" s="2">
        <v>1.4800000000000001E-2</v>
      </c>
      <c r="X939" s="2">
        <v>8.4501000000000007E-2</v>
      </c>
      <c r="Y939">
        <v>0.03</v>
      </c>
      <c r="Z939">
        <v>0.13</v>
      </c>
      <c r="AA939" s="20">
        <f>Table3[[#This Row],[APS]]*Table3[[#This Row],[PrimaComercial Anual]]</f>
        <v>78.454800000000006</v>
      </c>
      <c r="AB939" s="8">
        <f>Table3[[#This Row],[PrimaComercial Anual]]*Table3[[#This Row],[Recargo adicional]]</f>
        <v>447.93980100000005</v>
      </c>
      <c r="AC939" s="8">
        <f>Table3[[#This Row],[PrimaComercial Anual]]*Table3[[#This Row],[IT]]</f>
        <v>159.03</v>
      </c>
      <c r="AD939" s="8">
        <f>Table3[[#This Row],[PrimaComercial Anual]]*Table3[[#This Row],[IVA]]</f>
        <v>689.13</v>
      </c>
      <c r="AE939" s="15">
        <f>Table3[[#This Row],[PrimaComercial Anual Asistencia]]</f>
        <v>5301</v>
      </c>
      <c r="AG939">
        <v>5301</v>
      </c>
    </row>
    <row r="940" spans="1:33" x14ac:dyDescent="0.25">
      <c r="A940" t="s">
        <v>17</v>
      </c>
      <c r="B940">
        <v>700002</v>
      </c>
      <c r="C940">
        <v>14</v>
      </c>
      <c r="D940" s="2">
        <f>Table3[[#This Row],[PrimaTécnica]]-Table3[[#This Row],[PrimaTécnica]]*SUM(Table3[[#This Row],[Gastos Adm]:[Cobranza]])</f>
        <v>2292.9653129760004</v>
      </c>
      <c r="E940">
        <v>0</v>
      </c>
      <c r="F940">
        <v>0.15</v>
      </c>
      <c r="G940">
        <v>0.05</v>
      </c>
      <c r="H940">
        <v>0.01</v>
      </c>
      <c r="I940">
        <v>0.01</v>
      </c>
      <c r="J940" s="8">
        <f>Table3[[#This Row],[PrimaTécnica]]*Table3[[#This Row],[Gastos Adm]]</f>
        <v>440.95486788000005</v>
      </c>
      <c r="K940" s="8">
        <f>Table3[[#This Row],[PrimaTécnica]]*Table3[[#This Row],[Utilidad]]</f>
        <v>146.98495596000004</v>
      </c>
      <c r="L940" s="8">
        <f>Table3[[#This Row],[PrimaTécnica]]*Table3[[#This Row],[Marketing]]</f>
        <v>29.396991192000005</v>
      </c>
      <c r="M940" s="8">
        <f>Table3[[#This Row],[PrimaTécnica]]*Table3[[#This Row],[Cobranza]]</f>
        <v>29.396991192000005</v>
      </c>
      <c r="N94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2939.6991192000005</v>
      </c>
      <c r="O940">
        <v>21.84</v>
      </c>
      <c r="P940">
        <v>54.6</v>
      </c>
      <c r="Q940">
        <v>80.64</v>
      </c>
      <c r="R940">
        <v>44.377200000000002</v>
      </c>
      <c r="S940">
        <v>0.2</v>
      </c>
      <c r="T940">
        <v>0.02</v>
      </c>
      <c r="U940" s="8">
        <f>Table3[[#This Row],[PrimaNeta]]*Table3[[#This Row],[Comisión]]</f>
        <v>785.28907980000008</v>
      </c>
      <c r="V940" s="15">
        <f>Table3[[#This Row],[PrimaComercial Anual]]-Table3[[#This Row],[PrimaComercial Anual]]*SUM(Table3[[#This Row],[APS]:[IVA]])</f>
        <v>3926.4453990000002</v>
      </c>
      <c r="W940" s="2">
        <v>1.4800000000000001E-2</v>
      </c>
      <c r="X940" s="2">
        <v>8.4501000000000007E-2</v>
      </c>
      <c r="Y940">
        <v>0.03</v>
      </c>
      <c r="Z940">
        <v>0.13</v>
      </c>
      <c r="AA940" s="20">
        <f>Table3[[#This Row],[APS]]*Table3[[#This Row],[PrimaComercial Anual]]</f>
        <v>78.454800000000006</v>
      </c>
      <c r="AB940" s="8">
        <f>Table3[[#This Row],[PrimaComercial Anual]]*Table3[[#This Row],[Recargo adicional]]</f>
        <v>447.93980100000005</v>
      </c>
      <c r="AC940" s="8">
        <f>Table3[[#This Row],[PrimaComercial Anual]]*Table3[[#This Row],[IT]]</f>
        <v>159.03</v>
      </c>
      <c r="AD940" s="8">
        <f>Table3[[#This Row],[PrimaComercial Anual]]*Table3[[#This Row],[IVA]]</f>
        <v>689.13</v>
      </c>
      <c r="AE940" s="15">
        <f>Table3[[#This Row],[PrimaComercial Anual Asistencia]]</f>
        <v>5301</v>
      </c>
      <c r="AG940">
        <v>5301</v>
      </c>
    </row>
    <row r="941" spans="1:33" x14ac:dyDescent="0.25">
      <c r="A941" t="s">
        <v>17</v>
      </c>
      <c r="B941">
        <v>700002</v>
      </c>
      <c r="C941">
        <v>15</v>
      </c>
      <c r="D941" s="2">
        <f>Table3[[#This Row],[PrimaTécnica]]-Table3[[#This Row],[PrimaTécnica]]*SUM(Table3[[#This Row],[Gastos Adm]:[Cobranza]])</f>
        <v>2292.9653129760004</v>
      </c>
      <c r="E941">
        <v>0</v>
      </c>
      <c r="F941">
        <v>0.15</v>
      </c>
      <c r="G941">
        <v>0.05</v>
      </c>
      <c r="H941">
        <v>0.01</v>
      </c>
      <c r="I941">
        <v>0.01</v>
      </c>
      <c r="J941" s="8">
        <f>Table3[[#This Row],[PrimaTécnica]]*Table3[[#This Row],[Gastos Adm]]</f>
        <v>440.95486788000005</v>
      </c>
      <c r="K941" s="8">
        <f>Table3[[#This Row],[PrimaTécnica]]*Table3[[#This Row],[Utilidad]]</f>
        <v>146.98495596000004</v>
      </c>
      <c r="L941" s="8">
        <f>Table3[[#This Row],[PrimaTécnica]]*Table3[[#This Row],[Marketing]]</f>
        <v>29.396991192000005</v>
      </c>
      <c r="M941" s="8">
        <f>Table3[[#This Row],[PrimaTécnica]]*Table3[[#This Row],[Cobranza]]</f>
        <v>29.396991192000005</v>
      </c>
      <c r="N94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2939.6991192000005</v>
      </c>
      <c r="O941">
        <v>21.84</v>
      </c>
      <c r="P941">
        <v>54.6</v>
      </c>
      <c r="Q941">
        <v>80.64</v>
      </c>
      <c r="R941">
        <v>44.377200000000002</v>
      </c>
      <c r="S941">
        <v>0.2</v>
      </c>
      <c r="T941">
        <v>0.02</v>
      </c>
      <c r="U941" s="8">
        <f>Table3[[#This Row],[PrimaNeta]]*Table3[[#This Row],[Comisión]]</f>
        <v>785.28907980000008</v>
      </c>
      <c r="V941" s="15">
        <f>Table3[[#This Row],[PrimaComercial Anual]]-Table3[[#This Row],[PrimaComercial Anual]]*SUM(Table3[[#This Row],[APS]:[IVA]])</f>
        <v>3926.4453990000002</v>
      </c>
      <c r="W941" s="2">
        <v>1.4800000000000001E-2</v>
      </c>
      <c r="X941" s="2">
        <v>8.4501000000000007E-2</v>
      </c>
      <c r="Y941">
        <v>0.03</v>
      </c>
      <c r="Z941">
        <v>0.13</v>
      </c>
      <c r="AA941" s="20">
        <f>Table3[[#This Row],[APS]]*Table3[[#This Row],[PrimaComercial Anual]]</f>
        <v>78.454800000000006</v>
      </c>
      <c r="AB941" s="8">
        <f>Table3[[#This Row],[PrimaComercial Anual]]*Table3[[#This Row],[Recargo adicional]]</f>
        <v>447.93980100000005</v>
      </c>
      <c r="AC941" s="8">
        <f>Table3[[#This Row],[PrimaComercial Anual]]*Table3[[#This Row],[IT]]</f>
        <v>159.03</v>
      </c>
      <c r="AD941" s="8">
        <f>Table3[[#This Row],[PrimaComercial Anual]]*Table3[[#This Row],[IVA]]</f>
        <v>689.13</v>
      </c>
      <c r="AE941" s="15">
        <f>Table3[[#This Row],[PrimaComercial Anual Asistencia]]</f>
        <v>5301</v>
      </c>
      <c r="AG941">
        <v>5301</v>
      </c>
    </row>
    <row r="942" spans="1:33" x14ac:dyDescent="0.25">
      <c r="A942" t="s">
        <v>17</v>
      </c>
      <c r="B942">
        <v>700002</v>
      </c>
      <c r="C942">
        <v>16</v>
      </c>
      <c r="D942" s="2">
        <f>Table3[[#This Row],[PrimaTécnica]]-Table3[[#This Row],[PrimaTécnica]]*SUM(Table3[[#This Row],[Gastos Adm]:[Cobranza]])</f>
        <v>2292.9653129760004</v>
      </c>
      <c r="E942">
        <v>0</v>
      </c>
      <c r="F942">
        <v>0.15</v>
      </c>
      <c r="G942">
        <v>0.05</v>
      </c>
      <c r="H942">
        <v>0.01</v>
      </c>
      <c r="I942">
        <v>0.01</v>
      </c>
      <c r="J942" s="8">
        <f>Table3[[#This Row],[PrimaTécnica]]*Table3[[#This Row],[Gastos Adm]]</f>
        <v>440.95486788000005</v>
      </c>
      <c r="K942" s="8">
        <f>Table3[[#This Row],[PrimaTécnica]]*Table3[[#This Row],[Utilidad]]</f>
        <v>146.98495596000004</v>
      </c>
      <c r="L942" s="8">
        <f>Table3[[#This Row],[PrimaTécnica]]*Table3[[#This Row],[Marketing]]</f>
        <v>29.396991192000005</v>
      </c>
      <c r="M942" s="8">
        <f>Table3[[#This Row],[PrimaTécnica]]*Table3[[#This Row],[Cobranza]]</f>
        <v>29.396991192000005</v>
      </c>
      <c r="N94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2939.6991192000005</v>
      </c>
      <c r="O942">
        <v>21.84</v>
      </c>
      <c r="P942">
        <v>54.6</v>
      </c>
      <c r="Q942">
        <v>80.64</v>
      </c>
      <c r="R942">
        <v>44.377200000000002</v>
      </c>
      <c r="S942">
        <v>0.2</v>
      </c>
      <c r="T942">
        <v>0.02</v>
      </c>
      <c r="U942" s="8">
        <f>Table3[[#This Row],[PrimaNeta]]*Table3[[#This Row],[Comisión]]</f>
        <v>785.28907980000008</v>
      </c>
      <c r="V942" s="15">
        <f>Table3[[#This Row],[PrimaComercial Anual]]-Table3[[#This Row],[PrimaComercial Anual]]*SUM(Table3[[#This Row],[APS]:[IVA]])</f>
        <v>3926.4453990000002</v>
      </c>
      <c r="W942" s="2">
        <v>1.4800000000000001E-2</v>
      </c>
      <c r="X942" s="2">
        <v>8.4501000000000007E-2</v>
      </c>
      <c r="Y942">
        <v>0.03</v>
      </c>
      <c r="Z942">
        <v>0.13</v>
      </c>
      <c r="AA942" s="20">
        <f>Table3[[#This Row],[APS]]*Table3[[#This Row],[PrimaComercial Anual]]</f>
        <v>78.454800000000006</v>
      </c>
      <c r="AB942" s="8">
        <f>Table3[[#This Row],[PrimaComercial Anual]]*Table3[[#This Row],[Recargo adicional]]</f>
        <v>447.93980100000005</v>
      </c>
      <c r="AC942" s="8">
        <f>Table3[[#This Row],[PrimaComercial Anual]]*Table3[[#This Row],[IT]]</f>
        <v>159.03</v>
      </c>
      <c r="AD942" s="8">
        <f>Table3[[#This Row],[PrimaComercial Anual]]*Table3[[#This Row],[IVA]]</f>
        <v>689.13</v>
      </c>
      <c r="AE942" s="15">
        <f>Table3[[#This Row],[PrimaComercial Anual Asistencia]]</f>
        <v>5301</v>
      </c>
      <c r="AG942">
        <v>5301</v>
      </c>
    </row>
    <row r="943" spans="1:33" x14ac:dyDescent="0.25">
      <c r="A943" t="s">
        <v>17</v>
      </c>
      <c r="B943">
        <v>700002</v>
      </c>
      <c r="C943">
        <v>17</v>
      </c>
      <c r="D943" s="2">
        <f>Table3[[#This Row],[PrimaTécnica]]-Table3[[#This Row],[PrimaTécnica]]*SUM(Table3[[#This Row],[Gastos Adm]:[Cobranza]])</f>
        <v>2292.9653129760004</v>
      </c>
      <c r="E943">
        <v>0</v>
      </c>
      <c r="F943">
        <v>0.15</v>
      </c>
      <c r="G943">
        <v>0.05</v>
      </c>
      <c r="H943">
        <v>0.01</v>
      </c>
      <c r="I943">
        <v>0.01</v>
      </c>
      <c r="J943" s="8">
        <f>Table3[[#This Row],[PrimaTécnica]]*Table3[[#This Row],[Gastos Adm]]</f>
        <v>440.95486788000005</v>
      </c>
      <c r="K943" s="8">
        <f>Table3[[#This Row],[PrimaTécnica]]*Table3[[#This Row],[Utilidad]]</f>
        <v>146.98495596000004</v>
      </c>
      <c r="L943" s="8">
        <f>Table3[[#This Row],[PrimaTécnica]]*Table3[[#This Row],[Marketing]]</f>
        <v>29.396991192000005</v>
      </c>
      <c r="M943" s="8">
        <f>Table3[[#This Row],[PrimaTécnica]]*Table3[[#This Row],[Cobranza]]</f>
        <v>29.396991192000005</v>
      </c>
      <c r="N94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2939.6991192000005</v>
      </c>
      <c r="O943">
        <v>21.84</v>
      </c>
      <c r="P943">
        <v>54.6</v>
      </c>
      <c r="Q943">
        <v>80.64</v>
      </c>
      <c r="R943">
        <v>44.377200000000002</v>
      </c>
      <c r="S943">
        <v>0.2</v>
      </c>
      <c r="T943">
        <v>0.02</v>
      </c>
      <c r="U943" s="8">
        <f>Table3[[#This Row],[PrimaNeta]]*Table3[[#This Row],[Comisión]]</f>
        <v>785.28907980000008</v>
      </c>
      <c r="V943" s="15">
        <f>Table3[[#This Row],[PrimaComercial Anual]]-Table3[[#This Row],[PrimaComercial Anual]]*SUM(Table3[[#This Row],[APS]:[IVA]])</f>
        <v>3926.4453990000002</v>
      </c>
      <c r="W943" s="2">
        <v>1.4800000000000001E-2</v>
      </c>
      <c r="X943" s="2">
        <v>8.4501000000000007E-2</v>
      </c>
      <c r="Y943">
        <v>0.03</v>
      </c>
      <c r="Z943">
        <v>0.13</v>
      </c>
      <c r="AA943" s="20">
        <f>Table3[[#This Row],[APS]]*Table3[[#This Row],[PrimaComercial Anual]]</f>
        <v>78.454800000000006</v>
      </c>
      <c r="AB943" s="8">
        <f>Table3[[#This Row],[PrimaComercial Anual]]*Table3[[#This Row],[Recargo adicional]]</f>
        <v>447.93980100000005</v>
      </c>
      <c r="AC943" s="8">
        <f>Table3[[#This Row],[PrimaComercial Anual]]*Table3[[#This Row],[IT]]</f>
        <v>159.03</v>
      </c>
      <c r="AD943" s="8">
        <f>Table3[[#This Row],[PrimaComercial Anual]]*Table3[[#This Row],[IVA]]</f>
        <v>689.13</v>
      </c>
      <c r="AE943" s="15">
        <f>Table3[[#This Row],[PrimaComercial Anual Asistencia]]</f>
        <v>5301</v>
      </c>
      <c r="AG943">
        <v>5301</v>
      </c>
    </row>
    <row r="944" spans="1:33" x14ac:dyDescent="0.25">
      <c r="A944" t="s">
        <v>17</v>
      </c>
      <c r="B944">
        <v>700002</v>
      </c>
      <c r="C944">
        <v>18</v>
      </c>
      <c r="D944" s="2">
        <f>Table3[[#This Row],[PrimaTécnica]]-Table3[[#This Row],[PrimaTécnica]]*SUM(Table3[[#This Row],[Gastos Adm]:[Cobranza]])</f>
        <v>2292.9653129760004</v>
      </c>
      <c r="E944">
        <v>0</v>
      </c>
      <c r="F944">
        <v>0.15</v>
      </c>
      <c r="G944">
        <v>0.05</v>
      </c>
      <c r="H944">
        <v>0.01</v>
      </c>
      <c r="I944">
        <v>0.01</v>
      </c>
      <c r="J944" s="8">
        <f>Table3[[#This Row],[PrimaTécnica]]*Table3[[#This Row],[Gastos Adm]]</f>
        <v>440.95486788000005</v>
      </c>
      <c r="K944" s="8">
        <f>Table3[[#This Row],[PrimaTécnica]]*Table3[[#This Row],[Utilidad]]</f>
        <v>146.98495596000004</v>
      </c>
      <c r="L944" s="8">
        <f>Table3[[#This Row],[PrimaTécnica]]*Table3[[#This Row],[Marketing]]</f>
        <v>29.396991192000005</v>
      </c>
      <c r="M944" s="8">
        <f>Table3[[#This Row],[PrimaTécnica]]*Table3[[#This Row],[Cobranza]]</f>
        <v>29.396991192000005</v>
      </c>
      <c r="N94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2939.6991192000005</v>
      </c>
      <c r="O944">
        <v>21.84</v>
      </c>
      <c r="P944">
        <v>54.6</v>
      </c>
      <c r="Q944">
        <v>80.64</v>
      </c>
      <c r="R944">
        <v>44.377200000000002</v>
      </c>
      <c r="S944">
        <v>0.2</v>
      </c>
      <c r="T944">
        <v>0.02</v>
      </c>
      <c r="U944" s="8">
        <f>Table3[[#This Row],[PrimaNeta]]*Table3[[#This Row],[Comisión]]</f>
        <v>785.28907980000008</v>
      </c>
      <c r="V944" s="15">
        <f>Table3[[#This Row],[PrimaComercial Anual]]-Table3[[#This Row],[PrimaComercial Anual]]*SUM(Table3[[#This Row],[APS]:[IVA]])</f>
        <v>3926.4453990000002</v>
      </c>
      <c r="W944" s="2">
        <v>1.4800000000000001E-2</v>
      </c>
      <c r="X944" s="2">
        <v>8.4501000000000007E-2</v>
      </c>
      <c r="Y944">
        <v>0.03</v>
      </c>
      <c r="Z944">
        <v>0.13</v>
      </c>
      <c r="AA944" s="20">
        <f>Table3[[#This Row],[APS]]*Table3[[#This Row],[PrimaComercial Anual]]</f>
        <v>78.454800000000006</v>
      </c>
      <c r="AB944" s="8">
        <f>Table3[[#This Row],[PrimaComercial Anual]]*Table3[[#This Row],[Recargo adicional]]</f>
        <v>447.93980100000005</v>
      </c>
      <c r="AC944" s="8">
        <f>Table3[[#This Row],[PrimaComercial Anual]]*Table3[[#This Row],[IT]]</f>
        <v>159.03</v>
      </c>
      <c r="AD944" s="8">
        <f>Table3[[#This Row],[PrimaComercial Anual]]*Table3[[#This Row],[IVA]]</f>
        <v>689.13</v>
      </c>
      <c r="AE944" s="15">
        <f>Table3[[#This Row],[PrimaComercial Anual Asistencia]]</f>
        <v>5301</v>
      </c>
      <c r="AG944">
        <v>5301</v>
      </c>
    </row>
    <row r="945" spans="1:33" x14ac:dyDescent="0.25">
      <c r="A945" t="s">
        <v>17</v>
      </c>
      <c r="B945">
        <v>700002</v>
      </c>
      <c r="C945">
        <v>19</v>
      </c>
      <c r="D945" s="2">
        <f>Table3[[#This Row],[PrimaTécnica]]-Table3[[#This Row],[PrimaTécnica]]*SUM(Table3[[#This Row],[Gastos Adm]:[Cobranza]])</f>
        <v>2182.3155484416002</v>
      </c>
      <c r="E945">
        <v>0</v>
      </c>
      <c r="F945">
        <v>0.15</v>
      </c>
      <c r="G945">
        <v>0.05</v>
      </c>
      <c r="H945">
        <v>0.01</v>
      </c>
      <c r="I945">
        <v>0.01</v>
      </c>
      <c r="J945" s="8">
        <f>Table3[[#This Row],[PrimaTécnica]]*Table3[[#This Row],[Gastos Adm]]</f>
        <v>419.67606700800002</v>
      </c>
      <c r="K945" s="8">
        <f>Table3[[#This Row],[PrimaTécnica]]*Table3[[#This Row],[Utilidad]]</f>
        <v>139.89202233600003</v>
      </c>
      <c r="L945" s="8">
        <f>Table3[[#This Row],[PrimaTécnica]]*Table3[[#This Row],[Marketing]]</f>
        <v>27.978404467200004</v>
      </c>
      <c r="M945" s="8">
        <f>Table3[[#This Row],[PrimaTécnica]]*Table3[[#This Row],[Cobranza]]</f>
        <v>27.978404467200004</v>
      </c>
      <c r="N94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945">
        <v>21.84</v>
      </c>
      <c r="P945">
        <v>54.6</v>
      </c>
      <c r="Q945">
        <v>80.64</v>
      </c>
      <c r="R945">
        <v>44.377200000000002</v>
      </c>
      <c r="S945">
        <v>0.2</v>
      </c>
      <c r="T945">
        <v>0.02</v>
      </c>
      <c r="U945" s="8">
        <f>Table3[[#This Row],[PrimaNeta]]*Table3[[#This Row],[Comisión]]</f>
        <v>749.82441168000014</v>
      </c>
      <c r="V945" s="15">
        <f>Table3[[#This Row],[PrimaComercial Anual]]-Table3[[#This Row],[PrimaComercial Anual]]*SUM(Table3[[#This Row],[APS]:[IVA]])</f>
        <v>3749.1220584000002</v>
      </c>
      <c r="W945" s="2">
        <v>1.4800000000000001E-2</v>
      </c>
      <c r="X945" s="2">
        <v>8.4501000000000007E-2</v>
      </c>
      <c r="Y945">
        <v>0.03</v>
      </c>
      <c r="Z945">
        <v>0.13</v>
      </c>
      <c r="AA945" s="20">
        <f>Table3[[#This Row],[APS]]*Table3[[#This Row],[PrimaComercial Anual]]</f>
        <v>74.911680000000004</v>
      </c>
      <c r="AB945" s="8">
        <f>Table3[[#This Row],[PrimaComercial Anual]]*Table3[[#This Row],[Recargo adicional]]</f>
        <v>427.71026160000008</v>
      </c>
      <c r="AC945" s="8">
        <f>Table3[[#This Row],[PrimaComercial Anual]]*Table3[[#This Row],[IT]]</f>
        <v>151.84800000000001</v>
      </c>
      <c r="AD945" s="8">
        <f>Table3[[#This Row],[PrimaComercial Anual]]*Table3[[#This Row],[IVA]]</f>
        <v>658.00800000000004</v>
      </c>
      <c r="AE945" s="15">
        <f>Table3[[#This Row],[PrimaComercial Anual Asistencia]]</f>
        <v>5061.6000000000004</v>
      </c>
      <c r="AG945">
        <v>5061.6000000000004</v>
      </c>
    </row>
    <row r="946" spans="1:33" x14ac:dyDescent="0.25">
      <c r="A946" t="s">
        <v>17</v>
      </c>
      <c r="B946">
        <v>700002</v>
      </c>
      <c r="C946">
        <v>20</v>
      </c>
      <c r="D946" s="2">
        <f>Table3[[#This Row],[PrimaTécnica]]-Table3[[#This Row],[PrimaTécnica]]*SUM(Table3[[#This Row],[Gastos Adm]:[Cobranza]])</f>
        <v>2182.3155484416002</v>
      </c>
      <c r="E946">
        <v>0</v>
      </c>
      <c r="F946">
        <v>0.15</v>
      </c>
      <c r="G946">
        <v>0.05</v>
      </c>
      <c r="H946">
        <v>0.01</v>
      </c>
      <c r="I946">
        <v>0.01</v>
      </c>
      <c r="J946" s="8">
        <f>Table3[[#This Row],[PrimaTécnica]]*Table3[[#This Row],[Gastos Adm]]</f>
        <v>419.67606700800002</v>
      </c>
      <c r="K946" s="8">
        <f>Table3[[#This Row],[PrimaTécnica]]*Table3[[#This Row],[Utilidad]]</f>
        <v>139.89202233600003</v>
      </c>
      <c r="L946" s="8">
        <f>Table3[[#This Row],[PrimaTécnica]]*Table3[[#This Row],[Marketing]]</f>
        <v>27.978404467200004</v>
      </c>
      <c r="M946" s="8">
        <f>Table3[[#This Row],[PrimaTécnica]]*Table3[[#This Row],[Cobranza]]</f>
        <v>27.978404467200004</v>
      </c>
      <c r="N94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946">
        <v>21.84</v>
      </c>
      <c r="P946">
        <v>54.6</v>
      </c>
      <c r="Q946">
        <v>80.64</v>
      </c>
      <c r="R946">
        <v>44.377200000000002</v>
      </c>
      <c r="S946">
        <v>0.2</v>
      </c>
      <c r="T946">
        <v>0.02</v>
      </c>
      <c r="U946" s="8">
        <f>Table3[[#This Row],[PrimaNeta]]*Table3[[#This Row],[Comisión]]</f>
        <v>749.82441168000014</v>
      </c>
      <c r="V946" s="15">
        <f>Table3[[#This Row],[PrimaComercial Anual]]-Table3[[#This Row],[PrimaComercial Anual]]*SUM(Table3[[#This Row],[APS]:[IVA]])</f>
        <v>3749.1220584000002</v>
      </c>
      <c r="W946" s="2">
        <v>1.4800000000000001E-2</v>
      </c>
      <c r="X946" s="2">
        <v>8.4501000000000007E-2</v>
      </c>
      <c r="Y946">
        <v>0.03</v>
      </c>
      <c r="Z946">
        <v>0.13</v>
      </c>
      <c r="AA946" s="20">
        <f>Table3[[#This Row],[APS]]*Table3[[#This Row],[PrimaComercial Anual]]</f>
        <v>74.911680000000004</v>
      </c>
      <c r="AB946" s="8">
        <f>Table3[[#This Row],[PrimaComercial Anual]]*Table3[[#This Row],[Recargo adicional]]</f>
        <v>427.71026160000008</v>
      </c>
      <c r="AC946" s="8">
        <f>Table3[[#This Row],[PrimaComercial Anual]]*Table3[[#This Row],[IT]]</f>
        <v>151.84800000000001</v>
      </c>
      <c r="AD946" s="8">
        <f>Table3[[#This Row],[PrimaComercial Anual]]*Table3[[#This Row],[IVA]]</f>
        <v>658.00800000000004</v>
      </c>
      <c r="AE946" s="15">
        <f>Table3[[#This Row],[PrimaComercial Anual Asistencia]]</f>
        <v>5061.6000000000004</v>
      </c>
      <c r="AG946">
        <v>5061.6000000000004</v>
      </c>
    </row>
    <row r="947" spans="1:33" x14ac:dyDescent="0.25">
      <c r="A947" t="s">
        <v>17</v>
      </c>
      <c r="B947">
        <v>700002</v>
      </c>
      <c r="C947">
        <v>21</v>
      </c>
      <c r="D947" s="2">
        <f>Table3[[#This Row],[PrimaTécnica]]-Table3[[#This Row],[PrimaTécnica]]*SUM(Table3[[#This Row],[Gastos Adm]:[Cobranza]])</f>
        <v>2182.3155484416002</v>
      </c>
      <c r="E947">
        <v>0</v>
      </c>
      <c r="F947">
        <v>0.15</v>
      </c>
      <c r="G947">
        <v>0.05</v>
      </c>
      <c r="H947">
        <v>0.01</v>
      </c>
      <c r="I947">
        <v>0.01</v>
      </c>
      <c r="J947" s="8">
        <f>Table3[[#This Row],[PrimaTécnica]]*Table3[[#This Row],[Gastos Adm]]</f>
        <v>419.67606700800002</v>
      </c>
      <c r="K947" s="8">
        <f>Table3[[#This Row],[PrimaTécnica]]*Table3[[#This Row],[Utilidad]]</f>
        <v>139.89202233600003</v>
      </c>
      <c r="L947" s="8">
        <f>Table3[[#This Row],[PrimaTécnica]]*Table3[[#This Row],[Marketing]]</f>
        <v>27.978404467200004</v>
      </c>
      <c r="M947" s="8">
        <f>Table3[[#This Row],[PrimaTécnica]]*Table3[[#This Row],[Cobranza]]</f>
        <v>27.978404467200004</v>
      </c>
      <c r="N94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947">
        <v>21.84</v>
      </c>
      <c r="P947">
        <v>54.6</v>
      </c>
      <c r="Q947">
        <v>80.64</v>
      </c>
      <c r="R947">
        <v>44.377200000000002</v>
      </c>
      <c r="S947">
        <v>0.2</v>
      </c>
      <c r="T947">
        <v>0.02</v>
      </c>
      <c r="U947" s="8">
        <f>Table3[[#This Row],[PrimaNeta]]*Table3[[#This Row],[Comisión]]</f>
        <v>749.82441168000014</v>
      </c>
      <c r="V947" s="15">
        <f>Table3[[#This Row],[PrimaComercial Anual]]-Table3[[#This Row],[PrimaComercial Anual]]*SUM(Table3[[#This Row],[APS]:[IVA]])</f>
        <v>3749.1220584000002</v>
      </c>
      <c r="W947" s="2">
        <v>1.4800000000000001E-2</v>
      </c>
      <c r="X947" s="2">
        <v>8.4501000000000007E-2</v>
      </c>
      <c r="Y947">
        <v>0.03</v>
      </c>
      <c r="Z947">
        <v>0.13</v>
      </c>
      <c r="AA947" s="20">
        <f>Table3[[#This Row],[APS]]*Table3[[#This Row],[PrimaComercial Anual]]</f>
        <v>74.911680000000004</v>
      </c>
      <c r="AB947" s="8">
        <f>Table3[[#This Row],[PrimaComercial Anual]]*Table3[[#This Row],[Recargo adicional]]</f>
        <v>427.71026160000008</v>
      </c>
      <c r="AC947" s="8">
        <f>Table3[[#This Row],[PrimaComercial Anual]]*Table3[[#This Row],[IT]]</f>
        <v>151.84800000000001</v>
      </c>
      <c r="AD947" s="8">
        <f>Table3[[#This Row],[PrimaComercial Anual]]*Table3[[#This Row],[IVA]]</f>
        <v>658.00800000000004</v>
      </c>
      <c r="AE947" s="15">
        <f>Table3[[#This Row],[PrimaComercial Anual Asistencia]]</f>
        <v>5061.6000000000004</v>
      </c>
      <c r="AG947">
        <v>5061.6000000000004</v>
      </c>
    </row>
    <row r="948" spans="1:33" x14ac:dyDescent="0.25">
      <c r="A948" t="s">
        <v>17</v>
      </c>
      <c r="B948">
        <v>700002</v>
      </c>
      <c r="C948">
        <v>22</v>
      </c>
      <c r="D948" s="2">
        <f>Table3[[#This Row],[PrimaTécnica]]-Table3[[#This Row],[PrimaTécnica]]*SUM(Table3[[#This Row],[Gastos Adm]:[Cobranza]])</f>
        <v>2182.3155484416002</v>
      </c>
      <c r="E948">
        <v>0</v>
      </c>
      <c r="F948">
        <v>0.15</v>
      </c>
      <c r="G948">
        <v>0.05</v>
      </c>
      <c r="H948">
        <v>0.01</v>
      </c>
      <c r="I948">
        <v>0.01</v>
      </c>
      <c r="J948" s="8">
        <f>Table3[[#This Row],[PrimaTécnica]]*Table3[[#This Row],[Gastos Adm]]</f>
        <v>419.67606700800002</v>
      </c>
      <c r="K948" s="8">
        <f>Table3[[#This Row],[PrimaTécnica]]*Table3[[#This Row],[Utilidad]]</f>
        <v>139.89202233600003</v>
      </c>
      <c r="L948" s="8">
        <f>Table3[[#This Row],[PrimaTécnica]]*Table3[[#This Row],[Marketing]]</f>
        <v>27.978404467200004</v>
      </c>
      <c r="M948" s="8">
        <f>Table3[[#This Row],[PrimaTécnica]]*Table3[[#This Row],[Cobranza]]</f>
        <v>27.978404467200004</v>
      </c>
      <c r="N94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948">
        <v>21.84</v>
      </c>
      <c r="P948">
        <v>54.6</v>
      </c>
      <c r="Q948">
        <v>80.64</v>
      </c>
      <c r="R948">
        <v>44.377200000000002</v>
      </c>
      <c r="S948">
        <v>0.2</v>
      </c>
      <c r="T948">
        <v>0.02</v>
      </c>
      <c r="U948" s="8">
        <f>Table3[[#This Row],[PrimaNeta]]*Table3[[#This Row],[Comisión]]</f>
        <v>749.82441168000014</v>
      </c>
      <c r="V948" s="15">
        <f>Table3[[#This Row],[PrimaComercial Anual]]-Table3[[#This Row],[PrimaComercial Anual]]*SUM(Table3[[#This Row],[APS]:[IVA]])</f>
        <v>3749.1220584000002</v>
      </c>
      <c r="W948" s="2">
        <v>1.4800000000000001E-2</v>
      </c>
      <c r="X948" s="2">
        <v>8.4501000000000007E-2</v>
      </c>
      <c r="Y948">
        <v>0.03</v>
      </c>
      <c r="Z948">
        <v>0.13</v>
      </c>
      <c r="AA948" s="20">
        <f>Table3[[#This Row],[APS]]*Table3[[#This Row],[PrimaComercial Anual]]</f>
        <v>74.911680000000004</v>
      </c>
      <c r="AB948" s="8">
        <f>Table3[[#This Row],[PrimaComercial Anual]]*Table3[[#This Row],[Recargo adicional]]</f>
        <v>427.71026160000008</v>
      </c>
      <c r="AC948" s="8">
        <f>Table3[[#This Row],[PrimaComercial Anual]]*Table3[[#This Row],[IT]]</f>
        <v>151.84800000000001</v>
      </c>
      <c r="AD948" s="8">
        <f>Table3[[#This Row],[PrimaComercial Anual]]*Table3[[#This Row],[IVA]]</f>
        <v>658.00800000000004</v>
      </c>
      <c r="AE948" s="15">
        <f>Table3[[#This Row],[PrimaComercial Anual Asistencia]]</f>
        <v>5061.6000000000004</v>
      </c>
      <c r="AG948">
        <v>5061.6000000000004</v>
      </c>
    </row>
    <row r="949" spans="1:33" x14ac:dyDescent="0.25">
      <c r="A949" t="s">
        <v>17</v>
      </c>
      <c r="B949">
        <v>700002</v>
      </c>
      <c r="C949">
        <v>23</v>
      </c>
      <c r="D949" s="2">
        <f>Table3[[#This Row],[PrimaTécnica]]-Table3[[#This Row],[PrimaTécnica]]*SUM(Table3[[#This Row],[Gastos Adm]:[Cobranza]])</f>
        <v>2182.3155484416002</v>
      </c>
      <c r="E949">
        <v>0</v>
      </c>
      <c r="F949">
        <v>0.15</v>
      </c>
      <c r="G949">
        <v>0.05</v>
      </c>
      <c r="H949">
        <v>0.01</v>
      </c>
      <c r="I949">
        <v>0.01</v>
      </c>
      <c r="J949" s="8">
        <f>Table3[[#This Row],[PrimaTécnica]]*Table3[[#This Row],[Gastos Adm]]</f>
        <v>419.67606700800002</v>
      </c>
      <c r="K949" s="8">
        <f>Table3[[#This Row],[PrimaTécnica]]*Table3[[#This Row],[Utilidad]]</f>
        <v>139.89202233600003</v>
      </c>
      <c r="L949" s="8">
        <f>Table3[[#This Row],[PrimaTécnica]]*Table3[[#This Row],[Marketing]]</f>
        <v>27.978404467200004</v>
      </c>
      <c r="M949" s="8">
        <f>Table3[[#This Row],[PrimaTécnica]]*Table3[[#This Row],[Cobranza]]</f>
        <v>27.978404467200004</v>
      </c>
      <c r="N94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949">
        <v>21.84</v>
      </c>
      <c r="P949">
        <v>54.6</v>
      </c>
      <c r="Q949">
        <v>80.64</v>
      </c>
      <c r="R949">
        <v>44.377200000000002</v>
      </c>
      <c r="S949">
        <v>0.2</v>
      </c>
      <c r="T949">
        <v>0.02</v>
      </c>
      <c r="U949" s="8">
        <f>Table3[[#This Row],[PrimaNeta]]*Table3[[#This Row],[Comisión]]</f>
        <v>749.82441168000014</v>
      </c>
      <c r="V949" s="15">
        <f>Table3[[#This Row],[PrimaComercial Anual]]-Table3[[#This Row],[PrimaComercial Anual]]*SUM(Table3[[#This Row],[APS]:[IVA]])</f>
        <v>3749.1220584000002</v>
      </c>
      <c r="W949" s="2">
        <v>1.4800000000000001E-2</v>
      </c>
      <c r="X949" s="2">
        <v>8.4501000000000007E-2</v>
      </c>
      <c r="Y949">
        <v>0.03</v>
      </c>
      <c r="Z949">
        <v>0.13</v>
      </c>
      <c r="AA949" s="20">
        <f>Table3[[#This Row],[APS]]*Table3[[#This Row],[PrimaComercial Anual]]</f>
        <v>74.911680000000004</v>
      </c>
      <c r="AB949" s="8">
        <f>Table3[[#This Row],[PrimaComercial Anual]]*Table3[[#This Row],[Recargo adicional]]</f>
        <v>427.71026160000008</v>
      </c>
      <c r="AC949" s="8">
        <f>Table3[[#This Row],[PrimaComercial Anual]]*Table3[[#This Row],[IT]]</f>
        <v>151.84800000000001</v>
      </c>
      <c r="AD949" s="8">
        <f>Table3[[#This Row],[PrimaComercial Anual]]*Table3[[#This Row],[IVA]]</f>
        <v>658.00800000000004</v>
      </c>
      <c r="AE949" s="15">
        <f>Table3[[#This Row],[PrimaComercial Anual Asistencia]]</f>
        <v>5061.6000000000004</v>
      </c>
      <c r="AG949">
        <v>5061.6000000000004</v>
      </c>
    </row>
    <row r="950" spans="1:33" x14ac:dyDescent="0.25">
      <c r="A950" t="s">
        <v>17</v>
      </c>
      <c r="B950">
        <v>700002</v>
      </c>
      <c r="C950">
        <v>24</v>
      </c>
      <c r="D950" s="2">
        <f>Table3[[#This Row],[PrimaTécnica]]-Table3[[#This Row],[PrimaTécnica]]*SUM(Table3[[#This Row],[Gastos Adm]:[Cobranza]])</f>
        <v>2182.3155484416002</v>
      </c>
      <c r="E950">
        <v>0</v>
      </c>
      <c r="F950">
        <v>0.15</v>
      </c>
      <c r="G950">
        <v>0.05</v>
      </c>
      <c r="H950">
        <v>0.01</v>
      </c>
      <c r="I950">
        <v>0.01</v>
      </c>
      <c r="J950" s="8">
        <f>Table3[[#This Row],[PrimaTécnica]]*Table3[[#This Row],[Gastos Adm]]</f>
        <v>419.67606700800002</v>
      </c>
      <c r="K950" s="8">
        <f>Table3[[#This Row],[PrimaTécnica]]*Table3[[#This Row],[Utilidad]]</f>
        <v>139.89202233600003</v>
      </c>
      <c r="L950" s="8">
        <f>Table3[[#This Row],[PrimaTécnica]]*Table3[[#This Row],[Marketing]]</f>
        <v>27.978404467200004</v>
      </c>
      <c r="M950" s="8">
        <f>Table3[[#This Row],[PrimaTécnica]]*Table3[[#This Row],[Cobranza]]</f>
        <v>27.978404467200004</v>
      </c>
      <c r="N95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950">
        <v>21.84</v>
      </c>
      <c r="P950">
        <v>54.6</v>
      </c>
      <c r="Q950">
        <v>80.64</v>
      </c>
      <c r="R950">
        <v>44.377200000000002</v>
      </c>
      <c r="S950">
        <v>0.2</v>
      </c>
      <c r="T950">
        <v>0.02</v>
      </c>
      <c r="U950" s="8">
        <f>Table3[[#This Row],[PrimaNeta]]*Table3[[#This Row],[Comisión]]</f>
        <v>749.82441168000014</v>
      </c>
      <c r="V950" s="15">
        <f>Table3[[#This Row],[PrimaComercial Anual]]-Table3[[#This Row],[PrimaComercial Anual]]*SUM(Table3[[#This Row],[APS]:[IVA]])</f>
        <v>3749.1220584000002</v>
      </c>
      <c r="W950" s="2">
        <v>1.4800000000000001E-2</v>
      </c>
      <c r="X950" s="2">
        <v>8.4501000000000007E-2</v>
      </c>
      <c r="Y950">
        <v>0.03</v>
      </c>
      <c r="Z950">
        <v>0.13</v>
      </c>
      <c r="AA950" s="20">
        <f>Table3[[#This Row],[APS]]*Table3[[#This Row],[PrimaComercial Anual]]</f>
        <v>74.911680000000004</v>
      </c>
      <c r="AB950" s="8">
        <f>Table3[[#This Row],[PrimaComercial Anual]]*Table3[[#This Row],[Recargo adicional]]</f>
        <v>427.71026160000008</v>
      </c>
      <c r="AC950" s="8">
        <f>Table3[[#This Row],[PrimaComercial Anual]]*Table3[[#This Row],[IT]]</f>
        <v>151.84800000000001</v>
      </c>
      <c r="AD950" s="8">
        <f>Table3[[#This Row],[PrimaComercial Anual]]*Table3[[#This Row],[IVA]]</f>
        <v>658.00800000000004</v>
      </c>
      <c r="AE950" s="15">
        <f>Table3[[#This Row],[PrimaComercial Anual Asistencia]]</f>
        <v>5061.6000000000004</v>
      </c>
      <c r="AG950">
        <v>5061.6000000000004</v>
      </c>
    </row>
    <row r="951" spans="1:33" x14ac:dyDescent="0.25">
      <c r="A951" t="s">
        <v>17</v>
      </c>
      <c r="B951">
        <v>700002</v>
      </c>
      <c r="C951">
        <v>25</v>
      </c>
      <c r="D951" s="2">
        <f>Table3[[#This Row],[PrimaTécnica]]-Table3[[#This Row],[PrimaTécnica]]*SUM(Table3[[#This Row],[Gastos Adm]:[Cobranza]])</f>
        <v>2182.3155484416002</v>
      </c>
      <c r="E951">
        <v>0</v>
      </c>
      <c r="F951">
        <v>0.15</v>
      </c>
      <c r="G951">
        <v>0.05</v>
      </c>
      <c r="H951">
        <v>0.01</v>
      </c>
      <c r="I951">
        <v>0.01</v>
      </c>
      <c r="J951" s="8">
        <f>Table3[[#This Row],[PrimaTécnica]]*Table3[[#This Row],[Gastos Adm]]</f>
        <v>419.67606700800002</v>
      </c>
      <c r="K951" s="8">
        <f>Table3[[#This Row],[PrimaTécnica]]*Table3[[#This Row],[Utilidad]]</f>
        <v>139.89202233600003</v>
      </c>
      <c r="L951" s="8">
        <f>Table3[[#This Row],[PrimaTécnica]]*Table3[[#This Row],[Marketing]]</f>
        <v>27.978404467200004</v>
      </c>
      <c r="M951" s="8">
        <f>Table3[[#This Row],[PrimaTécnica]]*Table3[[#This Row],[Cobranza]]</f>
        <v>27.978404467200004</v>
      </c>
      <c r="N95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951">
        <v>21.84</v>
      </c>
      <c r="P951">
        <v>54.6</v>
      </c>
      <c r="Q951">
        <v>80.64</v>
      </c>
      <c r="R951">
        <v>44.377200000000002</v>
      </c>
      <c r="S951">
        <v>0.2</v>
      </c>
      <c r="T951">
        <v>0.02</v>
      </c>
      <c r="U951" s="8">
        <f>Table3[[#This Row],[PrimaNeta]]*Table3[[#This Row],[Comisión]]</f>
        <v>749.82441168000014</v>
      </c>
      <c r="V951" s="15">
        <f>Table3[[#This Row],[PrimaComercial Anual]]-Table3[[#This Row],[PrimaComercial Anual]]*SUM(Table3[[#This Row],[APS]:[IVA]])</f>
        <v>3749.1220584000002</v>
      </c>
      <c r="W951" s="2">
        <v>1.4800000000000001E-2</v>
      </c>
      <c r="X951" s="2">
        <v>8.4501000000000007E-2</v>
      </c>
      <c r="Y951">
        <v>0.03</v>
      </c>
      <c r="Z951">
        <v>0.13</v>
      </c>
      <c r="AA951" s="20">
        <f>Table3[[#This Row],[APS]]*Table3[[#This Row],[PrimaComercial Anual]]</f>
        <v>74.911680000000004</v>
      </c>
      <c r="AB951" s="8">
        <f>Table3[[#This Row],[PrimaComercial Anual]]*Table3[[#This Row],[Recargo adicional]]</f>
        <v>427.71026160000008</v>
      </c>
      <c r="AC951" s="8">
        <f>Table3[[#This Row],[PrimaComercial Anual]]*Table3[[#This Row],[IT]]</f>
        <v>151.84800000000001</v>
      </c>
      <c r="AD951" s="8">
        <f>Table3[[#This Row],[PrimaComercial Anual]]*Table3[[#This Row],[IVA]]</f>
        <v>658.00800000000004</v>
      </c>
      <c r="AE951" s="15">
        <f>Table3[[#This Row],[PrimaComercial Anual Asistencia]]</f>
        <v>5061.6000000000004</v>
      </c>
      <c r="AG951">
        <v>5061.6000000000004</v>
      </c>
    </row>
    <row r="952" spans="1:33" x14ac:dyDescent="0.25">
      <c r="A952" t="s">
        <v>17</v>
      </c>
      <c r="B952">
        <v>700002</v>
      </c>
      <c r="C952">
        <v>26</v>
      </c>
      <c r="D952" s="2">
        <f>Table3[[#This Row],[PrimaTécnica]]-Table3[[#This Row],[PrimaTécnica]]*SUM(Table3[[#This Row],[Gastos Adm]:[Cobranza]])</f>
        <v>2182.3155484416002</v>
      </c>
      <c r="E952">
        <v>0</v>
      </c>
      <c r="F952">
        <v>0.15</v>
      </c>
      <c r="G952">
        <v>0.05</v>
      </c>
      <c r="H952">
        <v>0.01</v>
      </c>
      <c r="I952">
        <v>0.01</v>
      </c>
      <c r="J952" s="8">
        <f>Table3[[#This Row],[PrimaTécnica]]*Table3[[#This Row],[Gastos Adm]]</f>
        <v>419.67606700800002</v>
      </c>
      <c r="K952" s="8">
        <f>Table3[[#This Row],[PrimaTécnica]]*Table3[[#This Row],[Utilidad]]</f>
        <v>139.89202233600003</v>
      </c>
      <c r="L952" s="8">
        <f>Table3[[#This Row],[PrimaTécnica]]*Table3[[#This Row],[Marketing]]</f>
        <v>27.978404467200004</v>
      </c>
      <c r="M952" s="8">
        <f>Table3[[#This Row],[PrimaTécnica]]*Table3[[#This Row],[Cobranza]]</f>
        <v>27.978404467200004</v>
      </c>
      <c r="N95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952">
        <v>21.84</v>
      </c>
      <c r="P952">
        <v>54.6</v>
      </c>
      <c r="Q952">
        <v>80.64</v>
      </c>
      <c r="R952">
        <v>44.377200000000002</v>
      </c>
      <c r="S952">
        <v>0.2</v>
      </c>
      <c r="T952">
        <v>0.02</v>
      </c>
      <c r="U952" s="8">
        <f>Table3[[#This Row],[PrimaNeta]]*Table3[[#This Row],[Comisión]]</f>
        <v>749.82441168000014</v>
      </c>
      <c r="V952" s="15">
        <f>Table3[[#This Row],[PrimaComercial Anual]]-Table3[[#This Row],[PrimaComercial Anual]]*SUM(Table3[[#This Row],[APS]:[IVA]])</f>
        <v>3749.1220584000002</v>
      </c>
      <c r="W952" s="2">
        <v>1.4800000000000001E-2</v>
      </c>
      <c r="X952" s="2">
        <v>8.4501000000000007E-2</v>
      </c>
      <c r="Y952">
        <v>0.03</v>
      </c>
      <c r="Z952">
        <v>0.13</v>
      </c>
      <c r="AA952" s="20">
        <f>Table3[[#This Row],[APS]]*Table3[[#This Row],[PrimaComercial Anual]]</f>
        <v>74.911680000000004</v>
      </c>
      <c r="AB952" s="8">
        <f>Table3[[#This Row],[PrimaComercial Anual]]*Table3[[#This Row],[Recargo adicional]]</f>
        <v>427.71026160000008</v>
      </c>
      <c r="AC952" s="8">
        <f>Table3[[#This Row],[PrimaComercial Anual]]*Table3[[#This Row],[IT]]</f>
        <v>151.84800000000001</v>
      </c>
      <c r="AD952" s="8">
        <f>Table3[[#This Row],[PrimaComercial Anual]]*Table3[[#This Row],[IVA]]</f>
        <v>658.00800000000004</v>
      </c>
      <c r="AE952" s="15">
        <f>Table3[[#This Row],[PrimaComercial Anual Asistencia]]</f>
        <v>5061.6000000000004</v>
      </c>
      <c r="AG952">
        <v>5061.6000000000004</v>
      </c>
    </row>
    <row r="953" spans="1:33" x14ac:dyDescent="0.25">
      <c r="A953" t="s">
        <v>17</v>
      </c>
      <c r="B953">
        <v>700002</v>
      </c>
      <c r="C953">
        <v>27</v>
      </c>
      <c r="D953" s="2">
        <f>Table3[[#This Row],[PrimaTécnica]]-Table3[[#This Row],[PrimaTécnica]]*SUM(Table3[[#This Row],[Gastos Adm]:[Cobranza]])</f>
        <v>2182.3155484416002</v>
      </c>
      <c r="E953">
        <v>0</v>
      </c>
      <c r="F953">
        <v>0.15</v>
      </c>
      <c r="G953">
        <v>0.05</v>
      </c>
      <c r="H953">
        <v>0.01</v>
      </c>
      <c r="I953">
        <v>0.01</v>
      </c>
      <c r="J953" s="8">
        <f>Table3[[#This Row],[PrimaTécnica]]*Table3[[#This Row],[Gastos Adm]]</f>
        <v>419.67606700800002</v>
      </c>
      <c r="K953" s="8">
        <f>Table3[[#This Row],[PrimaTécnica]]*Table3[[#This Row],[Utilidad]]</f>
        <v>139.89202233600003</v>
      </c>
      <c r="L953" s="8">
        <f>Table3[[#This Row],[PrimaTécnica]]*Table3[[#This Row],[Marketing]]</f>
        <v>27.978404467200004</v>
      </c>
      <c r="M953" s="8">
        <f>Table3[[#This Row],[PrimaTécnica]]*Table3[[#This Row],[Cobranza]]</f>
        <v>27.978404467200004</v>
      </c>
      <c r="N95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953">
        <v>21.84</v>
      </c>
      <c r="P953">
        <v>54.6</v>
      </c>
      <c r="Q953">
        <v>80.64</v>
      </c>
      <c r="R953">
        <v>44.377200000000002</v>
      </c>
      <c r="S953">
        <v>0.2</v>
      </c>
      <c r="T953">
        <v>0.02</v>
      </c>
      <c r="U953" s="8">
        <f>Table3[[#This Row],[PrimaNeta]]*Table3[[#This Row],[Comisión]]</f>
        <v>749.82441168000014</v>
      </c>
      <c r="V953" s="15">
        <f>Table3[[#This Row],[PrimaComercial Anual]]-Table3[[#This Row],[PrimaComercial Anual]]*SUM(Table3[[#This Row],[APS]:[IVA]])</f>
        <v>3749.1220584000002</v>
      </c>
      <c r="W953" s="2">
        <v>1.4800000000000001E-2</v>
      </c>
      <c r="X953" s="2">
        <v>8.4501000000000007E-2</v>
      </c>
      <c r="Y953">
        <v>0.03</v>
      </c>
      <c r="Z953">
        <v>0.13</v>
      </c>
      <c r="AA953" s="20">
        <f>Table3[[#This Row],[APS]]*Table3[[#This Row],[PrimaComercial Anual]]</f>
        <v>74.911680000000004</v>
      </c>
      <c r="AB953" s="8">
        <f>Table3[[#This Row],[PrimaComercial Anual]]*Table3[[#This Row],[Recargo adicional]]</f>
        <v>427.71026160000008</v>
      </c>
      <c r="AC953" s="8">
        <f>Table3[[#This Row],[PrimaComercial Anual]]*Table3[[#This Row],[IT]]</f>
        <v>151.84800000000001</v>
      </c>
      <c r="AD953" s="8">
        <f>Table3[[#This Row],[PrimaComercial Anual]]*Table3[[#This Row],[IVA]]</f>
        <v>658.00800000000004</v>
      </c>
      <c r="AE953" s="15">
        <f>Table3[[#This Row],[PrimaComercial Anual Asistencia]]</f>
        <v>5061.6000000000004</v>
      </c>
      <c r="AG953">
        <v>5061.6000000000004</v>
      </c>
    </row>
    <row r="954" spans="1:33" x14ac:dyDescent="0.25">
      <c r="A954" t="s">
        <v>17</v>
      </c>
      <c r="B954">
        <v>700002</v>
      </c>
      <c r="C954">
        <v>28</v>
      </c>
      <c r="D954" s="2">
        <f>Table3[[#This Row],[PrimaTécnica]]-Table3[[#This Row],[PrimaTécnica]]*SUM(Table3[[#This Row],[Gastos Adm]:[Cobranza]])</f>
        <v>2182.3155484416002</v>
      </c>
      <c r="E954">
        <v>0</v>
      </c>
      <c r="F954">
        <v>0.15</v>
      </c>
      <c r="G954">
        <v>0.05</v>
      </c>
      <c r="H954">
        <v>0.01</v>
      </c>
      <c r="I954">
        <v>0.01</v>
      </c>
      <c r="J954" s="8">
        <f>Table3[[#This Row],[PrimaTécnica]]*Table3[[#This Row],[Gastos Adm]]</f>
        <v>419.67606700800002</v>
      </c>
      <c r="K954" s="8">
        <f>Table3[[#This Row],[PrimaTécnica]]*Table3[[#This Row],[Utilidad]]</f>
        <v>139.89202233600003</v>
      </c>
      <c r="L954" s="8">
        <f>Table3[[#This Row],[PrimaTécnica]]*Table3[[#This Row],[Marketing]]</f>
        <v>27.978404467200004</v>
      </c>
      <c r="M954" s="8">
        <f>Table3[[#This Row],[PrimaTécnica]]*Table3[[#This Row],[Cobranza]]</f>
        <v>27.978404467200004</v>
      </c>
      <c r="N95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954">
        <v>21.84</v>
      </c>
      <c r="P954">
        <v>54.6</v>
      </c>
      <c r="Q954">
        <v>80.64</v>
      </c>
      <c r="R954">
        <v>44.377200000000002</v>
      </c>
      <c r="S954">
        <v>0.2</v>
      </c>
      <c r="T954">
        <v>0.02</v>
      </c>
      <c r="U954" s="8">
        <f>Table3[[#This Row],[PrimaNeta]]*Table3[[#This Row],[Comisión]]</f>
        <v>749.82441168000014</v>
      </c>
      <c r="V954" s="15">
        <f>Table3[[#This Row],[PrimaComercial Anual]]-Table3[[#This Row],[PrimaComercial Anual]]*SUM(Table3[[#This Row],[APS]:[IVA]])</f>
        <v>3749.1220584000002</v>
      </c>
      <c r="W954" s="2">
        <v>1.4800000000000001E-2</v>
      </c>
      <c r="X954" s="2">
        <v>8.4501000000000007E-2</v>
      </c>
      <c r="Y954">
        <v>0.03</v>
      </c>
      <c r="Z954">
        <v>0.13</v>
      </c>
      <c r="AA954" s="20">
        <f>Table3[[#This Row],[APS]]*Table3[[#This Row],[PrimaComercial Anual]]</f>
        <v>74.911680000000004</v>
      </c>
      <c r="AB954" s="8">
        <f>Table3[[#This Row],[PrimaComercial Anual]]*Table3[[#This Row],[Recargo adicional]]</f>
        <v>427.71026160000008</v>
      </c>
      <c r="AC954" s="8">
        <f>Table3[[#This Row],[PrimaComercial Anual]]*Table3[[#This Row],[IT]]</f>
        <v>151.84800000000001</v>
      </c>
      <c r="AD954" s="8">
        <f>Table3[[#This Row],[PrimaComercial Anual]]*Table3[[#This Row],[IVA]]</f>
        <v>658.00800000000004</v>
      </c>
      <c r="AE954" s="15">
        <f>Table3[[#This Row],[PrimaComercial Anual Asistencia]]</f>
        <v>5061.6000000000004</v>
      </c>
      <c r="AG954">
        <v>5061.6000000000004</v>
      </c>
    </row>
    <row r="955" spans="1:33" x14ac:dyDescent="0.25">
      <c r="A955" t="s">
        <v>17</v>
      </c>
      <c r="B955">
        <v>700002</v>
      </c>
      <c r="C955">
        <v>29</v>
      </c>
      <c r="D955" s="2">
        <f>Table3[[#This Row],[PrimaTécnica]]-Table3[[#This Row],[PrimaTécnica]]*SUM(Table3[[#This Row],[Gastos Adm]:[Cobranza]])</f>
        <v>2182.3155484416002</v>
      </c>
      <c r="E955">
        <v>0</v>
      </c>
      <c r="F955">
        <v>0.15</v>
      </c>
      <c r="G955">
        <v>0.05</v>
      </c>
      <c r="H955">
        <v>0.01</v>
      </c>
      <c r="I955">
        <v>0.01</v>
      </c>
      <c r="J955" s="8">
        <f>Table3[[#This Row],[PrimaTécnica]]*Table3[[#This Row],[Gastos Adm]]</f>
        <v>419.67606700800002</v>
      </c>
      <c r="K955" s="8">
        <f>Table3[[#This Row],[PrimaTécnica]]*Table3[[#This Row],[Utilidad]]</f>
        <v>139.89202233600003</v>
      </c>
      <c r="L955" s="8">
        <f>Table3[[#This Row],[PrimaTécnica]]*Table3[[#This Row],[Marketing]]</f>
        <v>27.978404467200004</v>
      </c>
      <c r="M955" s="8">
        <f>Table3[[#This Row],[PrimaTécnica]]*Table3[[#This Row],[Cobranza]]</f>
        <v>27.978404467200004</v>
      </c>
      <c r="N95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2797.8404467200003</v>
      </c>
      <c r="O955">
        <v>21.84</v>
      </c>
      <c r="P955">
        <v>54.6</v>
      </c>
      <c r="Q955">
        <v>80.64</v>
      </c>
      <c r="R955">
        <v>44.377200000000002</v>
      </c>
      <c r="S955">
        <v>0.2</v>
      </c>
      <c r="T955">
        <v>0.02</v>
      </c>
      <c r="U955" s="8">
        <f>Table3[[#This Row],[PrimaNeta]]*Table3[[#This Row],[Comisión]]</f>
        <v>749.82441168000014</v>
      </c>
      <c r="V955" s="15">
        <f>Table3[[#This Row],[PrimaComercial Anual]]-Table3[[#This Row],[PrimaComercial Anual]]*SUM(Table3[[#This Row],[APS]:[IVA]])</f>
        <v>3749.1220584000002</v>
      </c>
      <c r="W955" s="2">
        <v>1.4800000000000001E-2</v>
      </c>
      <c r="X955" s="2">
        <v>8.4501000000000007E-2</v>
      </c>
      <c r="Y955">
        <v>0.03</v>
      </c>
      <c r="Z955">
        <v>0.13</v>
      </c>
      <c r="AA955" s="20">
        <f>Table3[[#This Row],[APS]]*Table3[[#This Row],[PrimaComercial Anual]]</f>
        <v>74.911680000000004</v>
      </c>
      <c r="AB955" s="8">
        <f>Table3[[#This Row],[PrimaComercial Anual]]*Table3[[#This Row],[Recargo adicional]]</f>
        <v>427.71026160000008</v>
      </c>
      <c r="AC955" s="8">
        <f>Table3[[#This Row],[PrimaComercial Anual]]*Table3[[#This Row],[IT]]</f>
        <v>151.84800000000001</v>
      </c>
      <c r="AD955" s="8">
        <f>Table3[[#This Row],[PrimaComercial Anual]]*Table3[[#This Row],[IVA]]</f>
        <v>658.00800000000004</v>
      </c>
      <c r="AE955" s="15">
        <f>Table3[[#This Row],[PrimaComercial Anual Asistencia]]</f>
        <v>5061.6000000000004</v>
      </c>
      <c r="AG955">
        <v>5061.6000000000004</v>
      </c>
    </row>
    <row r="956" spans="1:33" x14ac:dyDescent="0.25">
      <c r="A956" t="s">
        <v>17</v>
      </c>
      <c r="B956">
        <v>700002</v>
      </c>
      <c r="C956">
        <v>30</v>
      </c>
      <c r="D956" s="2">
        <f>Table3[[#This Row],[PrimaTécnica]]-Table3[[#This Row],[PrimaTécnica]]*SUM(Table3[[#This Row],[Gastos Adm]:[Cobranza]])</f>
        <v>2329.8485678207999</v>
      </c>
      <c r="E956">
        <v>0</v>
      </c>
      <c r="F956">
        <v>0.15</v>
      </c>
      <c r="G956">
        <v>0.05</v>
      </c>
      <c r="H956">
        <v>0.01</v>
      </c>
      <c r="I956">
        <v>0.01</v>
      </c>
      <c r="J956" s="8">
        <f>Table3[[#This Row],[PrimaTécnica]]*Table3[[#This Row],[Gastos Adm]]</f>
        <v>448.04780150400001</v>
      </c>
      <c r="K956" s="8">
        <f>Table3[[#This Row],[PrimaTécnica]]*Table3[[#This Row],[Utilidad]]</f>
        <v>149.34926716800001</v>
      </c>
      <c r="L956" s="8">
        <f>Table3[[#This Row],[PrimaTécnica]]*Table3[[#This Row],[Marketing]]</f>
        <v>29.869853433600003</v>
      </c>
      <c r="M956" s="8">
        <f>Table3[[#This Row],[PrimaTécnica]]*Table3[[#This Row],[Cobranza]]</f>
        <v>29.869853433600003</v>
      </c>
      <c r="N95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956">
        <v>21.84</v>
      </c>
      <c r="P956">
        <v>54.6</v>
      </c>
      <c r="Q956">
        <v>80.64</v>
      </c>
      <c r="R956">
        <v>44.377200000000002</v>
      </c>
      <c r="S956">
        <v>0.2</v>
      </c>
      <c r="T956">
        <v>0.02</v>
      </c>
      <c r="U956" s="8">
        <f>Table3[[#This Row],[PrimaNeta]]*Table3[[#This Row],[Comisión]]</f>
        <v>797.1106358400001</v>
      </c>
      <c r="V956" s="15">
        <f>Table3[[#This Row],[PrimaComercial Anual]]-Table3[[#This Row],[PrimaComercial Anual]]*SUM(Table3[[#This Row],[APS]:[IVA]])</f>
        <v>3985.5531792000002</v>
      </c>
      <c r="W956" s="2">
        <v>1.4800000000000001E-2</v>
      </c>
      <c r="X956" s="2">
        <v>8.4501000000000007E-2</v>
      </c>
      <c r="Y956">
        <v>0.03</v>
      </c>
      <c r="Z956">
        <v>0.13</v>
      </c>
      <c r="AA956" s="20">
        <f>Table3[[#This Row],[APS]]*Table3[[#This Row],[PrimaComercial Anual]]</f>
        <v>79.635840000000002</v>
      </c>
      <c r="AB956" s="8">
        <f>Table3[[#This Row],[PrimaComercial Anual]]*Table3[[#This Row],[Recargo adicional]]</f>
        <v>454.68298080000005</v>
      </c>
      <c r="AC956" s="8">
        <f>Table3[[#This Row],[PrimaComercial Anual]]*Table3[[#This Row],[IT]]</f>
        <v>161.42400000000001</v>
      </c>
      <c r="AD956" s="8">
        <f>Table3[[#This Row],[PrimaComercial Anual]]*Table3[[#This Row],[IVA]]</f>
        <v>699.50400000000002</v>
      </c>
      <c r="AE956" s="15">
        <f>Table3[[#This Row],[PrimaComercial Anual Asistencia]]</f>
        <v>5380.8</v>
      </c>
      <c r="AG956">
        <v>5380.8</v>
      </c>
    </row>
    <row r="957" spans="1:33" x14ac:dyDescent="0.25">
      <c r="A957" t="s">
        <v>17</v>
      </c>
      <c r="B957">
        <v>700002</v>
      </c>
      <c r="C957">
        <v>31</v>
      </c>
      <c r="D957" s="2">
        <f>Table3[[#This Row],[PrimaTécnica]]-Table3[[#This Row],[PrimaTécnica]]*SUM(Table3[[#This Row],[Gastos Adm]:[Cobranza]])</f>
        <v>2329.8485678207999</v>
      </c>
      <c r="E957">
        <v>0</v>
      </c>
      <c r="F957">
        <v>0.15</v>
      </c>
      <c r="G957">
        <v>0.05</v>
      </c>
      <c r="H957">
        <v>0.01</v>
      </c>
      <c r="I957">
        <v>0.01</v>
      </c>
      <c r="J957" s="8">
        <f>Table3[[#This Row],[PrimaTécnica]]*Table3[[#This Row],[Gastos Adm]]</f>
        <v>448.04780150400001</v>
      </c>
      <c r="K957" s="8">
        <f>Table3[[#This Row],[PrimaTécnica]]*Table3[[#This Row],[Utilidad]]</f>
        <v>149.34926716800001</v>
      </c>
      <c r="L957" s="8">
        <f>Table3[[#This Row],[PrimaTécnica]]*Table3[[#This Row],[Marketing]]</f>
        <v>29.869853433600003</v>
      </c>
      <c r="M957" s="8">
        <f>Table3[[#This Row],[PrimaTécnica]]*Table3[[#This Row],[Cobranza]]</f>
        <v>29.869853433600003</v>
      </c>
      <c r="N95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957">
        <v>21.84</v>
      </c>
      <c r="P957">
        <v>54.6</v>
      </c>
      <c r="Q957">
        <v>80.64</v>
      </c>
      <c r="R957">
        <v>44.377200000000002</v>
      </c>
      <c r="S957">
        <v>0.2</v>
      </c>
      <c r="T957">
        <v>0.02</v>
      </c>
      <c r="U957" s="8">
        <f>Table3[[#This Row],[PrimaNeta]]*Table3[[#This Row],[Comisión]]</f>
        <v>797.1106358400001</v>
      </c>
      <c r="V957" s="15">
        <f>Table3[[#This Row],[PrimaComercial Anual]]-Table3[[#This Row],[PrimaComercial Anual]]*SUM(Table3[[#This Row],[APS]:[IVA]])</f>
        <v>3985.5531792000002</v>
      </c>
      <c r="W957" s="2">
        <v>1.4800000000000001E-2</v>
      </c>
      <c r="X957" s="2">
        <v>8.4501000000000007E-2</v>
      </c>
      <c r="Y957">
        <v>0.03</v>
      </c>
      <c r="Z957">
        <v>0.13</v>
      </c>
      <c r="AA957" s="20">
        <f>Table3[[#This Row],[APS]]*Table3[[#This Row],[PrimaComercial Anual]]</f>
        <v>79.635840000000002</v>
      </c>
      <c r="AB957" s="8">
        <f>Table3[[#This Row],[PrimaComercial Anual]]*Table3[[#This Row],[Recargo adicional]]</f>
        <v>454.68298080000005</v>
      </c>
      <c r="AC957" s="8">
        <f>Table3[[#This Row],[PrimaComercial Anual]]*Table3[[#This Row],[IT]]</f>
        <v>161.42400000000001</v>
      </c>
      <c r="AD957" s="8">
        <f>Table3[[#This Row],[PrimaComercial Anual]]*Table3[[#This Row],[IVA]]</f>
        <v>699.50400000000002</v>
      </c>
      <c r="AE957" s="15">
        <f>Table3[[#This Row],[PrimaComercial Anual Asistencia]]</f>
        <v>5380.8</v>
      </c>
      <c r="AG957">
        <v>5380.8</v>
      </c>
    </row>
    <row r="958" spans="1:33" x14ac:dyDescent="0.25">
      <c r="A958" t="s">
        <v>17</v>
      </c>
      <c r="B958">
        <v>700002</v>
      </c>
      <c r="C958">
        <v>32</v>
      </c>
      <c r="D958" s="2">
        <f>Table3[[#This Row],[PrimaTécnica]]-Table3[[#This Row],[PrimaTécnica]]*SUM(Table3[[#This Row],[Gastos Adm]:[Cobranza]])</f>
        <v>2329.8485678207999</v>
      </c>
      <c r="E958">
        <v>0</v>
      </c>
      <c r="F958">
        <v>0.15</v>
      </c>
      <c r="G958">
        <v>0.05</v>
      </c>
      <c r="H958">
        <v>0.01</v>
      </c>
      <c r="I958">
        <v>0.01</v>
      </c>
      <c r="J958" s="8">
        <f>Table3[[#This Row],[PrimaTécnica]]*Table3[[#This Row],[Gastos Adm]]</f>
        <v>448.04780150400001</v>
      </c>
      <c r="K958" s="8">
        <f>Table3[[#This Row],[PrimaTécnica]]*Table3[[#This Row],[Utilidad]]</f>
        <v>149.34926716800001</v>
      </c>
      <c r="L958" s="8">
        <f>Table3[[#This Row],[PrimaTécnica]]*Table3[[#This Row],[Marketing]]</f>
        <v>29.869853433600003</v>
      </c>
      <c r="M958" s="8">
        <f>Table3[[#This Row],[PrimaTécnica]]*Table3[[#This Row],[Cobranza]]</f>
        <v>29.869853433600003</v>
      </c>
      <c r="N95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958">
        <v>21.84</v>
      </c>
      <c r="P958">
        <v>54.6</v>
      </c>
      <c r="Q958">
        <v>80.64</v>
      </c>
      <c r="R958">
        <v>44.377200000000002</v>
      </c>
      <c r="S958">
        <v>0.2</v>
      </c>
      <c r="T958">
        <v>0.02</v>
      </c>
      <c r="U958" s="8">
        <f>Table3[[#This Row],[PrimaNeta]]*Table3[[#This Row],[Comisión]]</f>
        <v>797.1106358400001</v>
      </c>
      <c r="V958" s="15">
        <f>Table3[[#This Row],[PrimaComercial Anual]]-Table3[[#This Row],[PrimaComercial Anual]]*SUM(Table3[[#This Row],[APS]:[IVA]])</f>
        <v>3985.5531792000002</v>
      </c>
      <c r="W958" s="2">
        <v>1.4800000000000001E-2</v>
      </c>
      <c r="X958" s="2">
        <v>8.4501000000000007E-2</v>
      </c>
      <c r="Y958">
        <v>0.03</v>
      </c>
      <c r="Z958">
        <v>0.13</v>
      </c>
      <c r="AA958" s="20">
        <f>Table3[[#This Row],[APS]]*Table3[[#This Row],[PrimaComercial Anual]]</f>
        <v>79.635840000000002</v>
      </c>
      <c r="AB958" s="8">
        <f>Table3[[#This Row],[PrimaComercial Anual]]*Table3[[#This Row],[Recargo adicional]]</f>
        <v>454.68298080000005</v>
      </c>
      <c r="AC958" s="8">
        <f>Table3[[#This Row],[PrimaComercial Anual]]*Table3[[#This Row],[IT]]</f>
        <v>161.42400000000001</v>
      </c>
      <c r="AD958" s="8">
        <f>Table3[[#This Row],[PrimaComercial Anual]]*Table3[[#This Row],[IVA]]</f>
        <v>699.50400000000002</v>
      </c>
      <c r="AE958" s="15">
        <f>Table3[[#This Row],[PrimaComercial Anual Asistencia]]</f>
        <v>5380.8</v>
      </c>
      <c r="AG958">
        <v>5380.8</v>
      </c>
    </row>
    <row r="959" spans="1:33" x14ac:dyDescent="0.25">
      <c r="A959" t="s">
        <v>17</v>
      </c>
      <c r="B959">
        <v>700002</v>
      </c>
      <c r="C959">
        <v>33</v>
      </c>
      <c r="D959" s="2">
        <f>Table3[[#This Row],[PrimaTécnica]]-Table3[[#This Row],[PrimaTécnica]]*SUM(Table3[[#This Row],[Gastos Adm]:[Cobranza]])</f>
        <v>2329.8485678207999</v>
      </c>
      <c r="E959">
        <v>0</v>
      </c>
      <c r="F959">
        <v>0.15</v>
      </c>
      <c r="G959">
        <v>0.05</v>
      </c>
      <c r="H959">
        <v>0.01</v>
      </c>
      <c r="I959">
        <v>0.01</v>
      </c>
      <c r="J959" s="8">
        <f>Table3[[#This Row],[PrimaTécnica]]*Table3[[#This Row],[Gastos Adm]]</f>
        <v>448.04780150400001</v>
      </c>
      <c r="K959" s="8">
        <f>Table3[[#This Row],[PrimaTécnica]]*Table3[[#This Row],[Utilidad]]</f>
        <v>149.34926716800001</v>
      </c>
      <c r="L959" s="8">
        <f>Table3[[#This Row],[PrimaTécnica]]*Table3[[#This Row],[Marketing]]</f>
        <v>29.869853433600003</v>
      </c>
      <c r="M959" s="8">
        <f>Table3[[#This Row],[PrimaTécnica]]*Table3[[#This Row],[Cobranza]]</f>
        <v>29.869853433600003</v>
      </c>
      <c r="N95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959">
        <v>21.84</v>
      </c>
      <c r="P959">
        <v>54.6</v>
      </c>
      <c r="Q959">
        <v>80.64</v>
      </c>
      <c r="R959">
        <v>44.377200000000002</v>
      </c>
      <c r="S959">
        <v>0.2</v>
      </c>
      <c r="T959">
        <v>0.02</v>
      </c>
      <c r="U959" s="8">
        <f>Table3[[#This Row],[PrimaNeta]]*Table3[[#This Row],[Comisión]]</f>
        <v>797.1106358400001</v>
      </c>
      <c r="V959" s="15">
        <f>Table3[[#This Row],[PrimaComercial Anual]]-Table3[[#This Row],[PrimaComercial Anual]]*SUM(Table3[[#This Row],[APS]:[IVA]])</f>
        <v>3985.5531792000002</v>
      </c>
      <c r="W959" s="2">
        <v>1.4800000000000001E-2</v>
      </c>
      <c r="X959" s="2">
        <v>8.4501000000000007E-2</v>
      </c>
      <c r="Y959">
        <v>0.03</v>
      </c>
      <c r="Z959">
        <v>0.13</v>
      </c>
      <c r="AA959" s="20">
        <f>Table3[[#This Row],[APS]]*Table3[[#This Row],[PrimaComercial Anual]]</f>
        <v>79.635840000000002</v>
      </c>
      <c r="AB959" s="8">
        <f>Table3[[#This Row],[PrimaComercial Anual]]*Table3[[#This Row],[Recargo adicional]]</f>
        <v>454.68298080000005</v>
      </c>
      <c r="AC959" s="8">
        <f>Table3[[#This Row],[PrimaComercial Anual]]*Table3[[#This Row],[IT]]</f>
        <v>161.42400000000001</v>
      </c>
      <c r="AD959" s="8">
        <f>Table3[[#This Row],[PrimaComercial Anual]]*Table3[[#This Row],[IVA]]</f>
        <v>699.50400000000002</v>
      </c>
      <c r="AE959" s="15">
        <f>Table3[[#This Row],[PrimaComercial Anual Asistencia]]</f>
        <v>5380.8</v>
      </c>
      <c r="AG959">
        <v>5380.8</v>
      </c>
    </row>
    <row r="960" spans="1:33" x14ac:dyDescent="0.25">
      <c r="A960" t="s">
        <v>17</v>
      </c>
      <c r="B960">
        <v>700002</v>
      </c>
      <c r="C960">
        <v>34</v>
      </c>
      <c r="D960" s="2">
        <f>Table3[[#This Row],[PrimaTécnica]]-Table3[[#This Row],[PrimaTécnica]]*SUM(Table3[[#This Row],[Gastos Adm]:[Cobranza]])</f>
        <v>2329.8485678207999</v>
      </c>
      <c r="E960">
        <v>0</v>
      </c>
      <c r="F960">
        <v>0.15</v>
      </c>
      <c r="G960">
        <v>0.05</v>
      </c>
      <c r="H960">
        <v>0.01</v>
      </c>
      <c r="I960">
        <v>0.01</v>
      </c>
      <c r="J960" s="8">
        <f>Table3[[#This Row],[PrimaTécnica]]*Table3[[#This Row],[Gastos Adm]]</f>
        <v>448.04780150400001</v>
      </c>
      <c r="K960" s="8">
        <f>Table3[[#This Row],[PrimaTécnica]]*Table3[[#This Row],[Utilidad]]</f>
        <v>149.34926716800001</v>
      </c>
      <c r="L960" s="8">
        <f>Table3[[#This Row],[PrimaTécnica]]*Table3[[#This Row],[Marketing]]</f>
        <v>29.869853433600003</v>
      </c>
      <c r="M960" s="8">
        <f>Table3[[#This Row],[PrimaTécnica]]*Table3[[#This Row],[Cobranza]]</f>
        <v>29.869853433600003</v>
      </c>
      <c r="N96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960">
        <v>21.84</v>
      </c>
      <c r="P960">
        <v>54.6</v>
      </c>
      <c r="Q960">
        <v>80.64</v>
      </c>
      <c r="R960">
        <v>44.377200000000002</v>
      </c>
      <c r="S960">
        <v>0.2</v>
      </c>
      <c r="T960">
        <v>0.02</v>
      </c>
      <c r="U960" s="8">
        <f>Table3[[#This Row],[PrimaNeta]]*Table3[[#This Row],[Comisión]]</f>
        <v>797.1106358400001</v>
      </c>
      <c r="V960" s="15">
        <f>Table3[[#This Row],[PrimaComercial Anual]]-Table3[[#This Row],[PrimaComercial Anual]]*SUM(Table3[[#This Row],[APS]:[IVA]])</f>
        <v>3985.5531792000002</v>
      </c>
      <c r="W960" s="2">
        <v>1.4800000000000001E-2</v>
      </c>
      <c r="X960" s="2">
        <v>8.4501000000000007E-2</v>
      </c>
      <c r="Y960">
        <v>0.03</v>
      </c>
      <c r="Z960">
        <v>0.13</v>
      </c>
      <c r="AA960" s="20">
        <f>Table3[[#This Row],[APS]]*Table3[[#This Row],[PrimaComercial Anual]]</f>
        <v>79.635840000000002</v>
      </c>
      <c r="AB960" s="8">
        <f>Table3[[#This Row],[PrimaComercial Anual]]*Table3[[#This Row],[Recargo adicional]]</f>
        <v>454.68298080000005</v>
      </c>
      <c r="AC960" s="8">
        <f>Table3[[#This Row],[PrimaComercial Anual]]*Table3[[#This Row],[IT]]</f>
        <v>161.42400000000001</v>
      </c>
      <c r="AD960" s="8">
        <f>Table3[[#This Row],[PrimaComercial Anual]]*Table3[[#This Row],[IVA]]</f>
        <v>699.50400000000002</v>
      </c>
      <c r="AE960" s="15">
        <f>Table3[[#This Row],[PrimaComercial Anual Asistencia]]</f>
        <v>5380.8</v>
      </c>
      <c r="AG960">
        <v>5380.8</v>
      </c>
    </row>
    <row r="961" spans="1:33" x14ac:dyDescent="0.25">
      <c r="A961" t="s">
        <v>17</v>
      </c>
      <c r="B961">
        <v>700002</v>
      </c>
      <c r="C961">
        <v>35</v>
      </c>
      <c r="D961" s="2">
        <f>Table3[[#This Row],[PrimaTécnica]]-Table3[[#This Row],[PrimaTécnica]]*SUM(Table3[[#This Row],[Gastos Adm]:[Cobranza]])</f>
        <v>2329.8485678207999</v>
      </c>
      <c r="E961">
        <v>0</v>
      </c>
      <c r="F961">
        <v>0.15</v>
      </c>
      <c r="G961">
        <v>0.05</v>
      </c>
      <c r="H961">
        <v>0.01</v>
      </c>
      <c r="I961">
        <v>0.01</v>
      </c>
      <c r="J961" s="8">
        <f>Table3[[#This Row],[PrimaTécnica]]*Table3[[#This Row],[Gastos Adm]]</f>
        <v>448.04780150400001</v>
      </c>
      <c r="K961" s="8">
        <f>Table3[[#This Row],[PrimaTécnica]]*Table3[[#This Row],[Utilidad]]</f>
        <v>149.34926716800001</v>
      </c>
      <c r="L961" s="8">
        <f>Table3[[#This Row],[PrimaTécnica]]*Table3[[#This Row],[Marketing]]</f>
        <v>29.869853433600003</v>
      </c>
      <c r="M961" s="8">
        <f>Table3[[#This Row],[PrimaTécnica]]*Table3[[#This Row],[Cobranza]]</f>
        <v>29.869853433600003</v>
      </c>
      <c r="N96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961">
        <v>21.84</v>
      </c>
      <c r="P961">
        <v>54.6</v>
      </c>
      <c r="Q961">
        <v>80.64</v>
      </c>
      <c r="R961">
        <v>44.377200000000002</v>
      </c>
      <c r="S961">
        <v>0.2</v>
      </c>
      <c r="T961">
        <v>0.02</v>
      </c>
      <c r="U961" s="8">
        <f>Table3[[#This Row],[PrimaNeta]]*Table3[[#This Row],[Comisión]]</f>
        <v>797.1106358400001</v>
      </c>
      <c r="V961" s="15">
        <f>Table3[[#This Row],[PrimaComercial Anual]]-Table3[[#This Row],[PrimaComercial Anual]]*SUM(Table3[[#This Row],[APS]:[IVA]])</f>
        <v>3985.5531792000002</v>
      </c>
      <c r="W961" s="2">
        <v>1.4800000000000001E-2</v>
      </c>
      <c r="X961" s="2">
        <v>8.4501000000000007E-2</v>
      </c>
      <c r="Y961">
        <v>0.03</v>
      </c>
      <c r="Z961">
        <v>0.13</v>
      </c>
      <c r="AA961" s="20">
        <f>Table3[[#This Row],[APS]]*Table3[[#This Row],[PrimaComercial Anual]]</f>
        <v>79.635840000000002</v>
      </c>
      <c r="AB961" s="8">
        <f>Table3[[#This Row],[PrimaComercial Anual]]*Table3[[#This Row],[Recargo adicional]]</f>
        <v>454.68298080000005</v>
      </c>
      <c r="AC961" s="8">
        <f>Table3[[#This Row],[PrimaComercial Anual]]*Table3[[#This Row],[IT]]</f>
        <v>161.42400000000001</v>
      </c>
      <c r="AD961" s="8">
        <f>Table3[[#This Row],[PrimaComercial Anual]]*Table3[[#This Row],[IVA]]</f>
        <v>699.50400000000002</v>
      </c>
      <c r="AE961" s="15">
        <f>Table3[[#This Row],[PrimaComercial Anual Asistencia]]</f>
        <v>5380.8</v>
      </c>
      <c r="AG961">
        <v>5380.8</v>
      </c>
    </row>
    <row r="962" spans="1:33" x14ac:dyDescent="0.25">
      <c r="A962" t="s">
        <v>17</v>
      </c>
      <c r="B962">
        <v>700002</v>
      </c>
      <c r="C962">
        <v>36</v>
      </c>
      <c r="D962" s="2">
        <f>Table3[[#This Row],[PrimaTécnica]]-Table3[[#This Row],[PrimaTécnica]]*SUM(Table3[[#This Row],[Gastos Adm]:[Cobranza]])</f>
        <v>2329.8485678207999</v>
      </c>
      <c r="E962">
        <v>0</v>
      </c>
      <c r="F962">
        <v>0.15</v>
      </c>
      <c r="G962">
        <v>0.05</v>
      </c>
      <c r="H962">
        <v>0.01</v>
      </c>
      <c r="I962">
        <v>0.01</v>
      </c>
      <c r="J962" s="8">
        <f>Table3[[#This Row],[PrimaTécnica]]*Table3[[#This Row],[Gastos Adm]]</f>
        <v>448.04780150400001</v>
      </c>
      <c r="K962" s="8">
        <f>Table3[[#This Row],[PrimaTécnica]]*Table3[[#This Row],[Utilidad]]</f>
        <v>149.34926716800001</v>
      </c>
      <c r="L962" s="8">
        <f>Table3[[#This Row],[PrimaTécnica]]*Table3[[#This Row],[Marketing]]</f>
        <v>29.869853433600003</v>
      </c>
      <c r="M962" s="8">
        <f>Table3[[#This Row],[PrimaTécnica]]*Table3[[#This Row],[Cobranza]]</f>
        <v>29.869853433600003</v>
      </c>
      <c r="N96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962">
        <v>21.84</v>
      </c>
      <c r="P962">
        <v>54.6</v>
      </c>
      <c r="Q962">
        <v>80.64</v>
      </c>
      <c r="R962">
        <v>44.377200000000002</v>
      </c>
      <c r="S962">
        <v>0.2</v>
      </c>
      <c r="T962">
        <v>0.02</v>
      </c>
      <c r="U962" s="8">
        <f>Table3[[#This Row],[PrimaNeta]]*Table3[[#This Row],[Comisión]]</f>
        <v>797.1106358400001</v>
      </c>
      <c r="V962" s="15">
        <f>Table3[[#This Row],[PrimaComercial Anual]]-Table3[[#This Row],[PrimaComercial Anual]]*SUM(Table3[[#This Row],[APS]:[IVA]])</f>
        <v>3985.5531792000002</v>
      </c>
      <c r="W962" s="2">
        <v>1.4800000000000001E-2</v>
      </c>
      <c r="X962" s="2">
        <v>8.4501000000000007E-2</v>
      </c>
      <c r="Y962">
        <v>0.03</v>
      </c>
      <c r="Z962">
        <v>0.13</v>
      </c>
      <c r="AA962" s="20">
        <f>Table3[[#This Row],[APS]]*Table3[[#This Row],[PrimaComercial Anual]]</f>
        <v>79.635840000000002</v>
      </c>
      <c r="AB962" s="8">
        <f>Table3[[#This Row],[PrimaComercial Anual]]*Table3[[#This Row],[Recargo adicional]]</f>
        <v>454.68298080000005</v>
      </c>
      <c r="AC962" s="8">
        <f>Table3[[#This Row],[PrimaComercial Anual]]*Table3[[#This Row],[IT]]</f>
        <v>161.42400000000001</v>
      </c>
      <c r="AD962" s="8">
        <f>Table3[[#This Row],[PrimaComercial Anual]]*Table3[[#This Row],[IVA]]</f>
        <v>699.50400000000002</v>
      </c>
      <c r="AE962" s="15">
        <f>Table3[[#This Row],[PrimaComercial Anual Asistencia]]</f>
        <v>5380.8</v>
      </c>
      <c r="AG962">
        <v>5380.8</v>
      </c>
    </row>
    <row r="963" spans="1:33" x14ac:dyDescent="0.25">
      <c r="A963" t="s">
        <v>17</v>
      </c>
      <c r="B963">
        <v>700002</v>
      </c>
      <c r="C963">
        <v>37</v>
      </c>
      <c r="D963" s="2">
        <f>Table3[[#This Row],[PrimaTécnica]]-Table3[[#This Row],[PrimaTécnica]]*SUM(Table3[[#This Row],[Gastos Adm]:[Cobranza]])</f>
        <v>2329.8485678207999</v>
      </c>
      <c r="E963">
        <v>0</v>
      </c>
      <c r="F963">
        <v>0.15</v>
      </c>
      <c r="G963">
        <v>0.05</v>
      </c>
      <c r="H963">
        <v>0.01</v>
      </c>
      <c r="I963">
        <v>0.01</v>
      </c>
      <c r="J963" s="8">
        <f>Table3[[#This Row],[PrimaTécnica]]*Table3[[#This Row],[Gastos Adm]]</f>
        <v>448.04780150400001</v>
      </c>
      <c r="K963" s="8">
        <f>Table3[[#This Row],[PrimaTécnica]]*Table3[[#This Row],[Utilidad]]</f>
        <v>149.34926716800001</v>
      </c>
      <c r="L963" s="8">
        <f>Table3[[#This Row],[PrimaTécnica]]*Table3[[#This Row],[Marketing]]</f>
        <v>29.869853433600003</v>
      </c>
      <c r="M963" s="8">
        <f>Table3[[#This Row],[PrimaTécnica]]*Table3[[#This Row],[Cobranza]]</f>
        <v>29.869853433600003</v>
      </c>
      <c r="N96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963">
        <v>21.84</v>
      </c>
      <c r="P963">
        <v>54.6</v>
      </c>
      <c r="Q963">
        <v>80.64</v>
      </c>
      <c r="R963">
        <v>44.377200000000002</v>
      </c>
      <c r="S963">
        <v>0.2</v>
      </c>
      <c r="T963">
        <v>0.02</v>
      </c>
      <c r="U963" s="8">
        <f>Table3[[#This Row],[PrimaNeta]]*Table3[[#This Row],[Comisión]]</f>
        <v>797.1106358400001</v>
      </c>
      <c r="V963" s="15">
        <f>Table3[[#This Row],[PrimaComercial Anual]]-Table3[[#This Row],[PrimaComercial Anual]]*SUM(Table3[[#This Row],[APS]:[IVA]])</f>
        <v>3985.5531792000002</v>
      </c>
      <c r="W963" s="2">
        <v>1.4800000000000001E-2</v>
      </c>
      <c r="X963" s="2">
        <v>8.4501000000000007E-2</v>
      </c>
      <c r="Y963">
        <v>0.03</v>
      </c>
      <c r="Z963">
        <v>0.13</v>
      </c>
      <c r="AA963" s="20">
        <f>Table3[[#This Row],[APS]]*Table3[[#This Row],[PrimaComercial Anual]]</f>
        <v>79.635840000000002</v>
      </c>
      <c r="AB963" s="8">
        <f>Table3[[#This Row],[PrimaComercial Anual]]*Table3[[#This Row],[Recargo adicional]]</f>
        <v>454.68298080000005</v>
      </c>
      <c r="AC963" s="8">
        <f>Table3[[#This Row],[PrimaComercial Anual]]*Table3[[#This Row],[IT]]</f>
        <v>161.42400000000001</v>
      </c>
      <c r="AD963" s="8">
        <f>Table3[[#This Row],[PrimaComercial Anual]]*Table3[[#This Row],[IVA]]</f>
        <v>699.50400000000002</v>
      </c>
      <c r="AE963" s="15">
        <f>Table3[[#This Row],[PrimaComercial Anual Asistencia]]</f>
        <v>5380.8</v>
      </c>
      <c r="AG963">
        <v>5380.8</v>
      </c>
    </row>
    <row r="964" spans="1:33" x14ac:dyDescent="0.25">
      <c r="A964" t="s">
        <v>17</v>
      </c>
      <c r="B964">
        <v>700002</v>
      </c>
      <c r="C964">
        <v>38</v>
      </c>
      <c r="D964" s="2">
        <f>Table3[[#This Row],[PrimaTécnica]]-Table3[[#This Row],[PrimaTécnica]]*SUM(Table3[[#This Row],[Gastos Adm]:[Cobranza]])</f>
        <v>2329.8485678207999</v>
      </c>
      <c r="E964">
        <v>0</v>
      </c>
      <c r="F964">
        <v>0.15</v>
      </c>
      <c r="G964">
        <v>0.05</v>
      </c>
      <c r="H964">
        <v>0.01</v>
      </c>
      <c r="I964">
        <v>0.01</v>
      </c>
      <c r="J964" s="8">
        <f>Table3[[#This Row],[PrimaTécnica]]*Table3[[#This Row],[Gastos Adm]]</f>
        <v>448.04780150400001</v>
      </c>
      <c r="K964" s="8">
        <f>Table3[[#This Row],[PrimaTécnica]]*Table3[[#This Row],[Utilidad]]</f>
        <v>149.34926716800001</v>
      </c>
      <c r="L964" s="8">
        <f>Table3[[#This Row],[PrimaTécnica]]*Table3[[#This Row],[Marketing]]</f>
        <v>29.869853433600003</v>
      </c>
      <c r="M964" s="8">
        <f>Table3[[#This Row],[PrimaTécnica]]*Table3[[#This Row],[Cobranza]]</f>
        <v>29.869853433600003</v>
      </c>
      <c r="N96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964">
        <v>21.84</v>
      </c>
      <c r="P964">
        <v>54.6</v>
      </c>
      <c r="Q964">
        <v>80.64</v>
      </c>
      <c r="R964">
        <v>44.377200000000002</v>
      </c>
      <c r="S964">
        <v>0.2</v>
      </c>
      <c r="T964">
        <v>0.02</v>
      </c>
      <c r="U964" s="8">
        <f>Table3[[#This Row],[PrimaNeta]]*Table3[[#This Row],[Comisión]]</f>
        <v>797.1106358400001</v>
      </c>
      <c r="V964" s="15">
        <f>Table3[[#This Row],[PrimaComercial Anual]]-Table3[[#This Row],[PrimaComercial Anual]]*SUM(Table3[[#This Row],[APS]:[IVA]])</f>
        <v>3985.5531792000002</v>
      </c>
      <c r="W964" s="2">
        <v>1.4800000000000001E-2</v>
      </c>
      <c r="X964" s="2">
        <v>8.4501000000000007E-2</v>
      </c>
      <c r="Y964">
        <v>0.03</v>
      </c>
      <c r="Z964">
        <v>0.13</v>
      </c>
      <c r="AA964" s="20">
        <f>Table3[[#This Row],[APS]]*Table3[[#This Row],[PrimaComercial Anual]]</f>
        <v>79.635840000000002</v>
      </c>
      <c r="AB964" s="8">
        <f>Table3[[#This Row],[PrimaComercial Anual]]*Table3[[#This Row],[Recargo adicional]]</f>
        <v>454.68298080000005</v>
      </c>
      <c r="AC964" s="8">
        <f>Table3[[#This Row],[PrimaComercial Anual]]*Table3[[#This Row],[IT]]</f>
        <v>161.42400000000001</v>
      </c>
      <c r="AD964" s="8">
        <f>Table3[[#This Row],[PrimaComercial Anual]]*Table3[[#This Row],[IVA]]</f>
        <v>699.50400000000002</v>
      </c>
      <c r="AE964" s="15">
        <f>Table3[[#This Row],[PrimaComercial Anual Asistencia]]</f>
        <v>5380.8</v>
      </c>
      <c r="AG964">
        <v>5380.8</v>
      </c>
    </row>
    <row r="965" spans="1:33" x14ac:dyDescent="0.25">
      <c r="A965" t="s">
        <v>17</v>
      </c>
      <c r="B965">
        <v>700002</v>
      </c>
      <c r="C965">
        <v>39</v>
      </c>
      <c r="D965" s="2">
        <f>Table3[[#This Row],[PrimaTécnica]]-Table3[[#This Row],[PrimaTécnica]]*SUM(Table3[[#This Row],[Gastos Adm]:[Cobranza]])</f>
        <v>2329.8485678207999</v>
      </c>
      <c r="E965">
        <v>0</v>
      </c>
      <c r="F965">
        <v>0.15</v>
      </c>
      <c r="G965">
        <v>0.05</v>
      </c>
      <c r="H965">
        <v>0.01</v>
      </c>
      <c r="I965">
        <v>0.01</v>
      </c>
      <c r="J965" s="8">
        <f>Table3[[#This Row],[PrimaTécnica]]*Table3[[#This Row],[Gastos Adm]]</f>
        <v>448.04780150400001</v>
      </c>
      <c r="K965" s="8">
        <f>Table3[[#This Row],[PrimaTécnica]]*Table3[[#This Row],[Utilidad]]</f>
        <v>149.34926716800001</v>
      </c>
      <c r="L965" s="8">
        <f>Table3[[#This Row],[PrimaTécnica]]*Table3[[#This Row],[Marketing]]</f>
        <v>29.869853433600003</v>
      </c>
      <c r="M965" s="8">
        <f>Table3[[#This Row],[PrimaTécnica]]*Table3[[#This Row],[Cobranza]]</f>
        <v>29.869853433600003</v>
      </c>
      <c r="N96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2986.9853433600001</v>
      </c>
      <c r="O965">
        <v>21.84</v>
      </c>
      <c r="P965">
        <v>54.6</v>
      </c>
      <c r="Q965">
        <v>80.64</v>
      </c>
      <c r="R965">
        <v>44.377200000000002</v>
      </c>
      <c r="S965">
        <v>0.2</v>
      </c>
      <c r="T965">
        <v>0.02</v>
      </c>
      <c r="U965" s="8">
        <f>Table3[[#This Row],[PrimaNeta]]*Table3[[#This Row],[Comisión]]</f>
        <v>797.1106358400001</v>
      </c>
      <c r="V965" s="15">
        <f>Table3[[#This Row],[PrimaComercial Anual]]-Table3[[#This Row],[PrimaComercial Anual]]*SUM(Table3[[#This Row],[APS]:[IVA]])</f>
        <v>3985.5531792000002</v>
      </c>
      <c r="W965" s="2">
        <v>1.4800000000000001E-2</v>
      </c>
      <c r="X965" s="2">
        <v>8.4501000000000007E-2</v>
      </c>
      <c r="Y965">
        <v>0.03</v>
      </c>
      <c r="Z965">
        <v>0.13</v>
      </c>
      <c r="AA965" s="20">
        <f>Table3[[#This Row],[APS]]*Table3[[#This Row],[PrimaComercial Anual]]</f>
        <v>79.635840000000002</v>
      </c>
      <c r="AB965" s="8">
        <f>Table3[[#This Row],[PrimaComercial Anual]]*Table3[[#This Row],[Recargo adicional]]</f>
        <v>454.68298080000005</v>
      </c>
      <c r="AC965" s="8">
        <f>Table3[[#This Row],[PrimaComercial Anual]]*Table3[[#This Row],[IT]]</f>
        <v>161.42400000000001</v>
      </c>
      <c r="AD965" s="8">
        <f>Table3[[#This Row],[PrimaComercial Anual]]*Table3[[#This Row],[IVA]]</f>
        <v>699.50400000000002</v>
      </c>
      <c r="AE965" s="15">
        <f>Table3[[#This Row],[PrimaComercial Anual Asistencia]]</f>
        <v>5380.8</v>
      </c>
      <c r="AG965">
        <v>5380.8</v>
      </c>
    </row>
    <row r="966" spans="1:33" x14ac:dyDescent="0.25">
      <c r="A966" t="s">
        <v>17</v>
      </c>
      <c r="B966">
        <v>700002</v>
      </c>
      <c r="C966">
        <v>40</v>
      </c>
      <c r="D966" s="2">
        <f>Table3[[#This Row],[PrimaTécnica]]-Table3[[#This Row],[PrimaTécnica]]*SUM(Table3[[#This Row],[Gastos Adm]:[Cobranza]])</f>
        <v>3067.5136647167997</v>
      </c>
      <c r="E966">
        <v>0</v>
      </c>
      <c r="F966">
        <v>0.15</v>
      </c>
      <c r="G966">
        <v>0.05</v>
      </c>
      <c r="H966">
        <v>0.01</v>
      </c>
      <c r="I966">
        <v>0.01</v>
      </c>
      <c r="J966" s="8">
        <f>Table3[[#This Row],[PrimaTécnica]]*Table3[[#This Row],[Gastos Adm]]</f>
        <v>589.90647398399994</v>
      </c>
      <c r="K966" s="8">
        <f>Table3[[#This Row],[PrimaTécnica]]*Table3[[#This Row],[Utilidad]]</f>
        <v>196.635491328</v>
      </c>
      <c r="L966" s="8">
        <f>Table3[[#This Row],[PrimaTécnica]]*Table3[[#This Row],[Marketing]]</f>
        <v>39.3270982656</v>
      </c>
      <c r="M966" s="8">
        <f>Table3[[#This Row],[PrimaTécnica]]*Table3[[#This Row],[Cobranza]]</f>
        <v>39.3270982656</v>
      </c>
      <c r="N96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3932.7098265599998</v>
      </c>
      <c r="O966">
        <v>21.84</v>
      </c>
      <c r="P966">
        <v>54.6</v>
      </c>
      <c r="Q966">
        <v>80.64</v>
      </c>
      <c r="R966">
        <v>44.377200000000002</v>
      </c>
      <c r="S966">
        <v>0.2</v>
      </c>
      <c r="T966">
        <v>0.02</v>
      </c>
      <c r="U966" s="8">
        <f>Table3[[#This Row],[PrimaNeta]]*Table3[[#This Row],[Comisión]]</f>
        <v>1033.5417566399999</v>
      </c>
      <c r="V966" s="15">
        <f>Table3[[#This Row],[PrimaComercial Anual]]-Table3[[#This Row],[PrimaComercial Anual]]*SUM(Table3[[#This Row],[APS]:[IVA]])</f>
        <v>5167.7087831999997</v>
      </c>
      <c r="W966" s="2">
        <v>1.4800000000000001E-2</v>
      </c>
      <c r="X966" s="2">
        <v>8.4501000000000007E-2</v>
      </c>
      <c r="Y966">
        <v>0.03</v>
      </c>
      <c r="Z966">
        <v>0.13</v>
      </c>
      <c r="AA966" s="20">
        <f>Table3[[#This Row],[APS]]*Table3[[#This Row],[PrimaComercial Anual]]</f>
        <v>103.25664</v>
      </c>
      <c r="AB966" s="8">
        <f>Table3[[#This Row],[PrimaComercial Anual]]*Table3[[#This Row],[Recargo adicional]]</f>
        <v>589.54657680000003</v>
      </c>
      <c r="AC966" s="8">
        <f>Table3[[#This Row],[PrimaComercial Anual]]*Table3[[#This Row],[IT]]</f>
        <v>209.304</v>
      </c>
      <c r="AD966" s="8">
        <f>Table3[[#This Row],[PrimaComercial Anual]]*Table3[[#This Row],[IVA]]</f>
        <v>906.98400000000004</v>
      </c>
      <c r="AE966" s="15">
        <f>Table3[[#This Row],[PrimaComercial Anual Asistencia]]</f>
        <v>6976.8</v>
      </c>
      <c r="AG966">
        <v>6976.8</v>
      </c>
    </row>
    <row r="967" spans="1:33" x14ac:dyDescent="0.25">
      <c r="A967" t="s">
        <v>17</v>
      </c>
      <c r="B967">
        <v>700002</v>
      </c>
      <c r="C967">
        <v>41</v>
      </c>
      <c r="D967" s="2">
        <f>Table3[[#This Row],[PrimaTécnica]]-Table3[[#This Row],[PrimaTécnica]]*SUM(Table3[[#This Row],[Gastos Adm]:[Cobranza]])</f>
        <v>3067.5136647167997</v>
      </c>
      <c r="E967">
        <v>0</v>
      </c>
      <c r="F967">
        <v>0.15</v>
      </c>
      <c r="G967">
        <v>0.05</v>
      </c>
      <c r="H967">
        <v>0.01</v>
      </c>
      <c r="I967">
        <v>0.01</v>
      </c>
      <c r="J967" s="8">
        <f>Table3[[#This Row],[PrimaTécnica]]*Table3[[#This Row],[Gastos Adm]]</f>
        <v>589.90647398399994</v>
      </c>
      <c r="K967" s="8">
        <f>Table3[[#This Row],[PrimaTécnica]]*Table3[[#This Row],[Utilidad]]</f>
        <v>196.635491328</v>
      </c>
      <c r="L967" s="8">
        <f>Table3[[#This Row],[PrimaTécnica]]*Table3[[#This Row],[Marketing]]</f>
        <v>39.3270982656</v>
      </c>
      <c r="M967" s="8">
        <f>Table3[[#This Row],[PrimaTécnica]]*Table3[[#This Row],[Cobranza]]</f>
        <v>39.3270982656</v>
      </c>
      <c r="N96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3932.7098265599998</v>
      </c>
      <c r="O967">
        <v>21.84</v>
      </c>
      <c r="P967">
        <v>54.6</v>
      </c>
      <c r="Q967">
        <v>80.64</v>
      </c>
      <c r="R967">
        <v>44.377200000000002</v>
      </c>
      <c r="S967">
        <v>0.2</v>
      </c>
      <c r="T967">
        <v>0.02</v>
      </c>
      <c r="U967" s="8">
        <f>Table3[[#This Row],[PrimaNeta]]*Table3[[#This Row],[Comisión]]</f>
        <v>1033.5417566399999</v>
      </c>
      <c r="V967" s="15">
        <f>Table3[[#This Row],[PrimaComercial Anual]]-Table3[[#This Row],[PrimaComercial Anual]]*SUM(Table3[[#This Row],[APS]:[IVA]])</f>
        <v>5167.7087831999997</v>
      </c>
      <c r="W967" s="2">
        <v>1.4800000000000001E-2</v>
      </c>
      <c r="X967" s="2">
        <v>8.4501000000000007E-2</v>
      </c>
      <c r="Y967">
        <v>0.03</v>
      </c>
      <c r="Z967">
        <v>0.13</v>
      </c>
      <c r="AA967" s="20">
        <f>Table3[[#This Row],[APS]]*Table3[[#This Row],[PrimaComercial Anual]]</f>
        <v>103.25664</v>
      </c>
      <c r="AB967" s="8">
        <f>Table3[[#This Row],[PrimaComercial Anual]]*Table3[[#This Row],[Recargo adicional]]</f>
        <v>589.54657680000003</v>
      </c>
      <c r="AC967" s="8">
        <f>Table3[[#This Row],[PrimaComercial Anual]]*Table3[[#This Row],[IT]]</f>
        <v>209.304</v>
      </c>
      <c r="AD967" s="8">
        <f>Table3[[#This Row],[PrimaComercial Anual]]*Table3[[#This Row],[IVA]]</f>
        <v>906.98400000000004</v>
      </c>
      <c r="AE967" s="15">
        <f>Table3[[#This Row],[PrimaComercial Anual Asistencia]]</f>
        <v>6976.8</v>
      </c>
      <c r="AG967">
        <v>6976.8</v>
      </c>
    </row>
    <row r="968" spans="1:33" x14ac:dyDescent="0.25">
      <c r="A968" t="s">
        <v>17</v>
      </c>
      <c r="B968">
        <v>700002</v>
      </c>
      <c r="C968">
        <v>42</v>
      </c>
      <c r="D968" s="2">
        <f>Table3[[#This Row],[PrimaTécnica]]-Table3[[#This Row],[PrimaTécnica]]*SUM(Table3[[#This Row],[Gastos Adm]:[Cobranza]])</f>
        <v>3067.5136647167997</v>
      </c>
      <c r="E968">
        <v>0</v>
      </c>
      <c r="F968">
        <v>0.15</v>
      </c>
      <c r="G968">
        <v>0.05</v>
      </c>
      <c r="H968">
        <v>0.01</v>
      </c>
      <c r="I968">
        <v>0.01</v>
      </c>
      <c r="J968" s="8">
        <f>Table3[[#This Row],[PrimaTécnica]]*Table3[[#This Row],[Gastos Adm]]</f>
        <v>589.90647398399994</v>
      </c>
      <c r="K968" s="8">
        <f>Table3[[#This Row],[PrimaTécnica]]*Table3[[#This Row],[Utilidad]]</f>
        <v>196.635491328</v>
      </c>
      <c r="L968" s="8">
        <f>Table3[[#This Row],[PrimaTécnica]]*Table3[[#This Row],[Marketing]]</f>
        <v>39.3270982656</v>
      </c>
      <c r="M968" s="8">
        <f>Table3[[#This Row],[PrimaTécnica]]*Table3[[#This Row],[Cobranza]]</f>
        <v>39.3270982656</v>
      </c>
      <c r="N96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3932.7098265599998</v>
      </c>
      <c r="O968">
        <v>21.84</v>
      </c>
      <c r="P968">
        <v>54.6</v>
      </c>
      <c r="Q968">
        <v>80.64</v>
      </c>
      <c r="R968">
        <v>44.377200000000002</v>
      </c>
      <c r="S968">
        <v>0.2</v>
      </c>
      <c r="T968">
        <v>0.02</v>
      </c>
      <c r="U968" s="8">
        <f>Table3[[#This Row],[PrimaNeta]]*Table3[[#This Row],[Comisión]]</f>
        <v>1033.5417566399999</v>
      </c>
      <c r="V968" s="15">
        <f>Table3[[#This Row],[PrimaComercial Anual]]-Table3[[#This Row],[PrimaComercial Anual]]*SUM(Table3[[#This Row],[APS]:[IVA]])</f>
        <v>5167.7087831999997</v>
      </c>
      <c r="W968" s="2">
        <v>1.4800000000000001E-2</v>
      </c>
      <c r="X968" s="2">
        <v>8.4501000000000007E-2</v>
      </c>
      <c r="Y968">
        <v>0.03</v>
      </c>
      <c r="Z968">
        <v>0.13</v>
      </c>
      <c r="AA968" s="20">
        <f>Table3[[#This Row],[APS]]*Table3[[#This Row],[PrimaComercial Anual]]</f>
        <v>103.25664</v>
      </c>
      <c r="AB968" s="8">
        <f>Table3[[#This Row],[PrimaComercial Anual]]*Table3[[#This Row],[Recargo adicional]]</f>
        <v>589.54657680000003</v>
      </c>
      <c r="AC968" s="8">
        <f>Table3[[#This Row],[PrimaComercial Anual]]*Table3[[#This Row],[IT]]</f>
        <v>209.304</v>
      </c>
      <c r="AD968" s="8">
        <f>Table3[[#This Row],[PrimaComercial Anual]]*Table3[[#This Row],[IVA]]</f>
        <v>906.98400000000004</v>
      </c>
      <c r="AE968" s="15">
        <f>Table3[[#This Row],[PrimaComercial Anual Asistencia]]</f>
        <v>6976.8</v>
      </c>
      <c r="AG968">
        <v>6976.8</v>
      </c>
    </row>
    <row r="969" spans="1:33" x14ac:dyDescent="0.25">
      <c r="A969" t="s">
        <v>17</v>
      </c>
      <c r="B969">
        <v>700002</v>
      </c>
      <c r="C969">
        <v>43</v>
      </c>
      <c r="D969" s="2">
        <f>Table3[[#This Row],[PrimaTécnica]]-Table3[[#This Row],[PrimaTécnica]]*SUM(Table3[[#This Row],[Gastos Adm]:[Cobranza]])</f>
        <v>3067.5136647167997</v>
      </c>
      <c r="E969">
        <v>0</v>
      </c>
      <c r="F969">
        <v>0.15</v>
      </c>
      <c r="G969">
        <v>0.05</v>
      </c>
      <c r="H969">
        <v>0.01</v>
      </c>
      <c r="I969">
        <v>0.01</v>
      </c>
      <c r="J969" s="8">
        <f>Table3[[#This Row],[PrimaTécnica]]*Table3[[#This Row],[Gastos Adm]]</f>
        <v>589.90647398399994</v>
      </c>
      <c r="K969" s="8">
        <f>Table3[[#This Row],[PrimaTécnica]]*Table3[[#This Row],[Utilidad]]</f>
        <v>196.635491328</v>
      </c>
      <c r="L969" s="8">
        <f>Table3[[#This Row],[PrimaTécnica]]*Table3[[#This Row],[Marketing]]</f>
        <v>39.3270982656</v>
      </c>
      <c r="M969" s="8">
        <f>Table3[[#This Row],[PrimaTécnica]]*Table3[[#This Row],[Cobranza]]</f>
        <v>39.3270982656</v>
      </c>
      <c r="N96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3932.7098265599998</v>
      </c>
      <c r="O969">
        <v>21.84</v>
      </c>
      <c r="P969">
        <v>54.6</v>
      </c>
      <c r="Q969">
        <v>80.64</v>
      </c>
      <c r="R969">
        <v>44.377200000000002</v>
      </c>
      <c r="S969">
        <v>0.2</v>
      </c>
      <c r="T969">
        <v>0.02</v>
      </c>
      <c r="U969" s="8">
        <f>Table3[[#This Row],[PrimaNeta]]*Table3[[#This Row],[Comisión]]</f>
        <v>1033.5417566399999</v>
      </c>
      <c r="V969" s="15">
        <f>Table3[[#This Row],[PrimaComercial Anual]]-Table3[[#This Row],[PrimaComercial Anual]]*SUM(Table3[[#This Row],[APS]:[IVA]])</f>
        <v>5167.7087831999997</v>
      </c>
      <c r="W969" s="2">
        <v>1.4800000000000001E-2</v>
      </c>
      <c r="X969" s="2">
        <v>8.4501000000000007E-2</v>
      </c>
      <c r="Y969">
        <v>0.03</v>
      </c>
      <c r="Z969">
        <v>0.13</v>
      </c>
      <c r="AA969" s="20">
        <f>Table3[[#This Row],[APS]]*Table3[[#This Row],[PrimaComercial Anual]]</f>
        <v>103.25664</v>
      </c>
      <c r="AB969" s="8">
        <f>Table3[[#This Row],[PrimaComercial Anual]]*Table3[[#This Row],[Recargo adicional]]</f>
        <v>589.54657680000003</v>
      </c>
      <c r="AC969" s="8">
        <f>Table3[[#This Row],[PrimaComercial Anual]]*Table3[[#This Row],[IT]]</f>
        <v>209.304</v>
      </c>
      <c r="AD969" s="8">
        <f>Table3[[#This Row],[PrimaComercial Anual]]*Table3[[#This Row],[IVA]]</f>
        <v>906.98400000000004</v>
      </c>
      <c r="AE969" s="15">
        <f>Table3[[#This Row],[PrimaComercial Anual Asistencia]]</f>
        <v>6976.8</v>
      </c>
      <c r="AG969">
        <v>6976.8</v>
      </c>
    </row>
    <row r="970" spans="1:33" x14ac:dyDescent="0.25">
      <c r="A970" t="s">
        <v>17</v>
      </c>
      <c r="B970">
        <v>700002</v>
      </c>
      <c r="C970">
        <v>44</v>
      </c>
      <c r="D970" s="2">
        <f>Table3[[#This Row],[PrimaTécnica]]-Table3[[#This Row],[PrimaTécnica]]*SUM(Table3[[#This Row],[Gastos Adm]:[Cobranza]])</f>
        <v>3067.5136647167997</v>
      </c>
      <c r="E970">
        <v>0</v>
      </c>
      <c r="F970">
        <v>0.15</v>
      </c>
      <c r="G970">
        <v>0.05</v>
      </c>
      <c r="H970">
        <v>0.01</v>
      </c>
      <c r="I970">
        <v>0.01</v>
      </c>
      <c r="J970" s="8">
        <f>Table3[[#This Row],[PrimaTécnica]]*Table3[[#This Row],[Gastos Adm]]</f>
        <v>589.90647398399994</v>
      </c>
      <c r="K970" s="8">
        <f>Table3[[#This Row],[PrimaTécnica]]*Table3[[#This Row],[Utilidad]]</f>
        <v>196.635491328</v>
      </c>
      <c r="L970" s="8">
        <f>Table3[[#This Row],[PrimaTécnica]]*Table3[[#This Row],[Marketing]]</f>
        <v>39.3270982656</v>
      </c>
      <c r="M970" s="8">
        <f>Table3[[#This Row],[PrimaTécnica]]*Table3[[#This Row],[Cobranza]]</f>
        <v>39.3270982656</v>
      </c>
      <c r="N97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3932.7098265599998</v>
      </c>
      <c r="O970">
        <v>21.84</v>
      </c>
      <c r="P970">
        <v>54.6</v>
      </c>
      <c r="Q970">
        <v>80.64</v>
      </c>
      <c r="R970">
        <v>44.377200000000002</v>
      </c>
      <c r="S970">
        <v>0.2</v>
      </c>
      <c r="T970">
        <v>0.02</v>
      </c>
      <c r="U970" s="8">
        <f>Table3[[#This Row],[PrimaNeta]]*Table3[[#This Row],[Comisión]]</f>
        <v>1033.5417566399999</v>
      </c>
      <c r="V970" s="15">
        <f>Table3[[#This Row],[PrimaComercial Anual]]-Table3[[#This Row],[PrimaComercial Anual]]*SUM(Table3[[#This Row],[APS]:[IVA]])</f>
        <v>5167.7087831999997</v>
      </c>
      <c r="W970" s="2">
        <v>1.4800000000000001E-2</v>
      </c>
      <c r="X970" s="2">
        <v>8.4501000000000007E-2</v>
      </c>
      <c r="Y970">
        <v>0.03</v>
      </c>
      <c r="Z970">
        <v>0.13</v>
      </c>
      <c r="AA970" s="20">
        <f>Table3[[#This Row],[APS]]*Table3[[#This Row],[PrimaComercial Anual]]</f>
        <v>103.25664</v>
      </c>
      <c r="AB970" s="8">
        <f>Table3[[#This Row],[PrimaComercial Anual]]*Table3[[#This Row],[Recargo adicional]]</f>
        <v>589.54657680000003</v>
      </c>
      <c r="AC970" s="8">
        <f>Table3[[#This Row],[PrimaComercial Anual]]*Table3[[#This Row],[IT]]</f>
        <v>209.304</v>
      </c>
      <c r="AD970" s="8">
        <f>Table3[[#This Row],[PrimaComercial Anual]]*Table3[[#This Row],[IVA]]</f>
        <v>906.98400000000004</v>
      </c>
      <c r="AE970" s="15">
        <f>Table3[[#This Row],[PrimaComercial Anual Asistencia]]</f>
        <v>6976.8</v>
      </c>
      <c r="AG970">
        <v>6976.8</v>
      </c>
    </row>
    <row r="971" spans="1:33" x14ac:dyDescent="0.25">
      <c r="A971" t="s">
        <v>17</v>
      </c>
      <c r="B971">
        <v>700002</v>
      </c>
      <c r="C971">
        <v>45</v>
      </c>
      <c r="D971" s="2">
        <f>Table3[[#This Row],[PrimaTécnica]]-Table3[[#This Row],[PrimaTécnica]]*SUM(Table3[[#This Row],[Gastos Adm]:[Cobranza]])</f>
        <v>3067.5136647167997</v>
      </c>
      <c r="E971">
        <v>0</v>
      </c>
      <c r="F971">
        <v>0.15</v>
      </c>
      <c r="G971">
        <v>0.05</v>
      </c>
      <c r="H971">
        <v>0.01</v>
      </c>
      <c r="I971">
        <v>0.01</v>
      </c>
      <c r="J971" s="8">
        <f>Table3[[#This Row],[PrimaTécnica]]*Table3[[#This Row],[Gastos Adm]]</f>
        <v>589.90647398399994</v>
      </c>
      <c r="K971" s="8">
        <f>Table3[[#This Row],[PrimaTécnica]]*Table3[[#This Row],[Utilidad]]</f>
        <v>196.635491328</v>
      </c>
      <c r="L971" s="8">
        <f>Table3[[#This Row],[PrimaTécnica]]*Table3[[#This Row],[Marketing]]</f>
        <v>39.3270982656</v>
      </c>
      <c r="M971" s="8">
        <f>Table3[[#This Row],[PrimaTécnica]]*Table3[[#This Row],[Cobranza]]</f>
        <v>39.3270982656</v>
      </c>
      <c r="N97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3932.7098265599998</v>
      </c>
      <c r="O971">
        <v>21.84</v>
      </c>
      <c r="P971">
        <v>54.6</v>
      </c>
      <c r="Q971">
        <v>80.64</v>
      </c>
      <c r="R971">
        <v>44.377200000000002</v>
      </c>
      <c r="S971">
        <v>0.2</v>
      </c>
      <c r="T971">
        <v>0.02</v>
      </c>
      <c r="U971" s="8">
        <f>Table3[[#This Row],[PrimaNeta]]*Table3[[#This Row],[Comisión]]</f>
        <v>1033.5417566399999</v>
      </c>
      <c r="V971" s="15">
        <f>Table3[[#This Row],[PrimaComercial Anual]]-Table3[[#This Row],[PrimaComercial Anual]]*SUM(Table3[[#This Row],[APS]:[IVA]])</f>
        <v>5167.7087831999997</v>
      </c>
      <c r="W971" s="2">
        <v>1.4800000000000001E-2</v>
      </c>
      <c r="X971" s="2">
        <v>8.4501000000000007E-2</v>
      </c>
      <c r="Y971">
        <v>0.03</v>
      </c>
      <c r="Z971">
        <v>0.13</v>
      </c>
      <c r="AA971" s="20">
        <f>Table3[[#This Row],[APS]]*Table3[[#This Row],[PrimaComercial Anual]]</f>
        <v>103.25664</v>
      </c>
      <c r="AB971" s="8">
        <f>Table3[[#This Row],[PrimaComercial Anual]]*Table3[[#This Row],[Recargo adicional]]</f>
        <v>589.54657680000003</v>
      </c>
      <c r="AC971" s="8">
        <f>Table3[[#This Row],[PrimaComercial Anual]]*Table3[[#This Row],[IT]]</f>
        <v>209.304</v>
      </c>
      <c r="AD971" s="8">
        <f>Table3[[#This Row],[PrimaComercial Anual]]*Table3[[#This Row],[IVA]]</f>
        <v>906.98400000000004</v>
      </c>
      <c r="AE971" s="15">
        <f>Table3[[#This Row],[PrimaComercial Anual Asistencia]]</f>
        <v>6976.8</v>
      </c>
      <c r="AG971">
        <v>6976.8</v>
      </c>
    </row>
    <row r="972" spans="1:33" x14ac:dyDescent="0.25">
      <c r="A972" t="s">
        <v>17</v>
      </c>
      <c r="B972">
        <v>700002</v>
      </c>
      <c r="C972">
        <v>46</v>
      </c>
      <c r="D972" s="2">
        <f>Table3[[#This Row],[PrimaTécnica]]-Table3[[#This Row],[PrimaTécnica]]*SUM(Table3[[#This Row],[Gastos Adm]:[Cobranza]])</f>
        <v>3067.5136647167997</v>
      </c>
      <c r="E972">
        <v>0</v>
      </c>
      <c r="F972">
        <v>0.15</v>
      </c>
      <c r="G972">
        <v>0.05</v>
      </c>
      <c r="H972">
        <v>0.01</v>
      </c>
      <c r="I972">
        <v>0.01</v>
      </c>
      <c r="J972" s="8">
        <f>Table3[[#This Row],[PrimaTécnica]]*Table3[[#This Row],[Gastos Adm]]</f>
        <v>589.90647398399994</v>
      </c>
      <c r="K972" s="8">
        <f>Table3[[#This Row],[PrimaTécnica]]*Table3[[#This Row],[Utilidad]]</f>
        <v>196.635491328</v>
      </c>
      <c r="L972" s="8">
        <f>Table3[[#This Row],[PrimaTécnica]]*Table3[[#This Row],[Marketing]]</f>
        <v>39.3270982656</v>
      </c>
      <c r="M972" s="8">
        <f>Table3[[#This Row],[PrimaTécnica]]*Table3[[#This Row],[Cobranza]]</f>
        <v>39.3270982656</v>
      </c>
      <c r="N97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3932.7098265599998</v>
      </c>
      <c r="O972">
        <v>21.84</v>
      </c>
      <c r="P972">
        <v>54.6</v>
      </c>
      <c r="Q972">
        <v>80.64</v>
      </c>
      <c r="R972">
        <v>44.377200000000002</v>
      </c>
      <c r="S972">
        <v>0.2</v>
      </c>
      <c r="T972">
        <v>0.02</v>
      </c>
      <c r="U972" s="8">
        <f>Table3[[#This Row],[PrimaNeta]]*Table3[[#This Row],[Comisión]]</f>
        <v>1033.5417566399999</v>
      </c>
      <c r="V972" s="15">
        <f>Table3[[#This Row],[PrimaComercial Anual]]-Table3[[#This Row],[PrimaComercial Anual]]*SUM(Table3[[#This Row],[APS]:[IVA]])</f>
        <v>5167.7087831999997</v>
      </c>
      <c r="W972" s="2">
        <v>1.4800000000000001E-2</v>
      </c>
      <c r="X972" s="2">
        <v>8.4501000000000007E-2</v>
      </c>
      <c r="Y972">
        <v>0.03</v>
      </c>
      <c r="Z972">
        <v>0.13</v>
      </c>
      <c r="AA972" s="20">
        <f>Table3[[#This Row],[APS]]*Table3[[#This Row],[PrimaComercial Anual]]</f>
        <v>103.25664</v>
      </c>
      <c r="AB972" s="8">
        <f>Table3[[#This Row],[PrimaComercial Anual]]*Table3[[#This Row],[Recargo adicional]]</f>
        <v>589.54657680000003</v>
      </c>
      <c r="AC972" s="8">
        <f>Table3[[#This Row],[PrimaComercial Anual]]*Table3[[#This Row],[IT]]</f>
        <v>209.304</v>
      </c>
      <c r="AD972" s="8">
        <f>Table3[[#This Row],[PrimaComercial Anual]]*Table3[[#This Row],[IVA]]</f>
        <v>906.98400000000004</v>
      </c>
      <c r="AE972" s="15">
        <f>Table3[[#This Row],[PrimaComercial Anual Asistencia]]</f>
        <v>6976.8</v>
      </c>
      <c r="AG972">
        <v>6976.8</v>
      </c>
    </row>
    <row r="973" spans="1:33" x14ac:dyDescent="0.25">
      <c r="A973" t="s">
        <v>17</v>
      </c>
      <c r="B973">
        <v>700002</v>
      </c>
      <c r="C973">
        <v>47</v>
      </c>
      <c r="D973" s="2">
        <f>Table3[[#This Row],[PrimaTécnica]]-Table3[[#This Row],[PrimaTécnica]]*SUM(Table3[[#This Row],[Gastos Adm]:[Cobranza]])</f>
        <v>3067.5136647167997</v>
      </c>
      <c r="E973">
        <v>0</v>
      </c>
      <c r="F973">
        <v>0.15</v>
      </c>
      <c r="G973">
        <v>0.05</v>
      </c>
      <c r="H973">
        <v>0.01</v>
      </c>
      <c r="I973">
        <v>0.01</v>
      </c>
      <c r="J973" s="8">
        <f>Table3[[#This Row],[PrimaTécnica]]*Table3[[#This Row],[Gastos Adm]]</f>
        <v>589.90647398399994</v>
      </c>
      <c r="K973" s="8">
        <f>Table3[[#This Row],[PrimaTécnica]]*Table3[[#This Row],[Utilidad]]</f>
        <v>196.635491328</v>
      </c>
      <c r="L973" s="8">
        <f>Table3[[#This Row],[PrimaTécnica]]*Table3[[#This Row],[Marketing]]</f>
        <v>39.3270982656</v>
      </c>
      <c r="M973" s="8">
        <f>Table3[[#This Row],[PrimaTécnica]]*Table3[[#This Row],[Cobranza]]</f>
        <v>39.3270982656</v>
      </c>
      <c r="N97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3932.7098265599998</v>
      </c>
      <c r="O973">
        <v>21.84</v>
      </c>
      <c r="P973">
        <v>54.6</v>
      </c>
      <c r="Q973">
        <v>80.64</v>
      </c>
      <c r="R973">
        <v>44.377200000000002</v>
      </c>
      <c r="S973">
        <v>0.2</v>
      </c>
      <c r="T973">
        <v>0.02</v>
      </c>
      <c r="U973" s="8">
        <f>Table3[[#This Row],[PrimaNeta]]*Table3[[#This Row],[Comisión]]</f>
        <v>1033.5417566399999</v>
      </c>
      <c r="V973" s="15">
        <f>Table3[[#This Row],[PrimaComercial Anual]]-Table3[[#This Row],[PrimaComercial Anual]]*SUM(Table3[[#This Row],[APS]:[IVA]])</f>
        <v>5167.7087831999997</v>
      </c>
      <c r="W973" s="2">
        <v>1.4800000000000001E-2</v>
      </c>
      <c r="X973" s="2">
        <v>8.4501000000000007E-2</v>
      </c>
      <c r="Y973">
        <v>0.03</v>
      </c>
      <c r="Z973">
        <v>0.13</v>
      </c>
      <c r="AA973" s="20">
        <f>Table3[[#This Row],[APS]]*Table3[[#This Row],[PrimaComercial Anual]]</f>
        <v>103.25664</v>
      </c>
      <c r="AB973" s="8">
        <f>Table3[[#This Row],[PrimaComercial Anual]]*Table3[[#This Row],[Recargo adicional]]</f>
        <v>589.54657680000003</v>
      </c>
      <c r="AC973" s="8">
        <f>Table3[[#This Row],[PrimaComercial Anual]]*Table3[[#This Row],[IT]]</f>
        <v>209.304</v>
      </c>
      <c r="AD973" s="8">
        <f>Table3[[#This Row],[PrimaComercial Anual]]*Table3[[#This Row],[IVA]]</f>
        <v>906.98400000000004</v>
      </c>
      <c r="AE973" s="15">
        <f>Table3[[#This Row],[PrimaComercial Anual Asistencia]]</f>
        <v>6976.8</v>
      </c>
      <c r="AG973">
        <v>6976.8</v>
      </c>
    </row>
    <row r="974" spans="1:33" x14ac:dyDescent="0.25">
      <c r="A974" t="s">
        <v>17</v>
      </c>
      <c r="B974">
        <v>700002</v>
      </c>
      <c r="C974">
        <v>48</v>
      </c>
      <c r="D974" s="2">
        <f>Table3[[#This Row],[PrimaTécnica]]-Table3[[#This Row],[PrimaTécnica]]*SUM(Table3[[#This Row],[Gastos Adm]:[Cobranza]])</f>
        <v>3067.5136647167997</v>
      </c>
      <c r="E974">
        <v>0</v>
      </c>
      <c r="F974">
        <v>0.15</v>
      </c>
      <c r="G974">
        <v>0.05</v>
      </c>
      <c r="H974">
        <v>0.01</v>
      </c>
      <c r="I974">
        <v>0.01</v>
      </c>
      <c r="J974" s="8">
        <f>Table3[[#This Row],[PrimaTécnica]]*Table3[[#This Row],[Gastos Adm]]</f>
        <v>589.90647398399994</v>
      </c>
      <c r="K974" s="8">
        <f>Table3[[#This Row],[PrimaTécnica]]*Table3[[#This Row],[Utilidad]]</f>
        <v>196.635491328</v>
      </c>
      <c r="L974" s="8">
        <f>Table3[[#This Row],[PrimaTécnica]]*Table3[[#This Row],[Marketing]]</f>
        <v>39.3270982656</v>
      </c>
      <c r="M974" s="8">
        <f>Table3[[#This Row],[PrimaTécnica]]*Table3[[#This Row],[Cobranza]]</f>
        <v>39.3270982656</v>
      </c>
      <c r="N97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3932.7098265599998</v>
      </c>
      <c r="O974">
        <v>21.84</v>
      </c>
      <c r="P974">
        <v>54.6</v>
      </c>
      <c r="Q974">
        <v>80.64</v>
      </c>
      <c r="R974">
        <v>44.377200000000002</v>
      </c>
      <c r="S974">
        <v>0.2</v>
      </c>
      <c r="T974">
        <v>0.02</v>
      </c>
      <c r="U974" s="8">
        <f>Table3[[#This Row],[PrimaNeta]]*Table3[[#This Row],[Comisión]]</f>
        <v>1033.5417566399999</v>
      </c>
      <c r="V974" s="15">
        <f>Table3[[#This Row],[PrimaComercial Anual]]-Table3[[#This Row],[PrimaComercial Anual]]*SUM(Table3[[#This Row],[APS]:[IVA]])</f>
        <v>5167.7087831999997</v>
      </c>
      <c r="W974" s="2">
        <v>1.4800000000000001E-2</v>
      </c>
      <c r="X974" s="2">
        <v>8.4501000000000007E-2</v>
      </c>
      <c r="Y974">
        <v>0.03</v>
      </c>
      <c r="Z974">
        <v>0.13</v>
      </c>
      <c r="AA974" s="20">
        <f>Table3[[#This Row],[APS]]*Table3[[#This Row],[PrimaComercial Anual]]</f>
        <v>103.25664</v>
      </c>
      <c r="AB974" s="8">
        <f>Table3[[#This Row],[PrimaComercial Anual]]*Table3[[#This Row],[Recargo adicional]]</f>
        <v>589.54657680000003</v>
      </c>
      <c r="AC974" s="8">
        <f>Table3[[#This Row],[PrimaComercial Anual]]*Table3[[#This Row],[IT]]</f>
        <v>209.304</v>
      </c>
      <c r="AD974" s="8">
        <f>Table3[[#This Row],[PrimaComercial Anual]]*Table3[[#This Row],[IVA]]</f>
        <v>906.98400000000004</v>
      </c>
      <c r="AE974" s="15">
        <f>Table3[[#This Row],[PrimaComercial Anual Asistencia]]</f>
        <v>6976.8</v>
      </c>
      <c r="AG974">
        <v>6976.8</v>
      </c>
    </row>
    <row r="975" spans="1:33" x14ac:dyDescent="0.25">
      <c r="A975" t="s">
        <v>17</v>
      </c>
      <c r="B975">
        <v>700002</v>
      </c>
      <c r="C975">
        <v>49</v>
      </c>
      <c r="D975" s="2">
        <f>Table3[[#This Row],[PrimaTécnica]]-Table3[[#This Row],[PrimaTécnica]]*SUM(Table3[[#This Row],[Gastos Adm]:[Cobranza]])</f>
        <v>3067.5136647167997</v>
      </c>
      <c r="E975">
        <v>0</v>
      </c>
      <c r="F975">
        <v>0.15</v>
      </c>
      <c r="G975">
        <v>0.05</v>
      </c>
      <c r="H975">
        <v>0.01</v>
      </c>
      <c r="I975">
        <v>0.01</v>
      </c>
      <c r="J975" s="8">
        <f>Table3[[#This Row],[PrimaTécnica]]*Table3[[#This Row],[Gastos Adm]]</f>
        <v>589.90647398399994</v>
      </c>
      <c r="K975" s="8">
        <f>Table3[[#This Row],[PrimaTécnica]]*Table3[[#This Row],[Utilidad]]</f>
        <v>196.635491328</v>
      </c>
      <c r="L975" s="8">
        <f>Table3[[#This Row],[PrimaTécnica]]*Table3[[#This Row],[Marketing]]</f>
        <v>39.3270982656</v>
      </c>
      <c r="M975" s="8">
        <f>Table3[[#This Row],[PrimaTécnica]]*Table3[[#This Row],[Cobranza]]</f>
        <v>39.3270982656</v>
      </c>
      <c r="N97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3932.7098265599998</v>
      </c>
      <c r="O975">
        <v>21.84</v>
      </c>
      <c r="P975">
        <v>54.6</v>
      </c>
      <c r="Q975">
        <v>80.64</v>
      </c>
      <c r="R975">
        <v>44.377200000000002</v>
      </c>
      <c r="S975">
        <v>0.2</v>
      </c>
      <c r="T975">
        <v>0.02</v>
      </c>
      <c r="U975" s="8">
        <f>Table3[[#This Row],[PrimaNeta]]*Table3[[#This Row],[Comisión]]</f>
        <v>1033.5417566399999</v>
      </c>
      <c r="V975" s="15">
        <f>Table3[[#This Row],[PrimaComercial Anual]]-Table3[[#This Row],[PrimaComercial Anual]]*SUM(Table3[[#This Row],[APS]:[IVA]])</f>
        <v>5167.7087831999997</v>
      </c>
      <c r="W975" s="2">
        <v>1.4800000000000001E-2</v>
      </c>
      <c r="X975" s="2">
        <v>8.4501000000000007E-2</v>
      </c>
      <c r="Y975">
        <v>0.03</v>
      </c>
      <c r="Z975">
        <v>0.13</v>
      </c>
      <c r="AA975" s="20">
        <f>Table3[[#This Row],[APS]]*Table3[[#This Row],[PrimaComercial Anual]]</f>
        <v>103.25664</v>
      </c>
      <c r="AB975" s="8">
        <f>Table3[[#This Row],[PrimaComercial Anual]]*Table3[[#This Row],[Recargo adicional]]</f>
        <v>589.54657680000003</v>
      </c>
      <c r="AC975" s="8">
        <f>Table3[[#This Row],[PrimaComercial Anual]]*Table3[[#This Row],[IT]]</f>
        <v>209.304</v>
      </c>
      <c r="AD975" s="8">
        <f>Table3[[#This Row],[PrimaComercial Anual]]*Table3[[#This Row],[IVA]]</f>
        <v>906.98400000000004</v>
      </c>
      <c r="AE975" s="15">
        <f>Table3[[#This Row],[PrimaComercial Anual Asistencia]]</f>
        <v>6976.8</v>
      </c>
      <c r="AG975">
        <v>6976.8</v>
      </c>
    </row>
    <row r="976" spans="1:33" x14ac:dyDescent="0.25">
      <c r="A976" t="s">
        <v>17</v>
      </c>
      <c r="B976">
        <v>700002</v>
      </c>
      <c r="C976">
        <v>50</v>
      </c>
      <c r="D976" s="2">
        <f>Table3[[#This Row],[PrimaTécnica]]-Table3[[#This Row],[PrimaTécnica]]*SUM(Table3[[#This Row],[Gastos Adm]:[Cobranza]])</f>
        <v>3878.9452713023989</v>
      </c>
      <c r="E976">
        <v>0</v>
      </c>
      <c r="F976">
        <v>0.15</v>
      </c>
      <c r="G976">
        <v>0.05</v>
      </c>
      <c r="H976">
        <v>0.01</v>
      </c>
      <c r="I976">
        <v>0.01</v>
      </c>
      <c r="J976" s="8">
        <f>Table3[[#This Row],[PrimaTécnica]]*Table3[[#This Row],[Gastos Adm]]</f>
        <v>745.95101371199974</v>
      </c>
      <c r="K976" s="8">
        <f>Table3[[#This Row],[PrimaTécnica]]*Table3[[#This Row],[Utilidad]]</f>
        <v>248.65033790399994</v>
      </c>
      <c r="L976" s="8">
        <f>Table3[[#This Row],[PrimaTécnica]]*Table3[[#This Row],[Marketing]]</f>
        <v>49.730067580799989</v>
      </c>
      <c r="M976" s="8">
        <f>Table3[[#This Row],[PrimaTécnica]]*Table3[[#This Row],[Cobranza]]</f>
        <v>49.730067580799989</v>
      </c>
      <c r="N97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4973.0067580799987</v>
      </c>
      <c r="O976">
        <v>21.84</v>
      </c>
      <c r="P976">
        <v>54.6</v>
      </c>
      <c r="Q976">
        <v>80.64</v>
      </c>
      <c r="R976">
        <v>44.377200000000002</v>
      </c>
      <c r="S976">
        <v>0.2</v>
      </c>
      <c r="T976">
        <v>0.02</v>
      </c>
      <c r="U976" s="8">
        <f>Table3[[#This Row],[PrimaNeta]]*Table3[[#This Row],[Comisión]]</f>
        <v>1293.6159895199999</v>
      </c>
      <c r="V976" s="15">
        <f>Table3[[#This Row],[PrimaComercial Anual]]-Table3[[#This Row],[PrimaComercial Anual]]*SUM(Table3[[#This Row],[APS]:[IVA]])</f>
        <v>6468.0799475999993</v>
      </c>
      <c r="W976" s="2">
        <v>1.4800000000000001E-2</v>
      </c>
      <c r="X976" s="2">
        <v>8.4501000000000007E-2</v>
      </c>
      <c r="Y976">
        <v>0.03</v>
      </c>
      <c r="Z976">
        <v>0.13</v>
      </c>
      <c r="AA976" s="20">
        <f>Table3[[#This Row],[APS]]*Table3[[#This Row],[PrimaComercial Anual]]</f>
        <v>129.23952</v>
      </c>
      <c r="AB976" s="8">
        <f>Table3[[#This Row],[PrimaComercial Anual]]*Table3[[#This Row],[Recargo adicional]]</f>
        <v>737.89653240000007</v>
      </c>
      <c r="AC976" s="8">
        <f>Table3[[#This Row],[PrimaComercial Anual]]*Table3[[#This Row],[IT]]</f>
        <v>261.97199999999998</v>
      </c>
      <c r="AD976" s="8">
        <f>Table3[[#This Row],[PrimaComercial Anual]]*Table3[[#This Row],[IVA]]</f>
        <v>1135.212</v>
      </c>
      <c r="AE976" s="15">
        <f>Table3[[#This Row],[PrimaComercial Anual Asistencia]]</f>
        <v>8732.4</v>
      </c>
      <c r="AG976">
        <v>8732.4</v>
      </c>
    </row>
    <row r="977" spans="1:33" x14ac:dyDescent="0.25">
      <c r="A977" t="s">
        <v>17</v>
      </c>
      <c r="B977">
        <v>700002</v>
      </c>
      <c r="C977">
        <v>51</v>
      </c>
      <c r="D977" s="2">
        <f>Table3[[#This Row],[PrimaTécnica]]-Table3[[#This Row],[PrimaTécnica]]*SUM(Table3[[#This Row],[Gastos Adm]:[Cobranza]])</f>
        <v>3878.9452713023989</v>
      </c>
      <c r="E977">
        <v>0</v>
      </c>
      <c r="F977">
        <v>0.15</v>
      </c>
      <c r="G977">
        <v>0.05</v>
      </c>
      <c r="H977">
        <v>0.01</v>
      </c>
      <c r="I977">
        <v>0.01</v>
      </c>
      <c r="J977" s="8">
        <f>Table3[[#This Row],[PrimaTécnica]]*Table3[[#This Row],[Gastos Adm]]</f>
        <v>745.95101371199974</v>
      </c>
      <c r="K977" s="8">
        <f>Table3[[#This Row],[PrimaTécnica]]*Table3[[#This Row],[Utilidad]]</f>
        <v>248.65033790399994</v>
      </c>
      <c r="L977" s="8">
        <f>Table3[[#This Row],[PrimaTécnica]]*Table3[[#This Row],[Marketing]]</f>
        <v>49.730067580799989</v>
      </c>
      <c r="M977" s="8">
        <f>Table3[[#This Row],[PrimaTécnica]]*Table3[[#This Row],[Cobranza]]</f>
        <v>49.730067580799989</v>
      </c>
      <c r="N97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4973.0067580799987</v>
      </c>
      <c r="O977">
        <v>21.84</v>
      </c>
      <c r="P977">
        <v>54.6</v>
      </c>
      <c r="Q977">
        <v>80.64</v>
      </c>
      <c r="R977">
        <v>44.377200000000002</v>
      </c>
      <c r="S977">
        <v>0.2</v>
      </c>
      <c r="T977">
        <v>0.02</v>
      </c>
      <c r="U977" s="8">
        <f>Table3[[#This Row],[PrimaNeta]]*Table3[[#This Row],[Comisión]]</f>
        <v>1293.6159895199999</v>
      </c>
      <c r="V977" s="15">
        <f>Table3[[#This Row],[PrimaComercial Anual]]-Table3[[#This Row],[PrimaComercial Anual]]*SUM(Table3[[#This Row],[APS]:[IVA]])</f>
        <v>6468.0799475999993</v>
      </c>
      <c r="W977" s="2">
        <v>1.4800000000000001E-2</v>
      </c>
      <c r="X977" s="2">
        <v>8.4501000000000007E-2</v>
      </c>
      <c r="Y977">
        <v>0.03</v>
      </c>
      <c r="Z977">
        <v>0.13</v>
      </c>
      <c r="AA977" s="20">
        <f>Table3[[#This Row],[APS]]*Table3[[#This Row],[PrimaComercial Anual]]</f>
        <v>129.23952</v>
      </c>
      <c r="AB977" s="8">
        <f>Table3[[#This Row],[PrimaComercial Anual]]*Table3[[#This Row],[Recargo adicional]]</f>
        <v>737.89653240000007</v>
      </c>
      <c r="AC977" s="8">
        <f>Table3[[#This Row],[PrimaComercial Anual]]*Table3[[#This Row],[IT]]</f>
        <v>261.97199999999998</v>
      </c>
      <c r="AD977" s="8">
        <f>Table3[[#This Row],[PrimaComercial Anual]]*Table3[[#This Row],[IVA]]</f>
        <v>1135.212</v>
      </c>
      <c r="AE977" s="15">
        <f>Table3[[#This Row],[PrimaComercial Anual Asistencia]]</f>
        <v>8732.4</v>
      </c>
      <c r="AG977">
        <v>8732.4</v>
      </c>
    </row>
    <row r="978" spans="1:33" x14ac:dyDescent="0.25">
      <c r="A978" t="s">
        <v>17</v>
      </c>
      <c r="B978">
        <v>700002</v>
      </c>
      <c r="C978">
        <v>52</v>
      </c>
      <c r="D978" s="2">
        <f>Table3[[#This Row],[PrimaTécnica]]-Table3[[#This Row],[PrimaTécnica]]*SUM(Table3[[#This Row],[Gastos Adm]:[Cobranza]])</f>
        <v>3878.9452713023989</v>
      </c>
      <c r="E978">
        <v>0</v>
      </c>
      <c r="F978">
        <v>0.15</v>
      </c>
      <c r="G978">
        <v>0.05</v>
      </c>
      <c r="H978">
        <v>0.01</v>
      </c>
      <c r="I978">
        <v>0.01</v>
      </c>
      <c r="J978" s="8">
        <f>Table3[[#This Row],[PrimaTécnica]]*Table3[[#This Row],[Gastos Adm]]</f>
        <v>745.95101371199974</v>
      </c>
      <c r="K978" s="8">
        <f>Table3[[#This Row],[PrimaTécnica]]*Table3[[#This Row],[Utilidad]]</f>
        <v>248.65033790399994</v>
      </c>
      <c r="L978" s="8">
        <f>Table3[[#This Row],[PrimaTécnica]]*Table3[[#This Row],[Marketing]]</f>
        <v>49.730067580799989</v>
      </c>
      <c r="M978" s="8">
        <f>Table3[[#This Row],[PrimaTécnica]]*Table3[[#This Row],[Cobranza]]</f>
        <v>49.730067580799989</v>
      </c>
      <c r="N97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4973.0067580799987</v>
      </c>
      <c r="O978">
        <v>21.84</v>
      </c>
      <c r="P978">
        <v>54.6</v>
      </c>
      <c r="Q978">
        <v>80.64</v>
      </c>
      <c r="R978">
        <v>44.377200000000002</v>
      </c>
      <c r="S978">
        <v>0.2</v>
      </c>
      <c r="T978">
        <v>0.02</v>
      </c>
      <c r="U978" s="8">
        <f>Table3[[#This Row],[PrimaNeta]]*Table3[[#This Row],[Comisión]]</f>
        <v>1293.6159895199999</v>
      </c>
      <c r="V978" s="15">
        <f>Table3[[#This Row],[PrimaComercial Anual]]-Table3[[#This Row],[PrimaComercial Anual]]*SUM(Table3[[#This Row],[APS]:[IVA]])</f>
        <v>6468.0799475999993</v>
      </c>
      <c r="W978" s="2">
        <v>1.4800000000000001E-2</v>
      </c>
      <c r="X978" s="2">
        <v>8.4501000000000007E-2</v>
      </c>
      <c r="Y978">
        <v>0.03</v>
      </c>
      <c r="Z978">
        <v>0.13</v>
      </c>
      <c r="AA978" s="20">
        <f>Table3[[#This Row],[APS]]*Table3[[#This Row],[PrimaComercial Anual]]</f>
        <v>129.23952</v>
      </c>
      <c r="AB978" s="8">
        <f>Table3[[#This Row],[PrimaComercial Anual]]*Table3[[#This Row],[Recargo adicional]]</f>
        <v>737.89653240000007</v>
      </c>
      <c r="AC978" s="8">
        <f>Table3[[#This Row],[PrimaComercial Anual]]*Table3[[#This Row],[IT]]</f>
        <v>261.97199999999998</v>
      </c>
      <c r="AD978" s="8">
        <f>Table3[[#This Row],[PrimaComercial Anual]]*Table3[[#This Row],[IVA]]</f>
        <v>1135.212</v>
      </c>
      <c r="AE978" s="15">
        <f>Table3[[#This Row],[PrimaComercial Anual Asistencia]]</f>
        <v>8732.4</v>
      </c>
      <c r="AG978">
        <v>8732.4</v>
      </c>
    </row>
    <row r="979" spans="1:33" x14ac:dyDescent="0.25">
      <c r="A979" t="s">
        <v>17</v>
      </c>
      <c r="B979">
        <v>700002</v>
      </c>
      <c r="C979">
        <v>53</v>
      </c>
      <c r="D979" s="2">
        <f>Table3[[#This Row],[PrimaTécnica]]-Table3[[#This Row],[PrimaTécnica]]*SUM(Table3[[#This Row],[Gastos Adm]:[Cobranza]])</f>
        <v>3878.9452713023989</v>
      </c>
      <c r="E979">
        <v>0</v>
      </c>
      <c r="F979">
        <v>0.15</v>
      </c>
      <c r="G979">
        <v>0.05</v>
      </c>
      <c r="H979">
        <v>0.01</v>
      </c>
      <c r="I979">
        <v>0.01</v>
      </c>
      <c r="J979" s="8">
        <f>Table3[[#This Row],[PrimaTécnica]]*Table3[[#This Row],[Gastos Adm]]</f>
        <v>745.95101371199974</v>
      </c>
      <c r="K979" s="8">
        <f>Table3[[#This Row],[PrimaTécnica]]*Table3[[#This Row],[Utilidad]]</f>
        <v>248.65033790399994</v>
      </c>
      <c r="L979" s="8">
        <f>Table3[[#This Row],[PrimaTécnica]]*Table3[[#This Row],[Marketing]]</f>
        <v>49.730067580799989</v>
      </c>
      <c r="M979" s="8">
        <f>Table3[[#This Row],[PrimaTécnica]]*Table3[[#This Row],[Cobranza]]</f>
        <v>49.730067580799989</v>
      </c>
      <c r="N97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4973.0067580799987</v>
      </c>
      <c r="O979">
        <v>21.84</v>
      </c>
      <c r="P979">
        <v>54.6</v>
      </c>
      <c r="Q979">
        <v>80.64</v>
      </c>
      <c r="R979">
        <v>44.377200000000002</v>
      </c>
      <c r="S979">
        <v>0.2</v>
      </c>
      <c r="T979">
        <v>0.02</v>
      </c>
      <c r="U979" s="8">
        <f>Table3[[#This Row],[PrimaNeta]]*Table3[[#This Row],[Comisión]]</f>
        <v>1293.6159895199999</v>
      </c>
      <c r="V979" s="15">
        <f>Table3[[#This Row],[PrimaComercial Anual]]-Table3[[#This Row],[PrimaComercial Anual]]*SUM(Table3[[#This Row],[APS]:[IVA]])</f>
        <v>6468.0799475999993</v>
      </c>
      <c r="W979" s="2">
        <v>1.4800000000000001E-2</v>
      </c>
      <c r="X979" s="2">
        <v>8.4501000000000007E-2</v>
      </c>
      <c r="Y979">
        <v>0.03</v>
      </c>
      <c r="Z979">
        <v>0.13</v>
      </c>
      <c r="AA979" s="20">
        <f>Table3[[#This Row],[APS]]*Table3[[#This Row],[PrimaComercial Anual]]</f>
        <v>129.23952</v>
      </c>
      <c r="AB979" s="8">
        <f>Table3[[#This Row],[PrimaComercial Anual]]*Table3[[#This Row],[Recargo adicional]]</f>
        <v>737.89653240000007</v>
      </c>
      <c r="AC979" s="8">
        <f>Table3[[#This Row],[PrimaComercial Anual]]*Table3[[#This Row],[IT]]</f>
        <v>261.97199999999998</v>
      </c>
      <c r="AD979" s="8">
        <f>Table3[[#This Row],[PrimaComercial Anual]]*Table3[[#This Row],[IVA]]</f>
        <v>1135.212</v>
      </c>
      <c r="AE979" s="15">
        <f>Table3[[#This Row],[PrimaComercial Anual Asistencia]]</f>
        <v>8732.4</v>
      </c>
      <c r="AG979">
        <v>8732.4</v>
      </c>
    </row>
    <row r="980" spans="1:33" x14ac:dyDescent="0.25">
      <c r="A980" t="s">
        <v>17</v>
      </c>
      <c r="B980">
        <v>700002</v>
      </c>
      <c r="C980">
        <v>54</v>
      </c>
      <c r="D980" s="2">
        <f>Table3[[#This Row],[PrimaTécnica]]-Table3[[#This Row],[PrimaTécnica]]*SUM(Table3[[#This Row],[Gastos Adm]:[Cobranza]])</f>
        <v>3878.9452713023989</v>
      </c>
      <c r="E980">
        <v>0</v>
      </c>
      <c r="F980">
        <v>0.15</v>
      </c>
      <c r="G980">
        <v>0.05</v>
      </c>
      <c r="H980">
        <v>0.01</v>
      </c>
      <c r="I980">
        <v>0.01</v>
      </c>
      <c r="J980" s="8">
        <f>Table3[[#This Row],[PrimaTécnica]]*Table3[[#This Row],[Gastos Adm]]</f>
        <v>745.95101371199974</v>
      </c>
      <c r="K980" s="8">
        <f>Table3[[#This Row],[PrimaTécnica]]*Table3[[#This Row],[Utilidad]]</f>
        <v>248.65033790399994</v>
      </c>
      <c r="L980" s="8">
        <f>Table3[[#This Row],[PrimaTécnica]]*Table3[[#This Row],[Marketing]]</f>
        <v>49.730067580799989</v>
      </c>
      <c r="M980" s="8">
        <f>Table3[[#This Row],[PrimaTécnica]]*Table3[[#This Row],[Cobranza]]</f>
        <v>49.730067580799989</v>
      </c>
      <c r="N98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4973.0067580799987</v>
      </c>
      <c r="O980">
        <v>21.84</v>
      </c>
      <c r="P980">
        <v>54.6</v>
      </c>
      <c r="Q980">
        <v>80.64</v>
      </c>
      <c r="R980">
        <v>44.377200000000002</v>
      </c>
      <c r="S980">
        <v>0.2</v>
      </c>
      <c r="T980">
        <v>0.02</v>
      </c>
      <c r="U980" s="8">
        <f>Table3[[#This Row],[PrimaNeta]]*Table3[[#This Row],[Comisión]]</f>
        <v>1293.6159895199999</v>
      </c>
      <c r="V980" s="15">
        <f>Table3[[#This Row],[PrimaComercial Anual]]-Table3[[#This Row],[PrimaComercial Anual]]*SUM(Table3[[#This Row],[APS]:[IVA]])</f>
        <v>6468.0799475999993</v>
      </c>
      <c r="W980" s="2">
        <v>1.4800000000000001E-2</v>
      </c>
      <c r="X980" s="2">
        <v>8.4501000000000007E-2</v>
      </c>
      <c r="Y980">
        <v>0.03</v>
      </c>
      <c r="Z980">
        <v>0.13</v>
      </c>
      <c r="AA980" s="20">
        <f>Table3[[#This Row],[APS]]*Table3[[#This Row],[PrimaComercial Anual]]</f>
        <v>129.23952</v>
      </c>
      <c r="AB980" s="8">
        <f>Table3[[#This Row],[PrimaComercial Anual]]*Table3[[#This Row],[Recargo adicional]]</f>
        <v>737.89653240000007</v>
      </c>
      <c r="AC980" s="8">
        <f>Table3[[#This Row],[PrimaComercial Anual]]*Table3[[#This Row],[IT]]</f>
        <v>261.97199999999998</v>
      </c>
      <c r="AD980" s="8">
        <f>Table3[[#This Row],[PrimaComercial Anual]]*Table3[[#This Row],[IVA]]</f>
        <v>1135.212</v>
      </c>
      <c r="AE980" s="15">
        <f>Table3[[#This Row],[PrimaComercial Anual Asistencia]]</f>
        <v>8732.4</v>
      </c>
      <c r="AG980">
        <v>8732.4</v>
      </c>
    </row>
    <row r="981" spans="1:33" x14ac:dyDescent="0.25">
      <c r="A981" t="s">
        <v>17</v>
      </c>
      <c r="B981">
        <v>700002</v>
      </c>
      <c r="C981">
        <v>55</v>
      </c>
      <c r="D981" s="2">
        <f>Table3[[#This Row],[PrimaTécnica]]-Table3[[#This Row],[PrimaTécnica]]*SUM(Table3[[#This Row],[Gastos Adm]:[Cobranza]])</f>
        <v>3878.9452713023989</v>
      </c>
      <c r="E981">
        <v>0</v>
      </c>
      <c r="F981">
        <v>0.15</v>
      </c>
      <c r="G981">
        <v>0.05</v>
      </c>
      <c r="H981">
        <v>0.01</v>
      </c>
      <c r="I981">
        <v>0.01</v>
      </c>
      <c r="J981" s="8">
        <f>Table3[[#This Row],[PrimaTécnica]]*Table3[[#This Row],[Gastos Adm]]</f>
        <v>745.95101371199974</v>
      </c>
      <c r="K981" s="8">
        <f>Table3[[#This Row],[PrimaTécnica]]*Table3[[#This Row],[Utilidad]]</f>
        <v>248.65033790399994</v>
      </c>
      <c r="L981" s="8">
        <f>Table3[[#This Row],[PrimaTécnica]]*Table3[[#This Row],[Marketing]]</f>
        <v>49.730067580799989</v>
      </c>
      <c r="M981" s="8">
        <f>Table3[[#This Row],[PrimaTécnica]]*Table3[[#This Row],[Cobranza]]</f>
        <v>49.730067580799989</v>
      </c>
      <c r="N98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4973.0067580799987</v>
      </c>
      <c r="O981">
        <v>21.84</v>
      </c>
      <c r="P981">
        <v>54.6</v>
      </c>
      <c r="Q981">
        <v>80.64</v>
      </c>
      <c r="R981">
        <v>44.377200000000002</v>
      </c>
      <c r="S981">
        <v>0.2</v>
      </c>
      <c r="T981">
        <v>0.02</v>
      </c>
      <c r="U981" s="8">
        <f>Table3[[#This Row],[PrimaNeta]]*Table3[[#This Row],[Comisión]]</f>
        <v>1293.6159895199999</v>
      </c>
      <c r="V981" s="15">
        <f>Table3[[#This Row],[PrimaComercial Anual]]-Table3[[#This Row],[PrimaComercial Anual]]*SUM(Table3[[#This Row],[APS]:[IVA]])</f>
        <v>6468.0799475999993</v>
      </c>
      <c r="W981" s="2">
        <v>1.4800000000000001E-2</v>
      </c>
      <c r="X981" s="2">
        <v>8.4501000000000007E-2</v>
      </c>
      <c r="Y981">
        <v>0.03</v>
      </c>
      <c r="Z981">
        <v>0.13</v>
      </c>
      <c r="AA981" s="20">
        <f>Table3[[#This Row],[APS]]*Table3[[#This Row],[PrimaComercial Anual]]</f>
        <v>129.23952</v>
      </c>
      <c r="AB981" s="8">
        <f>Table3[[#This Row],[PrimaComercial Anual]]*Table3[[#This Row],[Recargo adicional]]</f>
        <v>737.89653240000007</v>
      </c>
      <c r="AC981" s="8">
        <f>Table3[[#This Row],[PrimaComercial Anual]]*Table3[[#This Row],[IT]]</f>
        <v>261.97199999999998</v>
      </c>
      <c r="AD981" s="8">
        <f>Table3[[#This Row],[PrimaComercial Anual]]*Table3[[#This Row],[IVA]]</f>
        <v>1135.212</v>
      </c>
      <c r="AE981" s="15">
        <f>Table3[[#This Row],[PrimaComercial Anual Asistencia]]</f>
        <v>8732.4</v>
      </c>
      <c r="AG981">
        <v>8732.4</v>
      </c>
    </row>
    <row r="982" spans="1:33" x14ac:dyDescent="0.25">
      <c r="A982" t="s">
        <v>17</v>
      </c>
      <c r="B982">
        <v>700002</v>
      </c>
      <c r="C982">
        <v>56</v>
      </c>
      <c r="D982" s="2">
        <f>Table3[[#This Row],[PrimaTécnica]]-Table3[[#This Row],[PrimaTécnica]]*SUM(Table3[[#This Row],[Gastos Adm]:[Cobranza]])</f>
        <v>4542.8438585087988</v>
      </c>
      <c r="E982">
        <v>0</v>
      </c>
      <c r="F982">
        <v>0.15</v>
      </c>
      <c r="G982">
        <v>0.05</v>
      </c>
      <c r="H982">
        <v>0.01</v>
      </c>
      <c r="I982">
        <v>0.01</v>
      </c>
      <c r="J982" s="8">
        <f>Table3[[#This Row],[PrimaTécnica]]*Table3[[#This Row],[Gastos Adm]]</f>
        <v>873.62381894399971</v>
      </c>
      <c r="K982" s="8">
        <f>Table3[[#This Row],[PrimaTécnica]]*Table3[[#This Row],[Utilidad]]</f>
        <v>291.20793964799992</v>
      </c>
      <c r="L982" s="8">
        <f>Table3[[#This Row],[PrimaTécnica]]*Table3[[#This Row],[Marketing]]</f>
        <v>58.24158792959998</v>
      </c>
      <c r="M982" s="8">
        <f>Table3[[#This Row],[PrimaTécnica]]*Table3[[#This Row],[Cobranza]]</f>
        <v>58.24158792959998</v>
      </c>
      <c r="N98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5824.1587929599982</v>
      </c>
      <c r="O982">
        <v>21.84</v>
      </c>
      <c r="P982">
        <v>54.6</v>
      </c>
      <c r="Q982">
        <v>80.64</v>
      </c>
      <c r="R982">
        <v>44.377200000000002</v>
      </c>
      <c r="S982">
        <v>0.2</v>
      </c>
      <c r="T982">
        <v>0.02</v>
      </c>
      <c r="U982" s="8">
        <f>Table3[[#This Row],[PrimaNeta]]*Table3[[#This Row],[Comisión]]</f>
        <v>1506.40399824</v>
      </c>
      <c r="V982" s="15">
        <f>Table3[[#This Row],[PrimaComercial Anual]]-Table3[[#This Row],[PrimaComercial Anual]]*SUM(Table3[[#This Row],[APS]:[IVA]])</f>
        <v>7532.0199911999989</v>
      </c>
      <c r="W982" s="2">
        <v>1.4800000000000001E-2</v>
      </c>
      <c r="X982" s="2">
        <v>8.4501000000000007E-2</v>
      </c>
      <c r="Y982">
        <v>0.03</v>
      </c>
      <c r="Z982">
        <v>0.13</v>
      </c>
      <c r="AA982" s="20">
        <f>Table3[[#This Row],[APS]]*Table3[[#This Row],[PrimaComercial Anual]]</f>
        <v>150.49824000000001</v>
      </c>
      <c r="AB982" s="8">
        <f>Table3[[#This Row],[PrimaComercial Anual]]*Table3[[#This Row],[Recargo adicional]]</f>
        <v>859.27376879999997</v>
      </c>
      <c r="AC982" s="8">
        <f>Table3[[#This Row],[PrimaComercial Anual]]*Table3[[#This Row],[IT]]</f>
        <v>305.06399999999996</v>
      </c>
      <c r="AD982" s="8">
        <f>Table3[[#This Row],[PrimaComercial Anual]]*Table3[[#This Row],[IVA]]</f>
        <v>1321.944</v>
      </c>
      <c r="AE982" s="15">
        <f>Table3[[#This Row],[PrimaComercial Anual Asistencia]]</f>
        <v>10168.799999999999</v>
      </c>
      <c r="AG982">
        <v>10168.799999999999</v>
      </c>
    </row>
    <row r="983" spans="1:33" x14ac:dyDescent="0.25">
      <c r="A983" t="s">
        <v>17</v>
      </c>
      <c r="B983">
        <v>700002</v>
      </c>
      <c r="C983">
        <v>57</v>
      </c>
      <c r="D983" s="2">
        <f>Table3[[#This Row],[PrimaTécnica]]-Table3[[#This Row],[PrimaTécnica]]*SUM(Table3[[#This Row],[Gastos Adm]:[Cobranza]])</f>
        <v>4542.8438585087988</v>
      </c>
      <c r="E983">
        <v>0</v>
      </c>
      <c r="F983">
        <v>0.15</v>
      </c>
      <c r="G983">
        <v>0.05</v>
      </c>
      <c r="H983">
        <v>0.01</v>
      </c>
      <c r="I983">
        <v>0.01</v>
      </c>
      <c r="J983" s="8">
        <f>Table3[[#This Row],[PrimaTécnica]]*Table3[[#This Row],[Gastos Adm]]</f>
        <v>873.62381894399971</v>
      </c>
      <c r="K983" s="8">
        <f>Table3[[#This Row],[PrimaTécnica]]*Table3[[#This Row],[Utilidad]]</f>
        <v>291.20793964799992</v>
      </c>
      <c r="L983" s="8">
        <f>Table3[[#This Row],[PrimaTécnica]]*Table3[[#This Row],[Marketing]]</f>
        <v>58.24158792959998</v>
      </c>
      <c r="M983" s="8">
        <f>Table3[[#This Row],[PrimaTécnica]]*Table3[[#This Row],[Cobranza]]</f>
        <v>58.24158792959998</v>
      </c>
      <c r="N98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5824.1587929599982</v>
      </c>
      <c r="O983">
        <v>21.84</v>
      </c>
      <c r="P983">
        <v>54.6</v>
      </c>
      <c r="Q983">
        <v>80.64</v>
      </c>
      <c r="R983">
        <v>44.377200000000002</v>
      </c>
      <c r="S983">
        <v>0.2</v>
      </c>
      <c r="T983">
        <v>0.02</v>
      </c>
      <c r="U983" s="8">
        <f>Table3[[#This Row],[PrimaNeta]]*Table3[[#This Row],[Comisión]]</f>
        <v>1506.40399824</v>
      </c>
      <c r="V983" s="15">
        <f>Table3[[#This Row],[PrimaComercial Anual]]-Table3[[#This Row],[PrimaComercial Anual]]*SUM(Table3[[#This Row],[APS]:[IVA]])</f>
        <v>7532.0199911999989</v>
      </c>
      <c r="W983" s="2">
        <v>1.4800000000000001E-2</v>
      </c>
      <c r="X983" s="2">
        <v>8.4501000000000007E-2</v>
      </c>
      <c r="Y983">
        <v>0.03</v>
      </c>
      <c r="Z983">
        <v>0.13</v>
      </c>
      <c r="AA983" s="20">
        <f>Table3[[#This Row],[APS]]*Table3[[#This Row],[PrimaComercial Anual]]</f>
        <v>150.49824000000001</v>
      </c>
      <c r="AB983" s="8">
        <f>Table3[[#This Row],[PrimaComercial Anual]]*Table3[[#This Row],[Recargo adicional]]</f>
        <v>859.27376879999997</v>
      </c>
      <c r="AC983" s="8">
        <f>Table3[[#This Row],[PrimaComercial Anual]]*Table3[[#This Row],[IT]]</f>
        <v>305.06399999999996</v>
      </c>
      <c r="AD983" s="8">
        <f>Table3[[#This Row],[PrimaComercial Anual]]*Table3[[#This Row],[IVA]]</f>
        <v>1321.944</v>
      </c>
      <c r="AE983" s="15">
        <f>Table3[[#This Row],[PrimaComercial Anual Asistencia]]</f>
        <v>10168.799999999999</v>
      </c>
      <c r="AG983">
        <v>10168.799999999999</v>
      </c>
    </row>
    <row r="984" spans="1:33" x14ac:dyDescent="0.25">
      <c r="A984" t="s">
        <v>17</v>
      </c>
      <c r="B984">
        <v>700002</v>
      </c>
      <c r="C984">
        <v>58</v>
      </c>
      <c r="D984" s="2">
        <f>Table3[[#This Row],[PrimaTécnica]]-Table3[[#This Row],[PrimaTécnica]]*SUM(Table3[[#This Row],[Gastos Adm]:[Cobranza]])</f>
        <v>4542.8438585087988</v>
      </c>
      <c r="E984">
        <v>0</v>
      </c>
      <c r="F984">
        <v>0.15</v>
      </c>
      <c r="G984">
        <v>0.05</v>
      </c>
      <c r="H984">
        <v>0.01</v>
      </c>
      <c r="I984">
        <v>0.01</v>
      </c>
      <c r="J984" s="8">
        <f>Table3[[#This Row],[PrimaTécnica]]*Table3[[#This Row],[Gastos Adm]]</f>
        <v>873.62381894399971</v>
      </c>
      <c r="K984" s="8">
        <f>Table3[[#This Row],[PrimaTécnica]]*Table3[[#This Row],[Utilidad]]</f>
        <v>291.20793964799992</v>
      </c>
      <c r="L984" s="8">
        <f>Table3[[#This Row],[PrimaTécnica]]*Table3[[#This Row],[Marketing]]</f>
        <v>58.24158792959998</v>
      </c>
      <c r="M984" s="8">
        <f>Table3[[#This Row],[PrimaTécnica]]*Table3[[#This Row],[Cobranza]]</f>
        <v>58.24158792959998</v>
      </c>
      <c r="N98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5824.1587929599982</v>
      </c>
      <c r="O984">
        <v>21.84</v>
      </c>
      <c r="P984">
        <v>54.6</v>
      </c>
      <c r="Q984">
        <v>80.64</v>
      </c>
      <c r="R984">
        <v>44.377200000000002</v>
      </c>
      <c r="S984">
        <v>0.2</v>
      </c>
      <c r="T984">
        <v>0.02</v>
      </c>
      <c r="U984" s="8">
        <f>Table3[[#This Row],[PrimaNeta]]*Table3[[#This Row],[Comisión]]</f>
        <v>1506.40399824</v>
      </c>
      <c r="V984" s="15">
        <f>Table3[[#This Row],[PrimaComercial Anual]]-Table3[[#This Row],[PrimaComercial Anual]]*SUM(Table3[[#This Row],[APS]:[IVA]])</f>
        <v>7532.0199911999989</v>
      </c>
      <c r="W984" s="2">
        <v>1.4800000000000001E-2</v>
      </c>
      <c r="X984" s="2">
        <v>8.4501000000000007E-2</v>
      </c>
      <c r="Y984">
        <v>0.03</v>
      </c>
      <c r="Z984">
        <v>0.13</v>
      </c>
      <c r="AA984" s="20">
        <f>Table3[[#This Row],[APS]]*Table3[[#This Row],[PrimaComercial Anual]]</f>
        <v>150.49824000000001</v>
      </c>
      <c r="AB984" s="8">
        <f>Table3[[#This Row],[PrimaComercial Anual]]*Table3[[#This Row],[Recargo adicional]]</f>
        <v>859.27376879999997</v>
      </c>
      <c r="AC984" s="8">
        <f>Table3[[#This Row],[PrimaComercial Anual]]*Table3[[#This Row],[IT]]</f>
        <v>305.06399999999996</v>
      </c>
      <c r="AD984" s="8">
        <f>Table3[[#This Row],[PrimaComercial Anual]]*Table3[[#This Row],[IVA]]</f>
        <v>1321.944</v>
      </c>
      <c r="AE984" s="15">
        <f>Table3[[#This Row],[PrimaComercial Anual Asistencia]]</f>
        <v>10168.799999999999</v>
      </c>
      <c r="AG984">
        <v>10168.799999999999</v>
      </c>
    </row>
    <row r="985" spans="1:33" x14ac:dyDescent="0.25">
      <c r="A985" t="s">
        <v>17</v>
      </c>
      <c r="B985">
        <v>700002</v>
      </c>
      <c r="C985">
        <v>59</v>
      </c>
      <c r="D985" s="2">
        <f>Table3[[#This Row],[PrimaTécnica]]-Table3[[#This Row],[PrimaTécnica]]*SUM(Table3[[#This Row],[Gastos Adm]:[Cobranza]])</f>
        <v>4542.8438585087988</v>
      </c>
      <c r="E985">
        <v>0</v>
      </c>
      <c r="F985">
        <v>0.15</v>
      </c>
      <c r="G985">
        <v>0.05</v>
      </c>
      <c r="H985">
        <v>0.01</v>
      </c>
      <c r="I985">
        <v>0.01</v>
      </c>
      <c r="J985" s="8">
        <f>Table3[[#This Row],[PrimaTécnica]]*Table3[[#This Row],[Gastos Adm]]</f>
        <v>873.62381894399971</v>
      </c>
      <c r="K985" s="8">
        <f>Table3[[#This Row],[PrimaTécnica]]*Table3[[#This Row],[Utilidad]]</f>
        <v>291.20793964799992</v>
      </c>
      <c r="L985" s="8">
        <f>Table3[[#This Row],[PrimaTécnica]]*Table3[[#This Row],[Marketing]]</f>
        <v>58.24158792959998</v>
      </c>
      <c r="M985" s="8">
        <f>Table3[[#This Row],[PrimaTécnica]]*Table3[[#This Row],[Cobranza]]</f>
        <v>58.24158792959998</v>
      </c>
      <c r="N98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5824.1587929599982</v>
      </c>
      <c r="O985">
        <v>21.84</v>
      </c>
      <c r="P985">
        <v>54.6</v>
      </c>
      <c r="Q985">
        <v>80.64</v>
      </c>
      <c r="R985">
        <v>44.377200000000002</v>
      </c>
      <c r="S985">
        <v>0.2</v>
      </c>
      <c r="T985">
        <v>0.02</v>
      </c>
      <c r="U985" s="8">
        <f>Table3[[#This Row],[PrimaNeta]]*Table3[[#This Row],[Comisión]]</f>
        <v>1506.40399824</v>
      </c>
      <c r="V985" s="15">
        <f>Table3[[#This Row],[PrimaComercial Anual]]-Table3[[#This Row],[PrimaComercial Anual]]*SUM(Table3[[#This Row],[APS]:[IVA]])</f>
        <v>7532.0199911999989</v>
      </c>
      <c r="W985" s="2">
        <v>1.4800000000000001E-2</v>
      </c>
      <c r="X985" s="2">
        <v>8.4501000000000007E-2</v>
      </c>
      <c r="Y985">
        <v>0.03</v>
      </c>
      <c r="Z985">
        <v>0.13</v>
      </c>
      <c r="AA985" s="20">
        <f>Table3[[#This Row],[APS]]*Table3[[#This Row],[PrimaComercial Anual]]</f>
        <v>150.49824000000001</v>
      </c>
      <c r="AB985" s="8">
        <f>Table3[[#This Row],[PrimaComercial Anual]]*Table3[[#This Row],[Recargo adicional]]</f>
        <v>859.27376879999997</v>
      </c>
      <c r="AC985" s="8">
        <f>Table3[[#This Row],[PrimaComercial Anual]]*Table3[[#This Row],[IT]]</f>
        <v>305.06399999999996</v>
      </c>
      <c r="AD985" s="8">
        <f>Table3[[#This Row],[PrimaComercial Anual]]*Table3[[#This Row],[IVA]]</f>
        <v>1321.944</v>
      </c>
      <c r="AE985" s="15">
        <f>Table3[[#This Row],[PrimaComercial Anual Asistencia]]</f>
        <v>10168.799999999999</v>
      </c>
      <c r="AG985">
        <v>10168.799999999999</v>
      </c>
    </row>
    <row r="986" spans="1:33" x14ac:dyDescent="0.25">
      <c r="A986" t="s">
        <v>17</v>
      </c>
      <c r="B986">
        <v>700002</v>
      </c>
      <c r="C986">
        <v>60</v>
      </c>
      <c r="D986" s="2">
        <f>Table3[[#This Row],[PrimaTécnica]]-Table3[[#This Row],[PrimaTécnica]]*SUM(Table3[[#This Row],[Gastos Adm]:[Cobranza]])</f>
        <v>7419.7377364032</v>
      </c>
      <c r="E986">
        <v>0</v>
      </c>
      <c r="F986">
        <v>0.15</v>
      </c>
      <c r="G986">
        <v>0.05</v>
      </c>
      <c r="H986">
        <v>0.01</v>
      </c>
      <c r="I986">
        <v>0.01</v>
      </c>
      <c r="J986" s="8">
        <f>Table3[[#This Row],[PrimaTécnica]]*Table3[[#This Row],[Gastos Adm]]</f>
        <v>1426.872641616</v>
      </c>
      <c r="K986" s="8">
        <f>Table3[[#This Row],[PrimaTécnica]]*Table3[[#This Row],[Utilidad]]</f>
        <v>475.62421387200004</v>
      </c>
      <c r="L986" s="8">
        <f>Table3[[#This Row],[PrimaTécnica]]*Table3[[#This Row],[Marketing]]</f>
        <v>95.124842774400008</v>
      </c>
      <c r="M986" s="8">
        <f>Table3[[#This Row],[PrimaTécnica]]*Table3[[#This Row],[Cobranza]]</f>
        <v>95.124842774400008</v>
      </c>
      <c r="N98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9512.4842774400004</v>
      </c>
      <c r="O986">
        <v>21.84</v>
      </c>
      <c r="P986">
        <v>54.6</v>
      </c>
      <c r="Q986">
        <v>80.64</v>
      </c>
      <c r="R986">
        <v>44.377200000000002</v>
      </c>
      <c r="S986">
        <v>0.2</v>
      </c>
      <c r="T986">
        <v>0.02</v>
      </c>
      <c r="U986" s="8">
        <f>Table3[[#This Row],[PrimaNeta]]*Table3[[#This Row],[Comisión]]</f>
        <v>2428.4853693600003</v>
      </c>
      <c r="V986" s="15">
        <f>Table3[[#This Row],[PrimaComercial Anual]]-Table3[[#This Row],[PrimaComercial Anual]]*SUM(Table3[[#This Row],[APS]:[IVA]])</f>
        <v>12142.426846800001</v>
      </c>
      <c r="W986" s="2">
        <v>1.4800000000000001E-2</v>
      </c>
      <c r="X986" s="2">
        <v>8.4501000000000007E-2</v>
      </c>
      <c r="Y986">
        <v>0.03</v>
      </c>
      <c r="Z986">
        <v>0.13</v>
      </c>
      <c r="AA986" s="20">
        <f>Table3[[#This Row],[APS]]*Table3[[#This Row],[PrimaComercial Anual]]</f>
        <v>242.61936000000003</v>
      </c>
      <c r="AB986" s="8">
        <f>Table3[[#This Row],[PrimaComercial Anual]]*Table3[[#This Row],[Recargo adicional]]</f>
        <v>1385.2417932000001</v>
      </c>
      <c r="AC986" s="8">
        <f>Table3[[#This Row],[PrimaComercial Anual]]*Table3[[#This Row],[IT]]</f>
        <v>491.79599999999999</v>
      </c>
      <c r="AD986" s="8">
        <f>Table3[[#This Row],[PrimaComercial Anual]]*Table3[[#This Row],[IVA]]</f>
        <v>2131.116</v>
      </c>
      <c r="AE986" s="15">
        <f>Table3[[#This Row],[PrimaComercial Anual Asistencia]]</f>
        <v>16393.2</v>
      </c>
      <c r="AG986">
        <v>16393.2</v>
      </c>
    </row>
    <row r="987" spans="1:33" x14ac:dyDescent="0.25">
      <c r="A987" t="s">
        <v>17</v>
      </c>
      <c r="B987">
        <v>700002</v>
      </c>
      <c r="C987">
        <v>61</v>
      </c>
      <c r="D987" s="2">
        <f>Table3[[#This Row],[PrimaTécnica]]-Table3[[#This Row],[PrimaTécnica]]*SUM(Table3[[#This Row],[Gastos Adm]:[Cobranza]])</f>
        <v>7419.7377364032</v>
      </c>
      <c r="E987">
        <v>0</v>
      </c>
      <c r="F987">
        <v>0.15</v>
      </c>
      <c r="G987">
        <v>0.05</v>
      </c>
      <c r="H987">
        <v>0.01</v>
      </c>
      <c r="I987">
        <v>0.01</v>
      </c>
      <c r="J987" s="8">
        <f>Table3[[#This Row],[PrimaTécnica]]*Table3[[#This Row],[Gastos Adm]]</f>
        <v>1426.872641616</v>
      </c>
      <c r="K987" s="8">
        <f>Table3[[#This Row],[PrimaTécnica]]*Table3[[#This Row],[Utilidad]]</f>
        <v>475.62421387200004</v>
      </c>
      <c r="L987" s="8">
        <f>Table3[[#This Row],[PrimaTécnica]]*Table3[[#This Row],[Marketing]]</f>
        <v>95.124842774400008</v>
      </c>
      <c r="M987" s="8">
        <f>Table3[[#This Row],[PrimaTécnica]]*Table3[[#This Row],[Cobranza]]</f>
        <v>95.124842774400008</v>
      </c>
      <c r="N98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9512.4842774400004</v>
      </c>
      <c r="O987">
        <v>21.84</v>
      </c>
      <c r="P987">
        <v>54.6</v>
      </c>
      <c r="Q987">
        <v>80.64</v>
      </c>
      <c r="R987">
        <v>44.377200000000002</v>
      </c>
      <c r="S987">
        <v>0.2</v>
      </c>
      <c r="T987">
        <v>0.02</v>
      </c>
      <c r="U987" s="8">
        <f>Table3[[#This Row],[PrimaNeta]]*Table3[[#This Row],[Comisión]]</f>
        <v>2428.4853693600003</v>
      </c>
      <c r="V987" s="15">
        <f>Table3[[#This Row],[PrimaComercial Anual]]-Table3[[#This Row],[PrimaComercial Anual]]*SUM(Table3[[#This Row],[APS]:[IVA]])</f>
        <v>12142.426846800001</v>
      </c>
      <c r="W987" s="2">
        <v>1.4800000000000001E-2</v>
      </c>
      <c r="X987" s="2">
        <v>8.4501000000000007E-2</v>
      </c>
      <c r="Y987">
        <v>0.03</v>
      </c>
      <c r="Z987">
        <v>0.13</v>
      </c>
      <c r="AA987" s="20">
        <f>Table3[[#This Row],[APS]]*Table3[[#This Row],[PrimaComercial Anual]]</f>
        <v>242.61936000000003</v>
      </c>
      <c r="AB987" s="8">
        <f>Table3[[#This Row],[PrimaComercial Anual]]*Table3[[#This Row],[Recargo adicional]]</f>
        <v>1385.2417932000001</v>
      </c>
      <c r="AC987" s="8">
        <f>Table3[[#This Row],[PrimaComercial Anual]]*Table3[[#This Row],[IT]]</f>
        <v>491.79599999999999</v>
      </c>
      <c r="AD987" s="8">
        <f>Table3[[#This Row],[PrimaComercial Anual]]*Table3[[#This Row],[IVA]]</f>
        <v>2131.116</v>
      </c>
      <c r="AE987" s="15">
        <f>Table3[[#This Row],[PrimaComercial Anual Asistencia]]</f>
        <v>16393.2</v>
      </c>
      <c r="AG987">
        <v>16393.2</v>
      </c>
    </row>
    <row r="988" spans="1:33" x14ac:dyDescent="0.25">
      <c r="A988" t="s">
        <v>17</v>
      </c>
      <c r="B988">
        <v>700002</v>
      </c>
      <c r="C988">
        <v>62</v>
      </c>
      <c r="D988" s="2">
        <f>Table3[[#This Row],[PrimaTécnica]]-Table3[[#This Row],[PrimaTécnica]]*SUM(Table3[[#This Row],[Gastos Adm]:[Cobranza]])</f>
        <v>7419.7377364032</v>
      </c>
      <c r="E988">
        <v>0</v>
      </c>
      <c r="F988">
        <v>0.15</v>
      </c>
      <c r="G988">
        <v>0.05</v>
      </c>
      <c r="H988">
        <v>0.01</v>
      </c>
      <c r="I988">
        <v>0.01</v>
      </c>
      <c r="J988" s="8">
        <f>Table3[[#This Row],[PrimaTécnica]]*Table3[[#This Row],[Gastos Adm]]</f>
        <v>1426.872641616</v>
      </c>
      <c r="K988" s="8">
        <f>Table3[[#This Row],[PrimaTécnica]]*Table3[[#This Row],[Utilidad]]</f>
        <v>475.62421387200004</v>
      </c>
      <c r="L988" s="8">
        <f>Table3[[#This Row],[PrimaTécnica]]*Table3[[#This Row],[Marketing]]</f>
        <v>95.124842774400008</v>
      </c>
      <c r="M988" s="8">
        <f>Table3[[#This Row],[PrimaTécnica]]*Table3[[#This Row],[Cobranza]]</f>
        <v>95.124842774400008</v>
      </c>
      <c r="N98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9512.4842774400004</v>
      </c>
      <c r="O988">
        <v>21.84</v>
      </c>
      <c r="P988">
        <v>54.6</v>
      </c>
      <c r="Q988">
        <v>80.64</v>
      </c>
      <c r="R988">
        <v>44.377200000000002</v>
      </c>
      <c r="S988">
        <v>0.2</v>
      </c>
      <c r="T988">
        <v>0.02</v>
      </c>
      <c r="U988" s="8">
        <f>Table3[[#This Row],[PrimaNeta]]*Table3[[#This Row],[Comisión]]</f>
        <v>2428.4853693600003</v>
      </c>
      <c r="V988" s="15">
        <f>Table3[[#This Row],[PrimaComercial Anual]]-Table3[[#This Row],[PrimaComercial Anual]]*SUM(Table3[[#This Row],[APS]:[IVA]])</f>
        <v>12142.426846800001</v>
      </c>
      <c r="W988" s="2">
        <v>1.4800000000000001E-2</v>
      </c>
      <c r="X988" s="2">
        <v>8.4501000000000007E-2</v>
      </c>
      <c r="Y988">
        <v>0.03</v>
      </c>
      <c r="Z988">
        <v>0.13</v>
      </c>
      <c r="AA988" s="20">
        <f>Table3[[#This Row],[APS]]*Table3[[#This Row],[PrimaComercial Anual]]</f>
        <v>242.61936000000003</v>
      </c>
      <c r="AB988" s="8">
        <f>Table3[[#This Row],[PrimaComercial Anual]]*Table3[[#This Row],[Recargo adicional]]</f>
        <v>1385.2417932000001</v>
      </c>
      <c r="AC988" s="8">
        <f>Table3[[#This Row],[PrimaComercial Anual]]*Table3[[#This Row],[IT]]</f>
        <v>491.79599999999999</v>
      </c>
      <c r="AD988" s="8">
        <f>Table3[[#This Row],[PrimaComercial Anual]]*Table3[[#This Row],[IVA]]</f>
        <v>2131.116</v>
      </c>
      <c r="AE988" s="15">
        <f>Table3[[#This Row],[PrimaComercial Anual Asistencia]]</f>
        <v>16393.2</v>
      </c>
      <c r="AG988">
        <v>16393.2</v>
      </c>
    </row>
    <row r="989" spans="1:33" x14ac:dyDescent="0.25">
      <c r="A989" t="s">
        <v>17</v>
      </c>
      <c r="B989">
        <v>700002</v>
      </c>
      <c r="C989">
        <v>63</v>
      </c>
      <c r="D989" s="2">
        <f>Table3[[#This Row],[PrimaTécnica]]-Table3[[#This Row],[PrimaTécnica]]*SUM(Table3[[#This Row],[Gastos Adm]:[Cobranza]])</f>
        <v>7419.7377364032</v>
      </c>
      <c r="E989">
        <v>0</v>
      </c>
      <c r="F989">
        <v>0.15</v>
      </c>
      <c r="G989">
        <v>0.05</v>
      </c>
      <c r="H989">
        <v>0.01</v>
      </c>
      <c r="I989">
        <v>0.01</v>
      </c>
      <c r="J989" s="8">
        <f>Table3[[#This Row],[PrimaTécnica]]*Table3[[#This Row],[Gastos Adm]]</f>
        <v>1426.872641616</v>
      </c>
      <c r="K989" s="8">
        <f>Table3[[#This Row],[PrimaTécnica]]*Table3[[#This Row],[Utilidad]]</f>
        <v>475.62421387200004</v>
      </c>
      <c r="L989" s="8">
        <f>Table3[[#This Row],[PrimaTécnica]]*Table3[[#This Row],[Marketing]]</f>
        <v>95.124842774400008</v>
      </c>
      <c r="M989" s="8">
        <f>Table3[[#This Row],[PrimaTécnica]]*Table3[[#This Row],[Cobranza]]</f>
        <v>95.124842774400008</v>
      </c>
      <c r="N98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9512.4842774400004</v>
      </c>
      <c r="O989">
        <v>21.84</v>
      </c>
      <c r="P989">
        <v>54.6</v>
      </c>
      <c r="Q989">
        <v>80.64</v>
      </c>
      <c r="R989">
        <v>44.377200000000002</v>
      </c>
      <c r="S989">
        <v>0.2</v>
      </c>
      <c r="T989">
        <v>0.02</v>
      </c>
      <c r="U989" s="8">
        <f>Table3[[#This Row],[PrimaNeta]]*Table3[[#This Row],[Comisión]]</f>
        <v>2428.4853693600003</v>
      </c>
      <c r="V989" s="15">
        <f>Table3[[#This Row],[PrimaComercial Anual]]-Table3[[#This Row],[PrimaComercial Anual]]*SUM(Table3[[#This Row],[APS]:[IVA]])</f>
        <v>12142.426846800001</v>
      </c>
      <c r="W989" s="2">
        <v>1.4800000000000001E-2</v>
      </c>
      <c r="X989" s="2">
        <v>8.4501000000000007E-2</v>
      </c>
      <c r="Y989">
        <v>0.03</v>
      </c>
      <c r="Z989">
        <v>0.13</v>
      </c>
      <c r="AA989" s="20">
        <f>Table3[[#This Row],[APS]]*Table3[[#This Row],[PrimaComercial Anual]]</f>
        <v>242.61936000000003</v>
      </c>
      <c r="AB989" s="8">
        <f>Table3[[#This Row],[PrimaComercial Anual]]*Table3[[#This Row],[Recargo adicional]]</f>
        <v>1385.2417932000001</v>
      </c>
      <c r="AC989" s="8">
        <f>Table3[[#This Row],[PrimaComercial Anual]]*Table3[[#This Row],[IT]]</f>
        <v>491.79599999999999</v>
      </c>
      <c r="AD989" s="8">
        <f>Table3[[#This Row],[PrimaComercial Anual]]*Table3[[#This Row],[IVA]]</f>
        <v>2131.116</v>
      </c>
      <c r="AE989" s="15">
        <f>Table3[[#This Row],[PrimaComercial Anual Asistencia]]</f>
        <v>16393.2</v>
      </c>
      <c r="AG989">
        <v>16393.2</v>
      </c>
    </row>
    <row r="990" spans="1:33" x14ac:dyDescent="0.25">
      <c r="A990" t="s">
        <v>17</v>
      </c>
      <c r="B990">
        <v>700002</v>
      </c>
      <c r="C990">
        <v>64</v>
      </c>
      <c r="D990" s="2">
        <f>Table3[[#This Row],[PrimaTécnica]]-Table3[[#This Row],[PrimaTécnica]]*SUM(Table3[[#This Row],[Gastos Adm]:[Cobranza]])</f>
        <v>7419.7377364032</v>
      </c>
      <c r="E990">
        <v>0</v>
      </c>
      <c r="F990">
        <v>0.15</v>
      </c>
      <c r="G990">
        <v>0.05</v>
      </c>
      <c r="H990">
        <v>0.01</v>
      </c>
      <c r="I990">
        <v>0.01</v>
      </c>
      <c r="J990" s="8">
        <f>Table3[[#This Row],[PrimaTécnica]]*Table3[[#This Row],[Gastos Adm]]</f>
        <v>1426.872641616</v>
      </c>
      <c r="K990" s="8">
        <f>Table3[[#This Row],[PrimaTécnica]]*Table3[[#This Row],[Utilidad]]</f>
        <v>475.62421387200004</v>
      </c>
      <c r="L990" s="8">
        <f>Table3[[#This Row],[PrimaTécnica]]*Table3[[#This Row],[Marketing]]</f>
        <v>95.124842774400008</v>
      </c>
      <c r="M990" s="8">
        <f>Table3[[#This Row],[PrimaTécnica]]*Table3[[#This Row],[Cobranza]]</f>
        <v>95.124842774400008</v>
      </c>
      <c r="N99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9512.4842774400004</v>
      </c>
      <c r="O990">
        <v>21.84</v>
      </c>
      <c r="P990">
        <v>54.6</v>
      </c>
      <c r="Q990">
        <v>80.64</v>
      </c>
      <c r="R990">
        <v>44.377200000000002</v>
      </c>
      <c r="S990">
        <v>0.2</v>
      </c>
      <c r="T990">
        <v>0.02</v>
      </c>
      <c r="U990" s="8">
        <f>Table3[[#This Row],[PrimaNeta]]*Table3[[#This Row],[Comisión]]</f>
        <v>2428.4853693600003</v>
      </c>
      <c r="V990" s="15">
        <f>Table3[[#This Row],[PrimaComercial Anual]]-Table3[[#This Row],[PrimaComercial Anual]]*SUM(Table3[[#This Row],[APS]:[IVA]])</f>
        <v>12142.426846800001</v>
      </c>
      <c r="W990" s="2">
        <v>1.4800000000000001E-2</v>
      </c>
      <c r="X990" s="2">
        <v>8.4501000000000007E-2</v>
      </c>
      <c r="Y990">
        <v>0.03</v>
      </c>
      <c r="Z990">
        <v>0.13</v>
      </c>
      <c r="AA990" s="20">
        <f>Table3[[#This Row],[APS]]*Table3[[#This Row],[PrimaComercial Anual]]</f>
        <v>242.61936000000003</v>
      </c>
      <c r="AB990" s="8">
        <f>Table3[[#This Row],[PrimaComercial Anual]]*Table3[[#This Row],[Recargo adicional]]</f>
        <v>1385.2417932000001</v>
      </c>
      <c r="AC990" s="8">
        <f>Table3[[#This Row],[PrimaComercial Anual]]*Table3[[#This Row],[IT]]</f>
        <v>491.79599999999999</v>
      </c>
      <c r="AD990" s="8">
        <f>Table3[[#This Row],[PrimaComercial Anual]]*Table3[[#This Row],[IVA]]</f>
        <v>2131.116</v>
      </c>
      <c r="AE990" s="15">
        <f>Table3[[#This Row],[PrimaComercial Anual Asistencia]]</f>
        <v>16393.2</v>
      </c>
      <c r="AG990">
        <v>16393.2</v>
      </c>
    </row>
    <row r="991" spans="1:33" x14ac:dyDescent="0.25">
      <c r="A991" t="s">
        <v>17</v>
      </c>
      <c r="B991">
        <v>700002</v>
      </c>
      <c r="C991">
        <v>65</v>
      </c>
      <c r="D991" s="2">
        <f>Table3[[#This Row],[PrimaTécnica]]-Table3[[#This Row],[PrimaTécnica]]*SUM(Table3[[#This Row],[Gastos Adm]:[Cobranza]])</f>
        <v>10444.164633676799</v>
      </c>
      <c r="E991">
        <v>0</v>
      </c>
      <c r="F991">
        <v>0.15</v>
      </c>
      <c r="G991">
        <v>0.05</v>
      </c>
      <c r="H991">
        <v>0.01</v>
      </c>
      <c r="I991">
        <v>0.01</v>
      </c>
      <c r="J991" s="8">
        <f>Table3[[#This Row],[PrimaTécnica]]*Table3[[#This Row],[Gastos Adm]]</f>
        <v>2008.4931987839996</v>
      </c>
      <c r="K991" s="8">
        <f>Table3[[#This Row],[PrimaTécnica]]*Table3[[#This Row],[Utilidad]]</f>
        <v>669.497732928</v>
      </c>
      <c r="L991" s="8">
        <f>Table3[[#This Row],[PrimaTécnica]]*Table3[[#This Row],[Marketing]]</f>
        <v>133.89954658559998</v>
      </c>
      <c r="M991" s="8">
        <f>Table3[[#This Row],[PrimaTécnica]]*Table3[[#This Row],[Cobranza]]</f>
        <v>133.89954658559998</v>
      </c>
      <c r="N99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13389.954658559998</v>
      </c>
      <c r="O991">
        <v>21.84</v>
      </c>
      <c r="P991">
        <v>54.6</v>
      </c>
      <c r="Q991">
        <v>80.64</v>
      </c>
      <c r="R991">
        <v>44.377200000000002</v>
      </c>
      <c r="S991">
        <v>0.2</v>
      </c>
      <c r="T991">
        <v>0.02</v>
      </c>
      <c r="U991" s="8">
        <f>Table3[[#This Row],[PrimaNeta]]*Table3[[#This Row],[Comisión]]</f>
        <v>3397.8529646400002</v>
      </c>
      <c r="V991" s="15">
        <f>Table3[[#This Row],[PrimaComercial Anual]]-Table3[[#This Row],[PrimaComercial Anual]]*SUM(Table3[[#This Row],[APS]:[IVA]])</f>
        <v>16989.264823199999</v>
      </c>
      <c r="W991" s="2">
        <v>1.4800000000000001E-2</v>
      </c>
      <c r="X991" s="2">
        <v>8.4501000000000007E-2</v>
      </c>
      <c r="Y991">
        <v>0.03</v>
      </c>
      <c r="Z991">
        <v>0.13</v>
      </c>
      <c r="AA991" s="20">
        <f>Table3[[#This Row],[APS]]*Table3[[#This Row],[PrimaComercial Anual]]</f>
        <v>339.46464000000003</v>
      </c>
      <c r="AB991" s="8">
        <f>Table3[[#This Row],[PrimaComercial Anual]]*Table3[[#This Row],[Recargo adicional]]</f>
        <v>1938.1825368</v>
      </c>
      <c r="AC991" s="8">
        <f>Table3[[#This Row],[PrimaComercial Anual]]*Table3[[#This Row],[IT]]</f>
        <v>688.10399999999993</v>
      </c>
      <c r="AD991" s="8">
        <f>Table3[[#This Row],[PrimaComercial Anual]]*Table3[[#This Row],[IVA]]</f>
        <v>2981.7840000000001</v>
      </c>
      <c r="AE991" s="15">
        <f>Table3[[#This Row],[PrimaComercial Anual Asistencia]]</f>
        <v>22936.799999999999</v>
      </c>
      <c r="AG991">
        <v>22936.799999999999</v>
      </c>
    </row>
    <row r="992" spans="1:33" x14ac:dyDescent="0.25">
      <c r="A992" t="s">
        <v>17</v>
      </c>
      <c r="B992">
        <v>700002</v>
      </c>
      <c r="C992">
        <v>66</v>
      </c>
      <c r="D992" s="2">
        <f>Table3[[#This Row],[PrimaTécnica]]-Table3[[#This Row],[PrimaTécnica]]*SUM(Table3[[#This Row],[Gastos Adm]:[Cobranza]])</f>
        <v>10444.164633676799</v>
      </c>
      <c r="E992">
        <v>0</v>
      </c>
      <c r="F992">
        <v>0.15</v>
      </c>
      <c r="G992">
        <v>0.05</v>
      </c>
      <c r="H992">
        <v>0.01</v>
      </c>
      <c r="I992">
        <v>0.01</v>
      </c>
      <c r="J992" s="8">
        <f>Table3[[#This Row],[PrimaTécnica]]*Table3[[#This Row],[Gastos Adm]]</f>
        <v>2008.4931987839996</v>
      </c>
      <c r="K992" s="8">
        <f>Table3[[#This Row],[PrimaTécnica]]*Table3[[#This Row],[Utilidad]]</f>
        <v>669.497732928</v>
      </c>
      <c r="L992" s="8">
        <f>Table3[[#This Row],[PrimaTécnica]]*Table3[[#This Row],[Marketing]]</f>
        <v>133.89954658559998</v>
      </c>
      <c r="M992" s="8">
        <f>Table3[[#This Row],[PrimaTécnica]]*Table3[[#This Row],[Cobranza]]</f>
        <v>133.89954658559998</v>
      </c>
      <c r="N99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13389.954658559998</v>
      </c>
      <c r="O992">
        <v>21.84</v>
      </c>
      <c r="P992">
        <v>54.6</v>
      </c>
      <c r="Q992">
        <v>80.64</v>
      </c>
      <c r="R992">
        <v>44.377200000000002</v>
      </c>
      <c r="S992">
        <v>0.2</v>
      </c>
      <c r="T992">
        <v>0.02</v>
      </c>
      <c r="U992" s="8">
        <f>Table3[[#This Row],[PrimaNeta]]*Table3[[#This Row],[Comisión]]</f>
        <v>3397.8529646400002</v>
      </c>
      <c r="V992" s="15">
        <f>Table3[[#This Row],[PrimaComercial Anual]]-Table3[[#This Row],[PrimaComercial Anual]]*SUM(Table3[[#This Row],[APS]:[IVA]])</f>
        <v>16989.264823199999</v>
      </c>
      <c r="W992" s="2">
        <v>1.4800000000000001E-2</v>
      </c>
      <c r="X992" s="2">
        <v>8.4501000000000007E-2</v>
      </c>
      <c r="Y992">
        <v>0.03</v>
      </c>
      <c r="Z992">
        <v>0.13</v>
      </c>
      <c r="AA992" s="20">
        <f>Table3[[#This Row],[APS]]*Table3[[#This Row],[PrimaComercial Anual]]</f>
        <v>339.46464000000003</v>
      </c>
      <c r="AB992" s="8">
        <f>Table3[[#This Row],[PrimaComercial Anual]]*Table3[[#This Row],[Recargo adicional]]</f>
        <v>1938.1825368</v>
      </c>
      <c r="AC992" s="8">
        <f>Table3[[#This Row],[PrimaComercial Anual]]*Table3[[#This Row],[IT]]</f>
        <v>688.10399999999993</v>
      </c>
      <c r="AD992" s="8">
        <f>Table3[[#This Row],[PrimaComercial Anual]]*Table3[[#This Row],[IVA]]</f>
        <v>2981.7840000000001</v>
      </c>
      <c r="AE992" s="15">
        <f>Table3[[#This Row],[PrimaComercial Anual Asistencia]]</f>
        <v>22936.799999999999</v>
      </c>
      <c r="AG992">
        <v>22936.799999999999</v>
      </c>
    </row>
    <row r="993" spans="1:33" x14ac:dyDescent="0.25">
      <c r="A993" t="s">
        <v>17</v>
      </c>
      <c r="B993">
        <v>700002</v>
      </c>
      <c r="C993">
        <v>67</v>
      </c>
      <c r="D993" s="2">
        <f>Table3[[#This Row],[PrimaTécnica]]-Table3[[#This Row],[PrimaTécnica]]*SUM(Table3[[#This Row],[Gastos Adm]:[Cobranza]])</f>
        <v>10444.164633676799</v>
      </c>
      <c r="E993">
        <v>0</v>
      </c>
      <c r="F993">
        <v>0.15</v>
      </c>
      <c r="G993">
        <v>0.05</v>
      </c>
      <c r="H993">
        <v>0.01</v>
      </c>
      <c r="I993">
        <v>0.01</v>
      </c>
      <c r="J993" s="8">
        <f>Table3[[#This Row],[PrimaTécnica]]*Table3[[#This Row],[Gastos Adm]]</f>
        <v>2008.4931987839996</v>
      </c>
      <c r="K993" s="8">
        <f>Table3[[#This Row],[PrimaTécnica]]*Table3[[#This Row],[Utilidad]]</f>
        <v>669.497732928</v>
      </c>
      <c r="L993" s="8">
        <f>Table3[[#This Row],[PrimaTécnica]]*Table3[[#This Row],[Marketing]]</f>
        <v>133.89954658559998</v>
      </c>
      <c r="M993" s="8">
        <f>Table3[[#This Row],[PrimaTécnica]]*Table3[[#This Row],[Cobranza]]</f>
        <v>133.89954658559998</v>
      </c>
      <c r="N99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13389.954658559998</v>
      </c>
      <c r="O993">
        <v>21.84</v>
      </c>
      <c r="P993">
        <v>54.6</v>
      </c>
      <c r="Q993">
        <v>80.64</v>
      </c>
      <c r="R993">
        <v>44.377200000000002</v>
      </c>
      <c r="S993">
        <v>0.2</v>
      </c>
      <c r="T993">
        <v>0.02</v>
      </c>
      <c r="U993" s="8">
        <f>Table3[[#This Row],[PrimaNeta]]*Table3[[#This Row],[Comisión]]</f>
        <v>3397.8529646400002</v>
      </c>
      <c r="V993" s="15">
        <f>Table3[[#This Row],[PrimaComercial Anual]]-Table3[[#This Row],[PrimaComercial Anual]]*SUM(Table3[[#This Row],[APS]:[IVA]])</f>
        <v>16989.264823199999</v>
      </c>
      <c r="W993" s="2">
        <v>1.4800000000000001E-2</v>
      </c>
      <c r="X993" s="2">
        <v>8.4501000000000007E-2</v>
      </c>
      <c r="Y993">
        <v>0.03</v>
      </c>
      <c r="Z993">
        <v>0.13</v>
      </c>
      <c r="AA993" s="20">
        <f>Table3[[#This Row],[APS]]*Table3[[#This Row],[PrimaComercial Anual]]</f>
        <v>339.46464000000003</v>
      </c>
      <c r="AB993" s="8">
        <f>Table3[[#This Row],[PrimaComercial Anual]]*Table3[[#This Row],[Recargo adicional]]</f>
        <v>1938.1825368</v>
      </c>
      <c r="AC993" s="8">
        <f>Table3[[#This Row],[PrimaComercial Anual]]*Table3[[#This Row],[IT]]</f>
        <v>688.10399999999993</v>
      </c>
      <c r="AD993" s="8">
        <f>Table3[[#This Row],[PrimaComercial Anual]]*Table3[[#This Row],[IVA]]</f>
        <v>2981.7840000000001</v>
      </c>
      <c r="AE993" s="15">
        <f>Table3[[#This Row],[PrimaComercial Anual Asistencia]]</f>
        <v>22936.799999999999</v>
      </c>
      <c r="AG993">
        <v>22936.799999999999</v>
      </c>
    </row>
    <row r="994" spans="1:33" x14ac:dyDescent="0.25">
      <c r="A994" t="s">
        <v>17</v>
      </c>
      <c r="B994">
        <v>700002</v>
      </c>
      <c r="C994">
        <v>68</v>
      </c>
      <c r="D994" s="2">
        <f>Table3[[#This Row],[PrimaTécnica]]-Table3[[#This Row],[PrimaTécnica]]*SUM(Table3[[#This Row],[Gastos Adm]:[Cobranza]])</f>
        <v>10444.164633676799</v>
      </c>
      <c r="E994">
        <v>0</v>
      </c>
      <c r="F994">
        <v>0.15</v>
      </c>
      <c r="G994">
        <v>0.05</v>
      </c>
      <c r="H994">
        <v>0.01</v>
      </c>
      <c r="I994">
        <v>0.01</v>
      </c>
      <c r="J994" s="8">
        <f>Table3[[#This Row],[PrimaTécnica]]*Table3[[#This Row],[Gastos Adm]]</f>
        <v>2008.4931987839996</v>
      </c>
      <c r="K994" s="8">
        <f>Table3[[#This Row],[PrimaTécnica]]*Table3[[#This Row],[Utilidad]]</f>
        <v>669.497732928</v>
      </c>
      <c r="L994" s="8">
        <f>Table3[[#This Row],[PrimaTécnica]]*Table3[[#This Row],[Marketing]]</f>
        <v>133.89954658559998</v>
      </c>
      <c r="M994" s="8">
        <f>Table3[[#This Row],[PrimaTécnica]]*Table3[[#This Row],[Cobranza]]</f>
        <v>133.89954658559998</v>
      </c>
      <c r="N99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13389.954658559998</v>
      </c>
      <c r="O994">
        <v>21.84</v>
      </c>
      <c r="P994">
        <v>54.6</v>
      </c>
      <c r="Q994">
        <v>80.64</v>
      </c>
      <c r="R994">
        <v>44.377200000000002</v>
      </c>
      <c r="S994">
        <v>0.2</v>
      </c>
      <c r="T994">
        <v>0.02</v>
      </c>
      <c r="U994" s="8">
        <f>Table3[[#This Row],[PrimaNeta]]*Table3[[#This Row],[Comisión]]</f>
        <v>3397.8529646400002</v>
      </c>
      <c r="V994" s="15">
        <f>Table3[[#This Row],[PrimaComercial Anual]]-Table3[[#This Row],[PrimaComercial Anual]]*SUM(Table3[[#This Row],[APS]:[IVA]])</f>
        <v>16989.264823199999</v>
      </c>
      <c r="W994" s="2">
        <v>1.4800000000000001E-2</v>
      </c>
      <c r="X994" s="2">
        <v>8.4501000000000007E-2</v>
      </c>
      <c r="Y994">
        <v>0.03</v>
      </c>
      <c r="Z994">
        <v>0.13</v>
      </c>
      <c r="AA994" s="20">
        <f>Table3[[#This Row],[APS]]*Table3[[#This Row],[PrimaComercial Anual]]</f>
        <v>339.46464000000003</v>
      </c>
      <c r="AB994" s="8">
        <f>Table3[[#This Row],[PrimaComercial Anual]]*Table3[[#This Row],[Recargo adicional]]</f>
        <v>1938.1825368</v>
      </c>
      <c r="AC994" s="8">
        <f>Table3[[#This Row],[PrimaComercial Anual]]*Table3[[#This Row],[IT]]</f>
        <v>688.10399999999993</v>
      </c>
      <c r="AD994" s="8">
        <f>Table3[[#This Row],[PrimaComercial Anual]]*Table3[[#This Row],[IVA]]</f>
        <v>2981.7840000000001</v>
      </c>
      <c r="AE994" s="15">
        <f>Table3[[#This Row],[PrimaComercial Anual Asistencia]]</f>
        <v>22936.799999999999</v>
      </c>
      <c r="AG994">
        <v>22936.799999999999</v>
      </c>
    </row>
    <row r="995" spans="1:33" x14ac:dyDescent="0.25">
      <c r="A995" t="s">
        <v>17</v>
      </c>
      <c r="B995">
        <v>700002</v>
      </c>
      <c r="C995">
        <v>69</v>
      </c>
      <c r="D995" s="2">
        <f>Table3[[#This Row],[PrimaTécnica]]-Table3[[#This Row],[PrimaTécnica]]*SUM(Table3[[#This Row],[Gastos Adm]:[Cobranza]])</f>
        <v>10444.164633676799</v>
      </c>
      <c r="E995">
        <v>0</v>
      </c>
      <c r="F995">
        <v>0.15</v>
      </c>
      <c r="G995">
        <v>0.05</v>
      </c>
      <c r="H995">
        <v>0.01</v>
      </c>
      <c r="I995">
        <v>0.01</v>
      </c>
      <c r="J995" s="8">
        <f>Table3[[#This Row],[PrimaTécnica]]*Table3[[#This Row],[Gastos Adm]]</f>
        <v>2008.4931987839996</v>
      </c>
      <c r="K995" s="8">
        <f>Table3[[#This Row],[PrimaTécnica]]*Table3[[#This Row],[Utilidad]]</f>
        <v>669.497732928</v>
      </c>
      <c r="L995" s="8">
        <f>Table3[[#This Row],[PrimaTécnica]]*Table3[[#This Row],[Marketing]]</f>
        <v>133.89954658559998</v>
      </c>
      <c r="M995" s="8">
        <f>Table3[[#This Row],[PrimaTécnica]]*Table3[[#This Row],[Cobranza]]</f>
        <v>133.89954658559998</v>
      </c>
      <c r="N99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13389.954658559998</v>
      </c>
      <c r="O995">
        <v>21.84</v>
      </c>
      <c r="P995">
        <v>54.6</v>
      </c>
      <c r="Q995">
        <v>80.64</v>
      </c>
      <c r="R995">
        <v>44.377200000000002</v>
      </c>
      <c r="S995">
        <v>0.2</v>
      </c>
      <c r="T995">
        <v>0.02</v>
      </c>
      <c r="U995" s="8">
        <f>Table3[[#This Row],[PrimaNeta]]*Table3[[#This Row],[Comisión]]</f>
        <v>3397.8529646400002</v>
      </c>
      <c r="V995" s="15">
        <f>Table3[[#This Row],[PrimaComercial Anual]]-Table3[[#This Row],[PrimaComercial Anual]]*SUM(Table3[[#This Row],[APS]:[IVA]])</f>
        <v>16989.264823199999</v>
      </c>
      <c r="W995" s="2">
        <v>1.4800000000000001E-2</v>
      </c>
      <c r="X995" s="2">
        <v>8.4501000000000007E-2</v>
      </c>
      <c r="Y995">
        <v>0.03</v>
      </c>
      <c r="Z995">
        <v>0.13</v>
      </c>
      <c r="AA995" s="20">
        <f>Table3[[#This Row],[APS]]*Table3[[#This Row],[PrimaComercial Anual]]</f>
        <v>339.46464000000003</v>
      </c>
      <c r="AB995" s="8">
        <f>Table3[[#This Row],[PrimaComercial Anual]]*Table3[[#This Row],[Recargo adicional]]</f>
        <v>1938.1825368</v>
      </c>
      <c r="AC995" s="8">
        <f>Table3[[#This Row],[PrimaComercial Anual]]*Table3[[#This Row],[IT]]</f>
        <v>688.10399999999993</v>
      </c>
      <c r="AD995" s="8">
        <f>Table3[[#This Row],[PrimaComercial Anual]]*Table3[[#This Row],[IVA]]</f>
        <v>2981.7840000000001</v>
      </c>
      <c r="AE995" s="15">
        <f>Table3[[#This Row],[PrimaComercial Anual Asistencia]]</f>
        <v>22936.799999999999</v>
      </c>
      <c r="AG995">
        <v>22936.799999999999</v>
      </c>
    </row>
    <row r="996" spans="1:33" x14ac:dyDescent="0.25">
      <c r="A996" t="s">
        <v>17</v>
      </c>
      <c r="B996">
        <v>700002</v>
      </c>
      <c r="C996">
        <v>70</v>
      </c>
      <c r="D996" s="2">
        <f>Table3[[#This Row],[PrimaTécnica]]-Table3[[#This Row],[PrimaTécnica]]*SUM(Table3[[#This Row],[Gastos Adm]:[Cobranza]])</f>
        <v>10444.164633676799</v>
      </c>
      <c r="E996">
        <v>0</v>
      </c>
      <c r="F996">
        <v>0.15</v>
      </c>
      <c r="G996">
        <v>0.05</v>
      </c>
      <c r="H996">
        <v>0.01</v>
      </c>
      <c r="I996">
        <v>0.01</v>
      </c>
      <c r="J996" s="8">
        <f>Table3[[#This Row],[PrimaTécnica]]*Table3[[#This Row],[Gastos Adm]]</f>
        <v>2008.4931987839996</v>
      </c>
      <c r="K996" s="8">
        <f>Table3[[#This Row],[PrimaTécnica]]*Table3[[#This Row],[Utilidad]]</f>
        <v>669.497732928</v>
      </c>
      <c r="L996" s="8">
        <f>Table3[[#This Row],[PrimaTécnica]]*Table3[[#This Row],[Marketing]]</f>
        <v>133.89954658559998</v>
      </c>
      <c r="M996" s="8">
        <f>Table3[[#This Row],[PrimaTécnica]]*Table3[[#This Row],[Cobranza]]</f>
        <v>133.89954658559998</v>
      </c>
      <c r="N99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13389.954658559998</v>
      </c>
      <c r="O996">
        <v>21.84</v>
      </c>
      <c r="P996">
        <v>54.6</v>
      </c>
      <c r="Q996">
        <v>80.64</v>
      </c>
      <c r="R996">
        <v>44.377200000000002</v>
      </c>
      <c r="S996">
        <v>0.2</v>
      </c>
      <c r="T996">
        <v>0.02</v>
      </c>
      <c r="U996" s="8">
        <f>Table3[[#This Row],[PrimaNeta]]*Table3[[#This Row],[Comisión]]</f>
        <v>3397.8529646400002</v>
      </c>
      <c r="V996" s="15">
        <f>Table3[[#This Row],[PrimaComercial Anual]]-Table3[[#This Row],[PrimaComercial Anual]]*SUM(Table3[[#This Row],[APS]:[IVA]])</f>
        <v>16989.264823199999</v>
      </c>
      <c r="W996" s="2">
        <v>1.4800000000000001E-2</v>
      </c>
      <c r="X996" s="2">
        <v>8.4501000000000007E-2</v>
      </c>
      <c r="Y996">
        <v>0.03</v>
      </c>
      <c r="Z996">
        <v>0.13</v>
      </c>
      <c r="AA996" s="20">
        <f>Table3[[#This Row],[APS]]*Table3[[#This Row],[PrimaComercial Anual]]</f>
        <v>339.46464000000003</v>
      </c>
      <c r="AB996" s="8">
        <f>Table3[[#This Row],[PrimaComercial Anual]]*Table3[[#This Row],[Recargo adicional]]</f>
        <v>1938.1825368</v>
      </c>
      <c r="AC996" s="8">
        <f>Table3[[#This Row],[PrimaComercial Anual]]*Table3[[#This Row],[IT]]</f>
        <v>688.10399999999993</v>
      </c>
      <c r="AD996" s="8">
        <f>Table3[[#This Row],[PrimaComercial Anual]]*Table3[[#This Row],[IVA]]</f>
        <v>2981.7840000000001</v>
      </c>
      <c r="AE996" s="15">
        <f>Table3[[#This Row],[PrimaComercial Anual Asistencia]]</f>
        <v>22936.799999999999</v>
      </c>
      <c r="AG996">
        <v>22936.799999999999</v>
      </c>
    </row>
    <row r="997" spans="1:33" x14ac:dyDescent="0.25">
      <c r="A997" t="s">
        <v>17</v>
      </c>
      <c r="B997">
        <v>700002</v>
      </c>
      <c r="C997">
        <v>71</v>
      </c>
      <c r="D997" s="2">
        <f>Table3[[#This Row],[PrimaTécnica]]-Table3[[#This Row],[PrimaTécnica]]*SUM(Table3[[#This Row],[Gastos Adm]:[Cobranza]])</f>
        <v>12288.327375916797</v>
      </c>
      <c r="E997">
        <v>0</v>
      </c>
      <c r="F997">
        <v>0.15</v>
      </c>
      <c r="G997">
        <v>0.05</v>
      </c>
      <c r="H997">
        <v>0.01</v>
      </c>
      <c r="I997">
        <v>0.01</v>
      </c>
      <c r="J997" s="8">
        <f>Table3[[#This Row],[PrimaTécnica]]*Table3[[#This Row],[Gastos Adm]]</f>
        <v>2363.1398799839994</v>
      </c>
      <c r="K997" s="8">
        <f>Table3[[#This Row],[PrimaTécnica]]*Table3[[#This Row],[Utilidad]]</f>
        <v>787.71329332799996</v>
      </c>
      <c r="L997" s="8">
        <f>Table3[[#This Row],[PrimaTécnica]]*Table3[[#This Row],[Marketing]]</f>
        <v>157.54265866559999</v>
      </c>
      <c r="M997" s="8">
        <f>Table3[[#This Row],[PrimaTécnica]]*Table3[[#This Row],[Cobranza]]</f>
        <v>157.54265866559999</v>
      </c>
      <c r="N99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997">
        <v>21.84</v>
      </c>
      <c r="P997">
        <v>54.6</v>
      </c>
      <c r="Q997">
        <v>80.64</v>
      </c>
      <c r="R997">
        <v>44.377200000000002</v>
      </c>
      <c r="S997">
        <v>0.2</v>
      </c>
      <c r="T997">
        <v>0.02</v>
      </c>
      <c r="U997" s="8">
        <f>Table3[[#This Row],[PrimaNeta]]*Table3[[#This Row],[Comisión]]</f>
        <v>3988.93076664</v>
      </c>
      <c r="V997" s="15">
        <f>Table3[[#This Row],[PrimaComercial Anual]]-Table3[[#This Row],[PrimaComercial Anual]]*SUM(Table3[[#This Row],[APS]:[IVA]])</f>
        <v>19944.653833199998</v>
      </c>
      <c r="W997" s="2">
        <v>1.4800000000000001E-2</v>
      </c>
      <c r="X997" s="2">
        <v>8.4501000000000007E-2</v>
      </c>
      <c r="Y997">
        <v>0.03</v>
      </c>
      <c r="Z997">
        <v>0.13</v>
      </c>
      <c r="AA997" s="20">
        <f>Table3[[#This Row],[APS]]*Table3[[#This Row],[PrimaComercial Anual]]</f>
        <v>398.51664</v>
      </c>
      <c r="AB997" s="8">
        <f>Table3[[#This Row],[PrimaComercial Anual]]*Table3[[#This Row],[Recargo adicional]]</f>
        <v>2275.3415268000003</v>
      </c>
      <c r="AC997" s="8">
        <f>Table3[[#This Row],[PrimaComercial Anual]]*Table3[[#This Row],[IT]]</f>
        <v>807.80399999999997</v>
      </c>
      <c r="AD997" s="8">
        <f>Table3[[#This Row],[PrimaComercial Anual]]*Table3[[#This Row],[IVA]]</f>
        <v>3500.4839999999999</v>
      </c>
      <c r="AE997" s="15">
        <f>Table3[[#This Row],[PrimaComercial Anual Asistencia]]</f>
        <v>26926.799999999999</v>
      </c>
      <c r="AG997">
        <v>26926.799999999999</v>
      </c>
    </row>
    <row r="998" spans="1:33" x14ac:dyDescent="0.25">
      <c r="A998" t="s">
        <v>17</v>
      </c>
      <c r="B998">
        <v>700002</v>
      </c>
      <c r="C998">
        <v>72</v>
      </c>
      <c r="D998" s="2">
        <f>Table3[[#This Row],[PrimaTécnica]]-Table3[[#This Row],[PrimaTécnica]]*SUM(Table3[[#This Row],[Gastos Adm]:[Cobranza]])</f>
        <v>12288.327375916797</v>
      </c>
      <c r="E998">
        <v>0</v>
      </c>
      <c r="F998">
        <v>0.15</v>
      </c>
      <c r="G998">
        <v>0.05</v>
      </c>
      <c r="H998">
        <v>0.01</v>
      </c>
      <c r="I998">
        <v>0.01</v>
      </c>
      <c r="J998" s="8">
        <f>Table3[[#This Row],[PrimaTécnica]]*Table3[[#This Row],[Gastos Adm]]</f>
        <v>2363.1398799839994</v>
      </c>
      <c r="K998" s="8">
        <f>Table3[[#This Row],[PrimaTécnica]]*Table3[[#This Row],[Utilidad]]</f>
        <v>787.71329332799996</v>
      </c>
      <c r="L998" s="8">
        <f>Table3[[#This Row],[PrimaTécnica]]*Table3[[#This Row],[Marketing]]</f>
        <v>157.54265866559999</v>
      </c>
      <c r="M998" s="8">
        <f>Table3[[#This Row],[PrimaTécnica]]*Table3[[#This Row],[Cobranza]]</f>
        <v>157.54265866559999</v>
      </c>
      <c r="N99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998">
        <v>21.84</v>
      </c>
      <c r="P998">
        <v>54.6</v>
      </c>
      <c r="Q998">
        <v>80.64</v>
      </c>
      <c r="R998">
        <v>44.377200000000002</v>
      </c>
      <c r="S998">
        <v>0.2</v>
      </c>
      <c r="T998">
        <v>0.02</v>
      </c>
      <c r="U998" s="8">
        <f>Table3[[#This Row],[PrimaNeta]]*Table3[[#This Row],[Comisión]]</f>
        <v>3988.93076664</v>
      </c>
      <c r="V998" s="15">
        <f>Table3[[#This Row],[PrimaComercial Anual]]-Table3[[#This Row],[PrimaComercial Anual]]*SUM(Table3[[#This Row],[APS]:[IVA]])</f>
        <v>19944.653833199998</v>
      </c>
      <c r="W998" s="2">
        <v>1.4800000000000001E-2</v>
      </c>
      <c r="X998" s="2">
        <v>8.4501000000000007E-2</v>
      </c>
      <c r="Y998">
        <v>0.03</v>
      </c>
      <c r="Z998">
        <v>0.13</v>
      </c>
      <c r="AA998" s="20">
        <f>Table3[[#This Row],[APS]]*Table3[[#This Row],[PrimaComercial Anual]]</f>
        <v>398.51664</v>
      </c>
      <c r="AB998" s="8">
        <f>Table3[[#This Row],[PrimaComercial Anual]]*Table3[[#This Row],[Recargo adicional]]</f>
        <v>2275.3415268000003</v>
      </c>
      <c r="AC998" s="8">
        <f>Table3[[#This Row],[PrimaComercial Anual]]*Table3[[#This Row],[IT]]</f>
        <v>807.80399999999997</v>
      </c>
      <c r="AD998" s="8">
        <f>Table3[[#This Row],[PrimaComercial Anual]]*Table3[[#This Row],[IVA]]</f>
        <v>3500.4839999999999</v>
      </c>
      <c r="AE998" s="15">
        <f>Table3[[#This Row],[PrimaComercial Anual Asistencia]]</f>
        <v>26926.799999999999</v>
      </c>
      <c r="AG998">
        <v>26926.799999999999</v>
      </c>
    </row>
    <row r="999" spans="1:33" x14ac:dyDescent="0.25">
      <c r="A999" t="s">
        <v>17</v>
      </c>
      <c r="B999">
        <v>700002</v>
      </c>
      <c r="C999">
        <v>73</v>
      </c>
      <c r="D999" s="2">
        <f>Table3[[#This Row],[PrimaTécnica]]-Table3[[#This Row],[PrimaTécnica]]*SUM(Table3[[#This Row],[Gastos Adm]:[Cobranza]])</f>
        <v>12288.327375916797</v>
      </c>
      <c r="E999">
        <v>0</v>
      </c>
      <c r="F999">
        <v>0.15</v>
      </c>
      <c r="G999">
        <v>0.05</v>
      </c>
      <c r="H999">
        <v>0.01</v>
      </c>
      <c r="I999">
        <v>0.01</v>
      </c>
      <c r="J999" s="8">
        <f>Table3[[#This Row],[PrimaTécnica]]*Table3[[#This Row],[Gastos Adm]]</f>
        <v>2363.1398799839994</v>
      </c>
      <c r="K999" s="8">
        <f>Table3[[#This Row],[PrimaTécnica]]*Table3[[#This Row],[Utilidad]]</f>
        <v>787.71329332799996</v>
      </c>
      <c r="L999" s="8">
        <f>Table3[[#This Row],[PrimaTécnica]]*Table3[[#This Row],[Marketing]]</f>
        <v>157.54265866559999</v>
      </c>
      <c r="M999" s="8">
        <f>Table3[[#This Row],[PrimaTécnica]]*Table3[[#This Row],[Cobranza]]</f>
        <v>157.54265866559999</v>
      </c>
      <c r="N99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999">
        <v>21.84</v>
      </c>
      <c r="P999">
        <v>54.6</v>
      </c>
      <c r="Q999">
        <v>80.64</v>
      </c>
      <c r="R999">
        <v>44.377200000000002</v>
      </c>
      <c r="S999">
        <v>0.2</v>
      </c>
      <c r="T999">
        <v>0.02</v>
      </c>
      <c r="U999" s="8">
        <f>Table3[[#This Row],[PrimaNeta]]*Table3[[#This Row],[Comisión]]</f>
        <v>3988.93076664</v>
      </c>
      <c r="V999" s="15">
        <f>Table3[[#This Row],[PrimaComercial Anual]]-Table3[[#This Row],[PrimaComercial Anual]]*SUM(Table3[[#This Row],[APS]:[IVA]])</f>
        <v>19944.653833199998</v>
      </c>
      <c r="W999" s="2">
        <v>1.4800000000000001E-2</v>
      </c>
      <c r="X999" s="2">
        <v>8.4501000000000007E-2</v>
      </c>
      <c r="Y999">
        <v>0.03</v>
      </c>
      <c r="Z999">
        <v>0.13</v>
      </c>
      <c r="AA999" s="20">
        <f>Table3[[#This Row],[APS]]*Table3[[#This Row],[PrimaComercial Anual]]</f>
        <v>398.51664</v>
      </c>
      <c r="AB999" s="8">
        <f>Table3[[#This Row],[PrimaComercial Anual]]*Table3[[#This Row],[Recargo adicional]]</f>
        <v>2275.3415268000003</v>
      </c>
      <c r="AC999" s="8">
        <f>Table3[[#This Row],[PrimaComercial Anual]]*Table3[[#This Row],[IT]]</f>
        <v>807.80399999999997</v>
      </c>
      <c r="AD999" s="8">
        <f>Table3[[#This Row],[PrimaComercial Anual]]*Table3[[#This Row],[IVA]]</f>
        <v>3500.4839999999999</v>
      </c>
      <c r="AE999" s="15">
        <f>Table3[[#This Row],[PrimaComercial Anual Asistencia]]</f>
        <v>26926.799999999999</v>
      </c>
      <c r="AG999">
        <v>26926.799999999999</v>
      </c>
    </row>
    <row r="1000" spans="1:33" x14ac:dyDescent="0.25">
      <c r="A1000" t="s">
        <v>17</v>
      </c>
      <c r="B1000">
        <v>700002</v>
      </c>
      <c r="C1000">
        <v>74</v>
      </c>
      <c r="D1000" s="2">
        <f>Table3[[#This Row],[PrimaTécnica]]-Table3[[#This Row],[PrimaTécnica]]*SUM(Table3[[#This Row],[Gastos Adm]:[Cobranza]])</f>
        <v>12288.327375916797</v>
      </c>
      <c r="E1000">
        <v>0</v>
      </c>
      <c r="F1000">
        <v>0.15</v>
      </c>
      <c r="G1000">
        <v>0.05</v>
      </c>
      <c r="H1000">
        <v>0.01</v>
      </c>
      <c r="I1000">
        <v>0.01</v>
      </c>
      <c r="J1000" s="8">
        <f>Table3[[#This Row],[PrimaTécnica]]*Table3[[#This Row],[Gastos Adm]]</f>
        <v>2363.1398799839994</v>
      </c>
      <c r="K1000" s="8">
        <f>Table3[[#This Row],[PrimaTécnica]]*Table3[[#This Row],[Utilidad]]</f>
        <v>787.71329332799996</v>
      </c>
      <c r="L1000" s="8">
        <f>Table3[[#This Row],[PrimaTécnica]]*Table3[[#This Row],[Marketing]]</f>
        <v>157.54265866559999</v>
      </c>
      <c r="M1000" s="8">
        <f>Table3[[#This Row],[PrimaTécnica]]*Table3[[#This Row],[Cobranza]]</f>
        <v>157.54265866559999</v>
      </c>
      <c r="N100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00">
        <v>21.84</v>
      </c>
      <c r="P1000">
        <v>54.6</v>
      </c>
      <c r="Q1000">
        <v>80.64</v>
      </c>
      <c r="R1000">
        <v>44.377200000000002</v>
      </c>
      <c r="S1000">
        <v>0.2</v>
      </c>
      <c r="T1000">
        <v>0.02</v>
      </c>
      <c r="U1000" s="8">
        <f>Table3[[#This Row],[PrimaNeta]]*Table3[[#This Row],[Comisión]]</f>
        <v>3988.93076664</v>
      </c>
      <c r="V1000" s="15">
        <f>Table3[[#This Row],[PrimaComercial Anual]]-Table3[[#This Row],[PrimaComercial Anual]]*SUM(Table3[[#This Row],[APS]:[IVA]])</f>
        <v>19944.653833199998</v>
      </c>
      <c r="W1000" s="2">
        <v>1.4800000000000001E-2</v>
      </c>
      <c r="X1000" s="2">
        <v>8.4501000000000007E-2</v>
      </c>
      <c r="Y1000">
        <v>0.03</v>
      </c>
      <c r="Z1000">
        <v>0.13</v>
      </c>
      <c r="AA1000" s="20">
        <f>Table3[[#This Row],[APS]]*Table3[[#This Row],[PrimaComercial Anual]]</f>
        <v>398.51664</v>
      </c>
      <c r="AB1000" s="8">
        <f>Table3[[#This Row],[PrimaComercial Anual]]*Table3[[#This Row],[Recargo adicional]]</f>
        <v>2275.3415268000003</v>
      </c>
      <c r="AC1000" s="8">
        <f>Table3[[#This Row],[PrimaComercial Anual]]*Table3[[#This Row],[IT]]</f>
        <v>807.80399999999997</v>
      </c>
      <c r="AD1000" s="8">
        <f>Table3[[#This Row],[PrimaComercial Anual]]*Table3[[#This Row],[IVA]]</f>
        <v>3500.4839999999999</v>
      </c>
      <c r="AE1000" s="15">
        <f>Table3[[#This Row],[PrimaComercial Anual Asistencia]]</f>
        <v>26926.799999999999</v>
      </c>
      <c r="AG1000">
        <v>26926.799999999999</v>
      </c>
    </row>
    <row r="1001" spans="1:33" x14ac:dyDescent="0.25">
      <c r="A1001" t="s">
        <v>17</v>
      </c>
      <c r="B1001">
        <v>700002</v>
      </c>
      <c r="C1001">
        <v>75</v>
      </c>
      <c r="D1001" s="2">
        <f>Table3[[#This Row],[PrimaTécnica]]-Table3[[#This Row],[PrimaTécnica]]*SUM(Table3[[#This Row],[Gastos Adm]:[Cobranza]])</f>
        <v>12288.327375916797</v>
      </c>
      <c r="E1001">
        <v>0</v>
      </c>
      <c r="F1001">
        <v>0.15</v>
      </c>
      <c r="G1001">
        <v>0.05</v>
      </c>
      <c r="H1001">
        <v>0.01</v>
      </c>
      <c r="I1001">
        <v>0.01</v>
      </c>
      <c r="J1001" s="8">
        <f>Table3[[#This Row],[PrimaTécnica]]*Table3[[#This Row],[Gastos Adm]]</f>
        <v>2363.1398799839994</v>
      </c>
      <c r="K1001" s="8">
        <f>Table3[[#This Row],[PrimaTécnica]]*Table3[[#This Row],[Utilidad]]</f>
        <v>787.71329332799996</v>
      </c>
      <c r="L1001" s="8">
        <f>Table3[[#This Row],[PrimaTécnica]]*Table3[[#This Row],[Marketing]]</f>
        <v>157.54265866559999</v>
      </c>
      <c r="M1001" s="8">
        <f>Table3[[#This Row],[PrimaTécnica]]*Table3[[#This Row],[Cobranza]]</f>
        <v>157.54265866559999</v>
      </c>
      <c r="N100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01">
        <v>21.84</v>
      </c>
      <c r="P1001">
        <v>54.6</v>
      </c>
      <c r="Q1001">
        <v>80.64</v>
      </c>
      <c r="R1001">
        <v>44.377200000000002</v>
      </c>
      <c r="S1001">
        <v>0.2</v>
      </c>
      <c r="T1001">
        <v>0.02</v>
      </c>
      <c r="U1001" s="8">
        <f>Table3[[#This Row],[PrimaNeta]]*Table3[[#This Row],[Comisión]]</f>
        <v>3988.93076664</v>
      </c>
      <c r="V1001" s="15">
        <f>Table3[[#This Row],[PrimaComercial Anual]]-Table3[[#This Row],[PrimaComercial Anual]]*SUM(Table3[[#This Row],[APS]:[IVA]])</f>
        <v>19944.653833199998</v>
      </c>
      <c r="W1001" s="2">
        <v>1.4800000000000001E-2</v>
      </c>
      <c r="X1001" s="2">
        <v>8.4501000000000007E-2</v>
      </c>
      <c r="Y1001">
        <v>0.03</v>
      </c>
      <c r="Z1001">
        <v>0.13</v>
      </c>
      <c r="AA1001" s="20">
        <f>Table3[[#This Row],[APS]]*Table3[[#This Row],[PrimaComercial Anual]]</f>
        <v>398.51664</v>
      </c>
      <c r="AB1001" s="8">
        <f>Table3[[#This Row],[PrimaComercial Anual]]*Table3[[#This Row],[Recargo adicional]]</f>
        <v>2275.3415268000003</v>
      </c>
      <c r="AC1001" s="8">
        <f>Table3[[#This Row],[PrimaComercial Anual]]*Table3[[#This Row],[IT]]</f>
        <v>807.80399999999997</v>
      </c>
      <c r="AD1001" s="8">
        <f>Table3[[#This Row],[PrimaComercial Anual]]*Table3[[#This Row],[IVA]]</f>
        <v>3500.4839999999999</v>
      </c>
      <c r="AE1001" s="15">
        <f>Table3[[#This Row],[PrimaComercial Anual Asistencia]]</f>
        <v>26926.799999999999</v>
      </c>
      <c r="AG1001">
        <v>26926.799999999999</v>
      </c>
    </row>
    <row r="1002" spans="1:33" x14ac:dyDescent="0.25">
      <c r="A1002" t="s">
        <v>17</v>
      </c>
      <c r="B1002">
        <v>700002</v>
      </c>
      <c r="C1002">
        <v>76</v>
      </c>
      <c r="D1002" s="2">
        <f>Table3[[#This Row],[PrimaTécnica]]-Table3[[#This Row],[PrimaTécnica]]*SUM(Table3[[#This Row],[Gastos Adm]:[Cobranza]])</f>
        <v>12288.327375916797</v>
      </c>
      <c r="E1002">
        <v>0</v>
      </c>
      <c r="F1002">
        <v>0.15</v>
      </c>
      <c r="G1002">
        <v>0.05</v>
      </c>
      <c r="H1002">
        <v>0.01</v>
      </c>
      <c r="I1002">
        <v>0.01</v>
      </c>
      <c r="J1002" s="8">
        <f>Table3[[#This Row],[PrimaTécnica]]*Table3[[#This Row],[Gastos Adm]]</f>
        <v>2363.1398799839994</v>
      </c>
      <c r="K1002" s="8">
        <f>Table3[[#This Row],[PrimaTécnica]]*Table3[[#This Row],[Utilidad]]</f>
        <v>787.71329332799996</v>
      </c>
      <c r="L1002" s="8">
        <f>Table3[[#This Row],[PrimaTécnica]]*Table3[[#This Row],[Marketing]]</f>
        <v>157.54265866559999</v>
      </c>
      <c r="M1002" s="8">
        <f>Table3[[#This Row],[PrimaTécnica]]*Table3[[#This Row],[Cobranza]]</f>
        <v>157.54265866559999</v>
      </c>
      <c r="N100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02">
        <v>21.84</v>
      </c>
      <c r="P1002">
        <v>54.6</v>
      </c>
      <c r="Q1002">
        <v>80.64</v>
      </c>
      <c r="R1002">
        <v>44.377200000000002</v>
      </c>
      <c r="S1002">
        <v>0.2</v>
      </c>
      <c r="T1002">
        <v>0.02</v>
      </c>
      <c r="U1002" s="8">
        <f>Table3[[#This Row],[PrimaNeta]]*Table3[[#This Row],[Comisión]]</f>
        <v>3988.93076664</v>
      </c>
      <c r="V1002" s="15">
        <f>Table3[[#This Row],[PrimaComercial Anual]]-Table3[[#This Row],[PrimaComercial Anual]]*SUM(Table3[[#This Row],[APS]:[IVA]])</f>
        <v>19944.653833199998</v>
      </c>
      <c r="W1002" s="2">
        <v>1.4800000000000001E-2</v>
      </c>
      <c r="X1002" s="2">
        <v>8.4501000000000007E-2</v>
      </c>
      <c r="Y1002">
        <v>0.03</v>
      </c>
      <c r="Z1002">
        <v>0.13</v>
      </c>
      <c r="AA1002" s="20">
        <f>Table3[[#This Row],[APS]]*Table3[[#This Row],[PrimaComercial Anual]]</f>
        <v>398.51664</v>
      </c>
      <c r="AB1002" s="8">
        <f>Table3[[#This Row],[PrimaComercial Anual]]*Table3[[#This Row],[Recargo adicional]]</f>
        <v>2275.3415268000003</v>
      </c>
      <c r="AC1002" s="8">
        <f>Table3[[#This Row],[PrimaComercial Anual]]*Table3[[#This Row],[IT]]</f>
        <v>807.80399999999997</v>
      </c>
      <c r="AD1002" s="8">
        <f>Table3[[#This Row],[PrimaComercial Anual]]*Table3[[#This Row],[IVA]]</f>
        <v>3500.4839999999999</v>
      </c>
      <c r="AE1002" s="15">
        <f>Table3[[#This Row],[PrimaComercial Anual Asistencia]]</f>
        <v>26926.799999999999</v>
      </c>
      <c r="AG1002">
        <v>26926.799999999999</v>
      </c>
    </row>
    <row r="1003" spans="1:33" x14ac:dyDescent="0.25">
      <c r="A1003" t="s">
        <v>17</v>
      </c>
      <c r="B1003">
        <v>700002</v>
      </c>
      <c r="C1003">
        <v>77</v>
      </c>
      <c r="D1003" s="2">
        <f>Table3[[#This Row],[PrimaTécnica]]-Table3[[#This Row],[PrimaTécnica]]*SUM(Table3[[#This Row],[Gastos Adm]:[Cobranza]])</f>
        <v>12288.327375916797</v>
      </c>
      <c r="E1003">
        <v>0</v>
      </c>
      <c r="F1003">
        <v>0.15</v>
      </c>
      <c r="G1003">
        <v>0.05</v>
      </c>
      <c r="H1003">
        <v>0.01</v>
      </c>
      <c r="I1003">
        <v>0.01</v>
      </c>
      <c r="J1003" s="8">
        <f>Table3[[#This Row],[PrimaTécnica]]*Table3[[#This Row],[Gastos Adm]]</f>
        <v>2363.1398799839994</v>
      </c>
      <c r="K1003" s="8">
        <f>Table3[[#This Row],[PrimaTécnica]]*Table3[[#This Row],[Utilidad]]</f>
        <v>787.71329332799996</v>
      </c>
      <c r="L1003" s="8">
        <f>Table3[[#This Row],[PrimaTécnica]]*Table3[[#This Row],[Marketing]]</f>
        <v>157.54265866559999</v>
      </c>
      <c r="M1003" s="8">
        <f>Table3[[#This Row],[PrimaTécnica]]*Table3[[#This Row],[Cobranza]]</f>
        <v>157.54265866559999</v>
      </c>
      <c r="N100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03">
        <v>21.84</v>
      </c>
      <c r="P1003">
        <v>54.6</v>
      </c>
      <c r="Q1003">
        <v>80.64</v>
      </c>
      <c r="R1003">
        <v>44.377200000000002</v>
      </c>
      <c r="S1003">
        <v>0.2</v>
      </c>
      <c r="T1003">
        <v>0.02</v>
      </c>
      <c r="U1003" s="8">
        <f>Table3[[#This Row],[PrimaNeta]]*Table3[[#This Row],[Comisión]]</f>
        <v>3988.93076664</v>
      </c>
      <c r="V1003" s="15">
        <f>Table3[[#This Row],[PrimaComercial Anual]]-Table3[[#This Row],[PrimaComercial Anual]]*SUM(Table3[[#This Row],[APS]:[IVA]])</f>
        <v>19944.653833199998</v>
      </c>
      <c r="W1003" s="2">
        <v>1.4800000000000001E-2</v>
      </c>
      <c r="X1003" s="2">
        <v>8.4501000000000007E-2</v>
      </c>
      <c r="Y1003">
        <v>0.03</v>
      </c>
      <c r="Z1003">
        <v>0.13</v>
      </c>
      <c r="AA1003" s="20">
        <f>Table3[[#This Row],[APS]]*Table3[[#This Row],[PrimaComercial Anual]]</f>
        <v>398.51664</v>
      </c>
      <c r="AB1003" s="8">
        <f>Table3[[#This Row],[PrimaComercial Anual]]*Table3[[#This Row],[Recargo adicional]]</f>
        <v>2275.3415268000003</v>
      </c>
      <c r="AC1003" s="8">
        <f>Table3[[#This Row],[PrimaComercial Anual]]*Table3[[#This Row],[IT]]</f>
        <v>807.80399999999997</v>
      </c>
      <c r="AD1003" s="8">
        <f>Table3[[#This Row],[PrimaComercial Anual]]*Table3[[#This Row],[IVA]]</f>
        <v>3500.4839999999999</v>
      </c>
      <c r="AE1003" s="15">
        <f>Table3[[#This Row],[PrimaComercial Anual Asistencia]]</f>
        <v>26926.799999999999</v>
      </c>
      <c r="AG1003">
        <v>26926.799999999999</v>
      </c>
    </row>
    <row r="1004" spans="1:33" x14ac:dyDescent="0.25">
      <c r="A1004" t="s">
        <v>17</v>
      </c>
      <c r="B1004">
        <v>700002</v>
      </c>
      <c r="C1004">
        <v>78</v>
      </c>
      <c r="D1004" s="2">
        <f>Table3[[#This Row],[PrimaTécnica]]-Table3[[#This Row],[PrimaTécnica]]*SUM(Table3[[#This Row],[Gastos Adm]:[Cobranza]])</f>
        <v>12288.327375916797</v>
      </c>
      <c r="E1004">
        <v>0</v>
      </c>
      <c r="F1004">
        <v>0.15</v>
      </c>
      <c r="G1004">
        <v>0.05</v>
      </c>
      <c r="H1004">
        <v>0.01</v>
      </c>
      <c r="I1004">
        <v>0.01</v>
      </c>
      <c r="J1004" s="8">
        <f>Table3[[#This Row],[PrimaTécnica]]*Table3[[#This Row],[Gastos Adm]]</f>
        <v>2363.1398799839994</v>
      </c>
      <c r="K1004" s="8">
        <f>Table3[[#This Row],[PrimaTécnica]]*Table3[[#This Row],[Utilidad]]</f>
        <v>787.71329332799996</v>
      </c>
      <c r="L1004" s="8">
        <f>Table3[[#This Row],[PrimaTécnica]]*Table3[[#This Row],[Marketing]]</f>
        <v>157.54265866559999</v>
      </c>
      <c r="M1004" s="8">
        <f>Table3[[#This Row],[PrimaTécnica]]*Table3[[#This Row],[Cobranza]]</f>
        <v>157.54265866559999</v>
      </c>
      <c r="N100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04">
        <v>21.84</v>
      </c>
      <c r="P1004">
        <v>54.6</v>
      </c>
      <c r="Q1004">
        <v>80.64</v>
      </c>
      <c r="R1004">
        <v>44.377200000000002</v>
      </c>
      <c r="S1004">
        <v>0.2</v>
      </c>
      <c r="T1004">
        <v>0.02</v>
      </c>
      <c r="U1004" s="8">
        <f>Table3[[#This Row],[PrimaNeta]]*Table3[[#This Row],[Comisión]]</f>
        <v>3988.93076664</v>
      </c>
      <c r="V1004" s="15">
        <f>Table3[[#This Row],[PrimaComercial Anual]]-Table3[[#This Row],[PrimaComercial Anual]]*SUM(Table3[[#This Row],[APS]:[IVA]])</f>
        <v>19944.653833199998</v>
      </c>
      <c r="W1004" s="2">
        <v>1.4800000000000001E-2</v>
      </c>
      <c r="X1004" s="2">
        <v>8.4501000000000007E-2</v>
      </c>
      <c r="Y1004">
        <v>0.03</v>
      </c>
      <c r="Z1004">
        <v>0.13</v>
      </c>
      <c r="AA1004" s="20">
        <f>Table3[[#This Row],[APS]]*Table3[[#This Row],[PrimaComercial Anual]]</f>
        <v>398.51664</v>
      </c>
      <c r="AB1004" s="8">
        <f>Table3[[#This Row],[PrimaComercial Anual]]*Table3[[#This Row],[Recargo adicional]]</f>
        <v>2275.3415268000003</v>
      </c>
      <c r="AC1004" s="8">
        <f>Table3[[#This Row],[PrimaComercial Anual]]*Table3[[#This Row],[IT]]</f>
        <v>807.80399999999997</v>
      </c>
      <c r="AD1004" s="8">
        <f>Table3[[#This Row],[PrimaComercial Anual]]*Table3[[#This Row],[IVA]]</f>
        <v>3500.4839999999999</v>
      </c>
      <c r="AE1004" s="15">
        <f>Table3[[#This Row],[PrimaComercial Anual Asistencia]]</f>
        <v>26926.799999999999</v>
      </c>
      <c r="AG1004">
        <v>26926.799999999999</v>
      </c>
    </row>
    <row r="1005" spans="1:33" x14ac:dyDescent="0.25">
      <c r="A1005" t="s">
        <v>17</v>
      </c>
      <c r="B1005">
        <v>700002</v>
      </c>
      <c r="C1005">
        <v>79</v>
      </c>
      <c r="D1005" s="2">
        <f>Table3[[#This Row],[PrimaTécnica]]-Table3[[#This Row],[PrimaTécnica]]*SUM(Table3[[#This Row],[Gastos Adm]:[Cobranza]])</f>
        <v>12288.327375916797</v>
      </c>
      <c r="E1005">
        <v>0</v>
      </c>
      <c r="F1005">
        <v>0.15</v>
      </c>
      <c r="G1005">
        <v>0.05</v>
      </c>
      <c r="H1005">
        <v>0.01</v>
      </c>
      <c r="I1005">
        <v>0.01</v>
      </c>
      <c r="J1005" s="8">
        <f>Table3[[#This Row],[PrimaTécnica]]*Table3[[#This Row],[Gastos Adm]]</f>
        <v>2363.1398799839994</v>
      </c>
      <c r="K1005" s="8">
        <f>Table3[[#This Row],[PrimaTécnica]]*Table3[[#This Row],[Utilidad]]</f>
        <v>787.71329332799996</v>
      </c>
      <c r="L1005" s="8">
        <f>Table3[[#This Row],[PrimaTécnica]]*Table3[[#This Row],[Marketing]]</f>
        <v>157.54265866559999</v>
      </c>
      <c r="M1005" s="8">
        <f>Table3[[#This Row],[PrimaTécnica]]*Table3[[#This Row],[Cobranza]]</f>
        <v>157.54265866559999</v>
      </c>
      <c r="N100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05">
        <v>21.84</v>
      </c>
      <c r="P1005">
        <v>54.6</v>
      </c>
      <c r="Q1005">
        <v>80.64</v>
      </c>
      <c r="R1005">
        <v>44.377200000000002</v>
      </c>
      <c r="S1005">
        <v>0.2</v>
      </c>
      <c r="T1005">
        <v>0.02</v>
      </c>
      <c r="U1005" s="8">
        <f>Table3[[#This Row],[PrimaNeta]]*Table3[[#This Row],[Comisión]]</f>
        <v>3988.93076664</v>
      </c>
      <c r="V1005" s="15">
        <f>Table3[[#This Row],[PrimaComercial Anual]]-Table3[[#This Row],[PrimaComercial Anual]]*SUM(Table3[[#This Row],[APS]:[IVA]])</f>
        <v>19944.653833199998</v>
      </c>
      <c r="W1005" s="2">
        <v>1.4800000000000001E-2</v>
      </c>
      <c r="X1005" s="2">
        <v>8.4501000000000007E-2</v>
      </c>
      <c r="Y1005">
        <v>0.03</v>
      </c>
      <c r="Z1005">
        <v>0.13</v>
      </c>
      <c r="AA1005" s="20">
        <f>Table3[[#This Row],[APS]]*Table3[[#This Row],[PrimaComercial Anual]]</f>
        <v>398.51664</v>
      </c>
      <c r="AB1005" s="8">
        <f>Table3[[#This Row],[PrimaComercial Anual]]*Table3[[#This Row],[Recargo adicional]]</f>
        <v>2275.3415268000003</v>
      </c>
      <c r="AC1005" s="8">
        <f>Table3[[#This Row],[PrimaComercial Anual]]*Table3[[#This Row],[IT]]</f>
        <v>807.80399999999997</v>
      </c>
      <c r="AD1005" s="8">
        <f>Table3[[#This Row],[PrimaComercial Anual]]*Table3[[#This Row],[IVA]]</f>
        <v>3500.4839999999999</v>
      </c>
      <c r="AE1005" s="15">
        <f>Table3[[#This Row],[PrimaComercial Anual Asistencia]]</f>
        <v>26926.799999999999</v>
      </c>
      <c r="AG1005">
        <v>26926.799999999999</v>
      </c>
    </row>
    <row r="1006" spans="1:33" x14ac:dyDescent="0.25">
      <c r="A1006" t="s">
        <v>17</v>
      </c>
      <c r="B1006">
        <v>700002</v>
      </c>
      <c r="C1006">
        <v>80</v>
      </c>
      <c r="D1006" s="2">
        <f>Table3[[#This Row],[PrimaTécnica]]-Table3[[#This Row],[PrimaTécnica]]*SUM(Table3[[#This Row],[Gastos Adm]:[Cobranza]])</f>
        <v>12288.327375916797</v>
      </c>
      <c r="E1006">
        <v>0</v>
      </c>
      <c r="F1006">
        <v>0.15</v>
      </c>
      <c r="G1006">
        <v>0.05</v>
      </c>
      <c r="H1006">
        <v>0.01</v>
      </c>
      <c r="I1006">
        <v>0.01</v>
      </c>
      <c r="J1006" s="8">
        <f>Table3[[#This Row],[PrimaTécnica]]*Table3[[#This Row],[Gastos Adm]]</f>
        <v>2363.1398799839994</v>
      </c>
      <c r="K1006" s="8">
        <f>Table3[[#This Row],[PrimaTécnica]]*Table3[[#This Row],[Utilidad]]</f>
        <v>787.71329332799996</v>
      </c>
      <c r="L1006" s="8">
        <f>Table3[[#This Row],[PrimaTécnica]]*Table3[[#This Row],[Marketing]]</f>
        <v>157.54265866559999</v>
      </c>
      <c r="M1006" s="8">
        <f>Table3[[#This Row],[PrimaTécnica]]*Table3[[#This Row],[Cobranza]]</f>
        <v>157.54265866559999</v>
      </c>
      <c r="N100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06">
        <v>21.84</v>
      </c>
      <c r="P1006">
        <v>54.6</v>
      </c>
      <c r="Q1006">
        <v>80.64</v>
      </c>
      <c r="R1006">
        <v>44.377200000000002</v>
      </c>
      <c r="S1006">
        <v>0.2</v>
      </c>
      <c r="T1006">
        <v>0.02</v>
      </c>
      <c r="U1006" s="8">
        <f>Table3[[#This Row],[PrimaNeta]]*Table3[[#This Row],[Comisión]]</f>
        <v>3988.93076664</v>
      </c>
      <c r="V1006" s="15">
        <f>Table3[[#This Row],[PrimaComercial Anual]]-Table3[[#This Row],[PrimaComercial Anual]]*SUM(Table3[[#This Row],[APS]:[IVA]])</f>
        <v>19944.653833199998</v>
      </c>
      <c r="W1006" s="2">
        <v>1.4800000000000001E-2</v>
      </c>
      <c r="X1006" s="2">
        <v>8.4501000000000007E-2</v>
      </c>
      <c r="Y1006">
        <v>0.03</v>
      </c>
      <c r="Z1006">
        <v>0.13</v>
      </c>
      <c r="AA1006" s="20">
        <f>Table3[[#This Row],[APS]]*Table3[[#This Row],[PrimaComercial Anual]]</f>
        <v>398.51664</v>
      </c>
      <c r="AB1006" s="8">
        <f>Table3[[#This Row],[PrimaComercial Anual]]*Table3[[#This Row],[Recargo adicional]]</f>
        <v>2275.3415268000003</v>
      </c>
      <c r="AC1006" s="8">
        <f>Table3[[#This Row],[PrimaComercial Anual]]*Table3[[#This Row],[IT]]</f>
        <v>807.80399999999997</v>
      </c>
      <c r="AD1006" s="8">
        <f>Table3[[#This Row],[PrimaComercial Anual]]*Table3[[#This Row],[IVA]]</f>
        <v>3500.4839999999999</v>
      </c>
      <c r="AE1006" s="15">
        <f>Table3[[#This Row],[PrimaComercial Anual Asistencia]]</f>
        <v>26926.799999999999</v>
      </c>
      <c r="AG1006">
        <v>26926.799999999999</v>
      </c>
    </row>
    <row r="1007" spans="1:33" x14ac:dyDescent="0.25">
      <c r="A1007" t="s">
        <v>17</v>
      </c>
      <c r="B1007">
        <v>700002</v>
      </c>
      <c r="C1007">
        <v>81</v>
      </c>
      <c r="D1007" s="2">
        <f>Table3[[#This Row],[PrimaTécnica]]-Table3[[#This Row],[PrimaTécnica]]*SUM(Table3[[#This Row],[Gastos Adm]:[Cobranza]])</f>
        <v>12288.327375916797</v>
      </c>
      <c r="E1007">
        <v>0</v>
      </c>
      <c r="F1007">
        <v>0.15</v>
      </c>
      <c r="G1007">
        <v>0.05</v>
      </c>
      <c r="H1007">
        <v>0.01</v>
      </c>
      <c r="I1007">
        <v>0.01</v>
      </c>
      <c r="J1007" s="8">
        <f>Table3[[#This Row],[PrimaTécnica]]*Table3[[#This Row],[Gastos Adm]]</f>
        <v>2363.1398799839994</v>
      </c>
      <c r="K1007" s="8">
        <f>Table3[[#This Row],[PrimaTécnica]]*Table3[[#This Row],[Utilidad]]</f>
        <v>787.71329332799996</v>
      </c>
      <c r="L1007" s="8">
        <f>Table3[[#This Row],[PrimaTécnica]]*Table3[[#This Row],[Marketing]]</f>
        <v>157.54265866559999</v>
      </c>
      <c r="M1007" s="8">
        <f>Table3[[#This Row],[PrimaTécnica]]*Table3[[#This Row],[Cobranza]]</f>
        <v>157.54265866559999</v>
      </c>
      <c r="N100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07">
        <v>21.84</v>
      </c>
      <c r="P1007">
        <v>54.6</v>
      </c>
      <c r="Q1007">
        <v>80.64</v>
      </c>
      <c r="R1007">
        <v>44.377200000000002</v>
      </c>
      <c r="S1007">
        <v>0.2</v>
      </c>
      <c r="T1007">
        <v>0.02</v>
      </c>
      <c r="U1007" s="8">
        <f>Table3[[#This Row],[PrimaNeta]]*Table3[[#This Row],[Comisión]]</f>
        <v>3988.93076664</v>
      </c>
      <c r="V1007" s="15">
        <f>Table3[[#This Row],[PrimaComercial Anual]]-Table3[[#This Row],[PrimaComercial Anual]]*SUM(Table3[[#This Row],[APS]:[IVA]])</f>
        <v>19944.653833199998</v>
      </c>
      <c r="W1007" s="2">
        <v>1.4800000000000001E-2</v>
      </c>
      <c r="X1007" s="2">
        <v>8.4501000000000007E-2</v>
      </c>
      <c r="Y1007">
        <v>0.03</v>
      </c>
      <c r="Z1007">
        <v>0.13</v>
      </c>
      <c r="AA1007" s="20">
        <f>Table3[[#This Row],[APS]]*Table3[[#This Row],[PrimaComercial Anual]]</f>
        <v>398.51664</v>
      </c>
      <c r="AB1007" s="8">
        <f>Table3[[#This Row],[PrimaComercial Anual]]*Table3[[#This Row],[Recargo adicional]]</f>
        <v>2275.3415268000003</v>
      </c>
      <c r="AC1007" s="8">
        <f>Table3[[#This Row],[PrimaComercial Anual]]*Table3[[#This Row],[IT]]</f>
        <v>807.80399999999997</v>
      </c>
      <c r="AD1007" s="8">
        <f>Table3[[#This Row],[PrimaComercial Anual]]*Table3[[#This Row],[IVA]]</f>
        <v>3500.4839999999999</v>
      </c>
      <c r="AE1007" s="15">
        <f>Table3[[#This Row],[PrimaComercial Anual Asistencia]]</f>
        <v>26926.799999999999</v>
      </c>
      <c r="AG1007">
        <v>26926.799999999999</v>
      </c>
    </row>
    <row r="1008" spans="1:33" x14ac:dyDescent="0.25">
      <c r="A1008" t="s">
        <v>17</v>
      </c>
      <c r="B1008">
        <v>700002</v>
      </c>
      <c r="C1008">
        <v>82</v>
      </c>
      <c r="D1008" s="2">
        <f>Table3[[#This Row],[PrimaTécnica]]-Table3[[#This Row],[PrimaTécnica]]*SUM(Table3[[#This Row],[Gastos Adm]:[Cobranza]])</f>
        <v>12288.327375916797</v>
      </c>
      <c r="E1008">
        <v>0</v>
      </c>
      <c r="F1008">
        <v>0.15</v>
      </c>
      <c r="G1008">
        <v>0.05</v>
      </c>
      <c r="H1008">
        <v>0.01</v>
      </c>
      <c r="I1008">
        <v>0.01</v>
      </c>
      <c r="J1008" s="8">
        <f>Table3[[#This Row],[PrimaTécnica]]*Table3[[#This Row],[Gastos Adm]]</f>
        <v>2363.1398799839994</v>
      </c>
      <c r="K1008" s="8">
        <f>Table3[[#This Row],[PrimaTécnica]]*Table3[[#This Row],[Utilidad]]</f>
        <v>787.71329332799996</v>
      </c>
      <c r="L1008" s="8">
        <f>Table3[[#This Row],[PrimaTécnica]]*Table3[[#This Row],[Marketing]]</f>
        <v>157.54265866559999</v>
      </c>
      <c r="M1008" s="8">
        <f>Table3[[#This Row],[PrimaTécnica]]*Table3[[#This Row],[Cobranza]]</f>
        <v>157.54265866559999</v>
      </c>
      <c r="N100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08">
        <v>21.84</v>
      </c>
      <c r="P1008">
        <v>54.6</v>
      </c>
      <c r="Q1008">
        <v>80.64</v>
      </c>
      <c r="R1008">
        <v>44.377200000000002</v>
      </c>
      <c r="S1008">
        <v>0.2</v>
      </c>
      <c r="T1008">
        <v>0.02</v>
      </c>
      <c r="U1008" s="8">
        <f>Table3[[#This Row],[PrimaNeta]]*Table3[[#This Row],[Comisión]]</f>
        <v>3988.93076664</v>
      </c>
      <c r="V1008" s="15">
        <f>Table3[[#This Row],[PrimaComercial Anual]]-Table3[[#This Row],[PrimaComercial Anual]]*SUM(Table3[[#This Row],[APS]:[IVA]])</f>
        <v>19944.653833199998</v>
      </c>
      <c r="W1008" s="2">
        <v>1.4800000000000001E-2</v>
      </c>
      <c r="X1008" s="2">
        <v>8.4501000000000007E-2</v>
      </c>
      <c r="Y1008">
        <v>0.03</v>
      </c>
      <c r="Z1008">
        <v>0.13</v>
      </c>
      <c r="AA1008" s="20">
        <f>Table3[[#This Row],[APS]]*Table3[[#This Row],[PrimaComercial Anual]]</f>
        <v>398.51664</v>
      </c>
      <c r="AB1008" s="8">
        <f>Table3[[#This Row],[PrimaComercial Anual]]*Table3[[#This Row],[Recargo adicional]]</f>
        <v>2275.3415268000003</v>
      </c>
      <c r="AC1008" s="8">
        <f>Table3[[#This Row],[PrimaComercial Anual]]*Table3[[#This Row],[IT]]</f>
        <v>807.80399999999997</v>
      </c>
      <c r="AD1008" s="8">
        <f>Table3[[#This Row],[PrimaComercial Anual]]*Table3[[#This Row],[IVA]]</f>
        <v>3500.4839999999999</v>
      </c>
      <c r="AE1008" s="15">
        <f>Table3[[#This Row],[PrimaComercial Anual Asistencia]]</f>
        <v>26926.799999999999</v>
      </c>
      <c r="AG1008">
        <v>26926.799999999999</v>
      </c>
    </row>
    <row r="1009" spans="1:33" x14ac:dyDescent="0.25">
      <c r="A1009" t="s">
        <v>17</v>
      </c>
      <c r="B1009">
        <v>700002</v>
      </c>
      <c r="C1009">
        <v>83</v>
      </c>
      <c r="D1009" s="2">
        <f>Table3[[#This Row],[PrimaTécnica]]-Table3[[#This Row],[PrimaTécnica]]*SUM(Table3[[#This Row],[Gastos Adm]:[Cobranza]])</f>
        <v>12288.327375916797</v>
      </c>
      <c r="E1009">
        <v>0</v>
      </c>
      <c r="F1009">
        <v>0.15</v>
      </c>
      <c r="G1009">
        <v>0.05</v>
      </c>
      <c r="H1009">
        <v>0.01</v>
      </c>
      <c r="I1009">
        <v>0.01</v>
      </c>
      <c r="J1009" s="8">
        <f>Table3[[#This Row],[PrimaTécnica]]*Table3[[#This Row],[Gastos Adm]]</f>
        <v>2363.1398799839994</v>
      </c>
      <c r="K1009" s="8">
        <f>Table3[[#This Row],[PrimaTécnica]]*Table3[[#This Row],[Utilidad]]</f>
        <v>787.71329332799996</v>
      </c>
      <c r="L1009" s="8">
        <f>Table3[[#This Row],[PrimaTécnica]]*Table3[[#This Row],[Marketing]]</f>
        <v>157.54265866559999</v>
      </c>
      <c r="M1009" s="8">
        <f>Table3[[#This Row],[PrimaTécnica]]*Table3[[#This Row],[Cobranza]]</f>
        <v>157.54265866559999</v>
      </c>
      <c r="N100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09">
        <v>21.84</v>
      </c>
      <c r="P1009">
        <v>54.6</v>
      </c>
      <c r="Q1009">
        <v>80.64</v>
      </c>
      <c r="R1009">
        <v>44.377200000000002</v>
      </c>
      <c r="S1009">
        <v>0.2</v>
      </c>
      <c r="T1009">
        <v>0.02</v>
      </c>
      <c r="U1009" s="8">
        <f>Table3[[#This Row],[PrimaNeta]]*Table3[[#This Row],[Comisión]]</f>
        <v>3988.93076664</v>
      </c>
      <c r="V1009" s="15">
        <f>Table3[[#This Row],[PrimaComercial Anual]]-Table3[[#This Row],[PrimaComercial Anual]]*SUM(Table3[[#This Row],[APS]:[IVA]])</f>
        <v>19944.653833199998</v>
      </c>
      <c r="W1009" s="2">
        <v>1.4800000000000001E-2</v>
      </c>
      <c r="X1009" s="2">
        <v>8.4501000000000007E-2</v>
      </c>
      <c r="Y1009">
        <v>0.03</v>
      </c>
      <c r="Z1009">
        <v>0.13</v>
      </c>
      <c r="AA1009" s="20">
        <f>Table3[[#This Row],[APS]]*Table3[[#This Row],[PrimaComercial Anual]]</f>
        <v>398.51664</v>
      </c>
      <c r="AB1009" s="8">
        <f>Table3[[#This Row],[PrimaComercial Anual]]*Table3[[#This Row],[Recargo adicional]]</f>
        <v>2275.3415268000003</v>
      </c>
      <c r="AC1009" s="8">
        <f>Table3[[#This Row],[PrimaComercial Anual]]*Table3[[#This Row],[IT]]</f>
        <v>807.80399999999997</v>
      </c>
      <c r="AD1009" s="8">
        <f>Table3[[#This Row],[PrimaComercial Anual]]*Table3[[#This Row],[IVA]]</f>
        <v>3500.4839999999999</v>
      </c>
      <c r="AE1009" s="15">
        <f>Table3[[#This Row],[PrimaComercial Anual Asistencia]]</f>
        <v>26926.799999999999</v>
      </c>
      <c r="AG1009">
        <v>26926.799999999999</v>
      </c>
    </row>
    <row r="1010" spans="1:33" x14ac:dyDescent="0.25">
      <c r="A1010" t="s">
        <v>17</v>
      </c>
      <c r="B1010">
        <v>700002</v>
      </c>
      <c r="C1010">
        <v>84</v>
      </c>
      <c r="D1010" s="2">
        <f>Table3[[#This Row],[PrimaTécnica]]-Table3[[#This Row],[PrimaTécnica]]*SUM(Table3[[#This Row],[Gastos Adm]:[Cobranza]])</f>
        <v>12288.327375916797</v>
      </c>
      <c r="E1010">
        <v>0</v>
      </c>
      <c r="F1010">
        <v>0.15</v>
      </c>
      <c r="G1010">
        <v>0.05</v>
      </c>
      <c r="H1010">
        <v>0.01</v>
      </c>
      <c r="I1010">
        <v>0.01</v>
      </c>
      <c r="J1010" s="8">
        <f>Table3[[#This Row],[PrimaTécnica]]*Table3[[#This Row],[Gastos Adm]]</f>
        <v>2363.1398799839994</v>
      </c>
      <c r="K1010" s="8">
        <f>Table3[[#This Row],[PrimaTécnica]]*Table3[[#This Row],[Utilidad]]</f>
        <v>787.71329332799996</v>
      </c>
      <c r="L1010" s="8">
        <f>Table3[[#This Row],[PrimaTécnica]]*Table3[[#This Row],[Marketing]]</f>
        <v>157.54265866559999</v>
      </c>
      <c r="M1010" s="8">
        <f>Table3[[#This Row],[PrimaTécnica]]*Table3[[#This Row],[Cobranza]]</f>
        <v>157.54265866559999</v>
      </c>
      <c r="N101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10">
        <v>21.84</v>
      </c>
      <c r="P1010">
        <v>54.6</v>
      </c>
      <c r="Q1010">
        <v>80.64</v>
      </c>
      <c r="R1010">
        <v>44.377200000000002</v>
      </c>
      <c r="S1010">
        <v>0.2</v>
      </c>
      <c r="T1010">
        <v>0.02</v>
      </c>
      <c r="U1010" s="8">
        <f>Table3[[#This Row],[PrimaNeta]]*Table3[[#This Row],[Comisión]]</f>
        <v>3988.93076664</v>
      </c>
      <c r="V1010" s="15">
        <f>Table3[[#This Row],[PrimaComercial Anual]]-Table3[[#This Row],[PrimaComercial Anual]]*SUM(Table3[[#This Row],[APS]:[IVA]])</f>
        <v>19944.653833199998</v>
      </c>
      <c r="W1010" s="2">
        <v>1.4800000000000001E-2</v>
      </c>
      <c r="X1010" s="2">
        <v>8.4501000000000007E-2</v>
      </c>
      <c r="Y1010">
        <v>0.03</v>
      </c>
      <c r="Z1010">
        <v>0.13</v>
      </c>
      <c r="AA1010" s="20">
        <f>Table3[[#This Row],[APS]]*Table3[[#This Row],[PrimaComercial Anual]]</f>
        <v>398.51664</v>
      </c>
      <c r="AB1010" s="8">
        <f>Table3[[#This Row],[PrimaComercial Anual]]*Table3[[#This Row],[Recargo adicional]]</f>
        <v>2275.3415268000003</v>
      </c>
      <c r="AC1010" s="8">
        <f>Table3[[#This Row],[PrimaComercial Anual]]*Table3[[#This Row],[IT]]</f>
        <v>807.80399999999997</v>
      </c>
      <c r="AD1010" s="8">
        <f>Table3[[#This Row],[PrimaComercial Anual]]*Table3[[#This Row],[IVA]]</f>
        <v>3500.4839999999999</v>
      </c>
      <c r="AE1010" s="15">
        <f>Table3[[#This Row],[PrimaComercial Anual Asistencia]]</f>
        <v>26926.799999999999</v>
      </c>
      <c r="AG1010">
        <v>26926.799999999999</v>
      </c>
    </row>
    <row r="1011" spans="1:33" x14ac:dyDescent="0.25">
      <c r="A1011" t="s">
        <v>17</v>
      </c>
      <c r="B1011">
        <v>700002</v>
      </c>
      <c r="C1011">
        <v>85</v>
      </c>
      <c r="D1011" s="2">
        <f>Table3[[#This Row],[PrimaTécnica]]-Table3[[#This Row],[PrimaTécnica]]*SUM(Table3[[#This Row],[Gastos Adm]:[Cobranza]])</f>
        <v>12288.327375916797</v>
      </c>
      <c r="E1011">
        <v>0</v>
      </c>
      <c r="F1011">
        <v>0.15</v>
      </c>
      <c r="G1011">
        <v>0.05</v>
      </c>
      <c r="H1011">
        <v>0.01</v>
      </c>
      <c r="I1011">
        <v>0.01</v>
      </c>
      <c r="J1011" s="8">
        <f>Table3[[#This Row],[PrimaTécnica]]*Table3[[#This Row],[Gastos Adm]]</f>
        <v>2363.1398799839994</v>
      </c>
      <c r="K1011" s="8">
        <f>Table3[[#This Row],[PrimaTécnica]]*Table3[[#This Row],[Utilidad]]</f>
        <v>787.71329332799996</v>
      </c>
      <c r="L1011" s="8">
        <f>Table3[[#This Row],[PrimaTécnica]]*Table3[[#This Row],[Marketing]]</f>
        <v>157.54265866559999</v>
      </c>
      <c r="M1011" s="8">
        <f>Table3[[#This Row],[PrimaTécnica]]*Table3[[#This Row],[Cobranza]]</f>
        <v>157.54265866559999</v>
      </c>
      <c r="N101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11">
        <v>21.84</v>
      </c>
      <c r="P1011">
        <v>54.6</v>
      </c>
      <c r="Q1011">
        <v>80.64</v>
      </c>
      <c r="R1011">
        <v>44.377200000000002</v>
      </c>
      <c r="S1011">
        <v>0.2</v>
      </c>
      <c r="T1011">
        <v>0.02</v>
      </c>
      <c r="U1011" s="8">
        <f>Table3[[#This Row],[PrimaNeta]]*Table3[[#This Row],[Comisión]]</f>
        <v>3988.93076664</v>
      </c>
      <c r="V1011" s="15">
        <f>Table3[[#This Row],[PrimaComercial Anual]]-Table3[[#This Row],[PrimaComercial Anual]]*SUM(Table3[[#This Row],[APS]:[IVA]])</f>
        <v>19944.653833199998</v>
      </c>
      <c r="W1011" s="2">
        <v>1.4800000000000001E-2</v>
      </c>
      <c r="X1011" s="2">
        <v>8.4501000000000007E-2</v>
      </c>
      <c r="Y1011">
        <v>0.03</v>
      </c>
      <c r="Z1011">
        <v>0.13</v>
      </c>
      <c r="AA1011" s="20">
        <f>Table3[[#This Row],[APS]]*Table3[[#This Row],[PrimaComercial Anual]]</f>
        <v>398.51664</v>
      </c>
      <c r="AB1011" s="8">
        <f>Table3[[#This Row],[PrimaComercial Anual]]*Table3[[#This Row],[Recargo adicional]]</f>
        <v>2275.3415268000003</v>
      </c>
      <c r="AC1011" s="8">
        <f>Table3[[#This Row],[PrimaComercial Anual]]*Table3[[#This Row],[IT]]</f>
        <v>807.80399999999997</v>
      </c>
      <c r="AD1011" s="8">
        <f>Table3[[#This Row],[PrimaComercial Anual]]*Table3[[#This Row],[IVA]]</f>
        <v>3500.4839999999999</v>
      </c>
      <c r="AE1011" s="15">
        <f>Table3[[#This Row],[PrimaComercial Anual Asistencia]]</f>
        <v>26926.799999999999</v>
      </c>
      <c r="AG1011">
        <v>26926.799999999999</v>
      </c>
    </row>
    <row r="1012" spans="1:33" x14ac:dyDescent="0.25">
      <c r="A1012" t="s">
        <v>17</v>
      </c>
      <c r="B1012">
        <v>700002</v>
      </c>
      <c r="C1012">
        <v>86</v>
      </c>
      <c r="D1012" s="2">
        <f>Table3[[#This Row],[PrimaTécnica]]-Table3[[#This Row],[PrimaTécnica]]*SUM(Table3[[#This Row],[Gastos Adm]:[Cobranza]])</f>
        <v>12288.327375916797</v>
      </c>
      <c r="E1012">
        <v>0</v>
      </c>
      <c r="F1012">
        <v>0.15</v>
      </c>
      <c r="G1012">
        <v>0.05</v>
      </c>
      <c r="H1012">
        <v>0.01</v>
      </c>
      <c r="I1012">
        <v>0.01</v>
      </c>
      <c r="J1012" s="8">
        <f>Table3[[#This Row],[PrimaTécnica]]*Table3[[#This Row],[Gastos Adm]]</f>
        <v>2363.1398799839994</v>
      </c>
      <c r="K1012" s="8">
        <f>Table3[[#This Row],[PrimaTécnica]]*Table3[[#This Row],[Utilidad]]</f>
        <v>787.71329332799996</v>
      </c>
      <c r="L1012" s="8">
        <f>Table3[[#This Row],[PrimaTécnica]]*Table3[[#This Row],[Marketing]]</f>
        <v>157.54265866559999</v>
      </c>
      <c r="M1012" s="8">
        <f>Table3[[#This Row],[PrimaTécnica]]*Table3[[#This Row],[Cobranza]]</f>
        <v>157.54265866559999</v>
      </c>
      <c r="N101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12">
        <v>21.84</v>
      </c>
      <c r="P1012">
        <v>54.6</v>
      </c>
      <c r="Q1012">
        <v>80.64</v>
      </c>
      <c r="R1012">
        <v>44.377200000000002</v>
      </c>
      <c r="S1012">
        <v>0.2</v>
      </c>
      <c r="T1012">
        <v>0.02</v>
      </c>
      <c r="U1012" s="8">
        <f>Table3[[#This Row],[PrimaNeta]]*Table3[[#This Row],[Comisión]]</f>
        <v>3988.93076664</v>
      </c>
      <c r="V1012" s="15">
        <f>Table3[[#This Row],[PrimaComercial Anual]]-Table3[[#This Row],[PrimaComercial Anual]]*SUM(Table3[[#This Row],[APS]:[IVA]])</f>
        <v>19944.653833199998</v>
      </c>
      <c r="W1012" s="2">
        <v>1.4800000000000001E-2</v>
      </c>
      <c r="X1012" s="2">
        <v>8.4501000000000007E-2</v>
      </c>
      <c r="Y1012">
        <v>0.03</v>
      </c>
      <c r="Z1012">
        <v>0.13</v>
      </c>
      <c r="AA1012" s="20">
        <f>Table3[[#This Row],[APS]]*Table3[[#This Row],[PrimaComercial Anual]]</f>
        <v>398.51664</v>
      </c>
      <c r="AB1012" s="8">
        <f>Table3[[#This Row],[PrimaComercial Anual]]*Table3[[#This Row],[Recargo adicional]]</f>
        <v>2275.3415268000003</v>
      </c>
      <c r="AC1012" s="8">
        <f>Table3[[#This Row],[PrimaComercial Anual]]*Table3[[#This Row],[IT]]</f>
        <v>807.80399999999997</v>
      </c>
      <c r="AD1012" s="8">
        <f>Table3[[#This Row],[PrimaComercial Anual]]*Table3[[#This Row],[IVA]]</f>
        <v>3500.4839999999999</v>
      </c>
      <c r="AE1012" s="15">
        <f>Table3[[#This Row],[PrimaComercial Anual Asistencia]]</f>
        <v>26926.799999999999</v>
      </c>
      <c r="AG1012">
        <v>26926.799999999999</v>
      </c>
    </row>
    <row r="1013" spans="1:33" x14ac:dyDescent="0.25">
      <c r="A1013" t="s">
        <v>17</v>
      </c>
      <c r="B1013">
        <v>700002</v>
      </c>
      <c r="C1013">
        <v>87</v>
      </c>
      <c r="D1013" s="2">
        <f>Table3[[#This Row],[PrimaTécnica]]-Table3[[#This Row],[PrimaTécnica]]*SUM(Table3[[#This Row],[Gastos Adm]:[Cobranza]])</f>
        <v>12288.327375916797</v>
      </c>
      <c r="E1013">
        <v>0</v>
      </c>
      <c r="F1013">
        <v>0.15</v>
      </c>
      <c r="G1013">
        <v>0.05</v>
      </c>
      <c r="H1013">
        <v>0.01</v>
      </c>
      <c r="I1013">
        <v>0.01</v>
      </c>
      <c r="J1013" s="8">
        <f>Table3[[#This Row],[PrimaTécnica]]*Table3[[#This Row],[Gastos Adm]]</f>
        <v>2363.1398799839994</v>
      </c>
      <c r="K1013" s="8">
        <f>Table3[[#This Row],[PrimaTécnica]]*Table3[[#This Row],[Utilidad]]</f>
        <v>787.71329332799996</v>
      </c>
      <c r="L1013" s="8">
        <f>Table3[[#This Row],[PrimaTécnica]]*Table3[[#This Row],[Marketing]]</f>
        <v>157.54265866559999</v>
      </c>
      <c r="M1013" s="8">
        <f>Table3[[#This Row],[PrimaTécnica]]*Table3[[#This Row],[Cobranza]]</f>
        <v>157.54265866559999</v>
      </c>
      <c r="N101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13">
        <v>21.84</v>
      </c>
      <c r="P1013">
        <v>54.6</v>
      </c>
      <c r="Q1013">
        <v>80.64</v>
      </c>
      <c r="R1013">
        <v>44.377200000000002</v>
      </c>
      <c r="S1013">
        <v>0.2</v>
      </c>
      <c r="T1013">
        <v>0.02</v>
      </c>
      <c r="U1013" s="8">
        <f>Table3[[#This Row],[PrimaNeta]]*Table3[[#This Row],[Comisión]]</f>
        <v>3988.93076664</v>
      </c>
      <c r="V1013" s="15">
        <f>Table3[[#This Row],[PrimaComercial Anual]]-Table3[[#This Row],[PrimaComercial Anual]]*SUM(Table3[[#This Row],[APS]:[IVA]])</f>
        <v>19944.653833199998</v>
      </c>
      <c r="W1013" s="2">
        <v>1.4800000000000001E-2</v>
      </c>
      <c r="X1013" s="2">
        <v>8.4501000000000007E-2</v>
      </c>
      <c r="Y1013">
        <v>0.03</v>
      </c>
      <c r="Z1013">
        <v>0.13</v>
      </c>
      <c r="AA1013" s="20">
        <f>Table3[[#This Row],[APS]]*Table3[[#This Row],[PrimaComercial Anual]]</f>
        <v>398.51664</v>
      </c>
      <c r="AB1013" s="8">
        <f>Table3[[#This Row],[PrimaComercial Anual]]*Table3[[#This Row],[Recargo adicional]]</f>
        <v>2275.3415268000003</v>
      </c>
      <c r="AC1013" s="8">
        <f>Table3[[#This Row],[PrimaComercial Anual]]*Table3[[#This Row],[IT]]</f>
        <v>807.80399999999997</v>
      </c>
      <c r="AD1013" s="8">
        <f>Table3[[#This Row],[PrimaComercial Anual]]*Table3[[#This Row],[IVA]]</f>
        <v>3500.4839999999999</v>
      </c>
      <c r="AE1013" s="15">
        <f>Table3[[#This Row],[PrimaComercial Anual Asistencia]]</f>
        <v>26926.799999999999</v>
      </c>
      <c r="AG1013">
        <v>26926.799999999999</v>
      </c>
    </row>
    <row r="1014" spans="1:33" x14ac:dyDescent="0.25">
      <c r="A1014" t="s">
        <v>17</v>
      </c>
      <c r="B1014">
        <v>700002</v>
      </c>
      <c r="C1014">
        <v>88</v>
      </c>
      <c r="D1014" s="2">
        <f>Table3[[#This Row],[PrimaTécnica]]-Table3[[#This Row],[PrimaTécnica]]*SUM(Table3[[#This Row],[Gastos Adm]:[Cobranza]])</f>
        <v>12288.327375916797</v>
      </c>
      <c r="E1014">
        <v>0</v>
      </c>
      <c r="F1014">
        <v>0.15</v>
      </c>
      <c r="G1014">
        <v>0.05</v>
      </c>
      <c r="H1014">
        <v>0.01</v>
      </c>
      <c r="I1014">
        <v>0.01</v>
      </c>
      <c r="J1014" s="8">
        <f>Table3[[#This Row],[PrimaTécnica]]*Table3[[#This Row],[Gastos Adm]]</f>
        <v>2363.1398799839994</v>
      </c>
      <c r="K1014" s="8">
        <f>Table3[[#This Row],[PrimaTécnica]]*Table3[[#This Row],[Utilidad]]</f>
        <v>787.71329332799996</v>
      </c>
      <c r="L1014" s="8">
        <f>Table3[[#This Row],[PrimaTécnica]]*Table3[[#This Row],[Marketing]]</f>
        <v>157.54265866559999</v>
      </c>
      <c r="M1014" s="8">
        <f>Table3[[#This Row],[PrimaTécnica]]*Table3[[#This Row],[Cobranza]]</f>
        <v>157.54265866559999</v>
      </c>
      <c r="N101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14">
        <v>21.84</v>
      </c>
      <c r="P1014">
        <v>54.6</v>
      </c>
      <c r="Q1014">
        <v>80.64</v>
      </c>
      <c r="R1014">
        <v>44.377200000000002</v>
      </c>
      <c r="S1014">
        <v>0.2</v>
      </c>
      <c r="T1014">
        <v>0.02</v>
      </c>
      <c r="U1014" s="8">
        <f>Table3[[#This Row],[PrimaNeta]]*Table3[[#This Row],[Comisión]]</f>
        <v>3988.93076664</v>
      </c>
      <c r="V1014" s="15">
        <f>Table3[[#This Row],[PrimaComercial Anual]]-Table3[[#This Row],[PrimaComercial Anual]]*SUM(Table3[[#This Row],[APS]:[IVA]])</f>
        <v>19944.653833199998</v>
      </c>
      <c r="W1014" s="2">
        <v>1.4800000000000001E-2</v>
      </c>
      <c r="X1014" s="2">
        <v>8.4501000000000007E-2</v>
      </c>
      <c r="Y1014">
        <v>0.03</v>
      </c>
      <c r="Z1014">
        <v>0.13</v>
      </c>
      <c r="AA1014" s="20">
        <f>Table3[[#This Row],[APS]]*Table3[[#This Row],[PrimaComercial Anual]]</f>
        <v>398.51664</v>
      </c>
      <c r="AB1014" s="8">
        <f>Table3[[#This Row],[PrimaComercial Anual]]*Table3[[#This Row],[Recargo adicional]]</f>
        <v>2275.3415268000003</v>
      </c>
      <c r="AC1014" s="8">
        <f>Table3[[#This Row],[PrimaComercial Anual]]*Table3[[#This Row],[IT]]</f>
        <v>807.80399999999997</v>
      </c>
      <c r="AD1014" s="8">
        <f>Table3[[#This Row],[PrimaComercial Anual]]*Table3[[#This Row],[IVA]]</f>
        <v>3500.4839999999999</v>
      </c>
      <c r="AE1014" s="15">
        <f>Table3[[#This Row],[PrimaComercial Anual Asistencia]]</f>
        <v>26926.799999999999</v>
      </c>
      <c r="AG1014">
        <v>26926.799999999999</v>
      </c>
    </row>
    <row r="1015" spans="1:33" x14ac:dyDescent="0.25">
      <c r="A1015" t="s">
        <v>17</v>
      </c>
      <c r="B1015">
        <v>700002</v>
      </c>
      <c r="C1015">
        <v>89</v>
      </c>
      <c r="D1015" s="2">
        <f>Table3[[#This Row],[PrimaTécnica]]-Table3[[#This Row],[PrimaTécnica]]*SUM(Table3[[#This Row],[Gastos Adm]:[Cobranza]])</f>
        <v>12288.327375916797</v>
      </c>
      <c r="E1015">
        <v>0</v>
      </c>
      <c r="F1015">
        <v>0.15</v>
      </c>
      <c r="G1015">
        <v>0.05</v>
      </c>
      <c r="H1015">
        <v>0.01</v>
      </c>
      <c r="I1015">
        <v>0.01</v>
      </c>
      <c r="J1015" s="8">
        <f>Table3[[#This Row],[PrimaTécnica]]*Table3[[#This Row],[Gastos Adm]]</f>
        <v>2363.1398799839994</v>
      </c>
      <c r="K1015" s="8">
        <f>Table3[[#This Row],[PrimaTécnica]]*Table3[[#This Row],[Utilidad]]</f>
        <v>787.71329332799996</v>
      </c>
      <c r="L1015" s="8">
        <f>Table3[[#This Row],[PrimaTécnica]]*Table3[[#This Row],[Marketing]]</f>
        <v>157.54265866559999</v>
      </c>
      <c r="M1015" s="8">
        <f>Table3[[#This Row],[PrimaTécnica]]*Table3[[#This Row],[Cobranza]]</f>
        <v>157.54265866559999</v>
      </c>
      <c r="N101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15">
        <v>21.84</v>
      </c>
      <c r="P1015">
        <v>54.6</v>
      </c>
      <c r="Q1015">
        <v>80.64</v>
      </c>
      <c r="R1015">
        <v>44.377200000000002</v>
      </c>
      <c r="S1015">
        <v>0.2</v>
      </c>
      <c r="T1015">
        <v>0.02</v>
      </c>
      <c r="U1015" s="8">
        <f>Table3[[#This Row],[PrimaNeta]]*Table3[[#This Row],[Comisión]]</f>
        <v>3988.93076664</v>
      </c>
      <c r="V1015" s="15">
        <f>Table3[[#This Row],[PrimaComercial Anual]]-Table3[[#This Row],[PrimaComercial Anual]]*SUM(Table3[[#This Row],[APS]:[IVA]])</f>
        <v>19944.653833199998</v>
      </c>
      <c r="W1015" s="2">
        <v>1.4800000000000001E-2</v>
      </c>
      <c r="X1015" s="2">
        <v>8.4501000000000007E-2</v>
      </c>
      <c r="Y1015">
        <v>0.03</v>
      </c>
      <c r="Z1015">
        <v>0.13</v>
      </c>
      <c r="AA1015" s="20">
        <f>Table3[[#This Row],[APS]]*Table3[[#This Row],[PrimaComercial Anual]]</f>
        <v>398.51664</v>
      </c>
      <c r="AB1015" s="8">
        <f>Table3[[#This Row],[PrimaComercial Anual]]*Table3[[#This Row],[Recargo adicional]]</f>
        <v>2275.3415268000003</v>
      </c>
      <c r="AC1015" s="8">
        <f>Table3[[#This Row],[PrimaComercial Anual]]*Table3[[#This Row],[IT]]</f>
        <v>807.80399999999997</v>
      </c>
      <c r="AD1015" s="8">
        <f>Table3[[#This Row],[PrimaComercial Anual]]*Table3[[#This Row],[IVA]]</f>
        <v>3500.4839999999999</v>
      </c>
      <c r="AE1015" s="15">
        <f>Table3[[#This Row],[PrimaComercial Anual Asistencia]]</f>
        <v>26926.799999999999</v>
      </c>
      <c r="AG1015">
        <v>26926.799999999999</v>
      </c>
    </row>
    <row r="1016" spans="1:33" x14ac:dyDescent="0.25">
      <c r="A1016" t="s">
        <v>17</v>
      </c>
      <c r="B1016">
        <v>700002</v>
      </c>
      <c r="C1016">
        <v>90</v>
      </c>
      <c r="D1016" s="2">
        <f>Table3[[#This Row],[PrimaTécnica]]-Table3[[#This Row],[PrimaTécnica]]*SUM(Table3[[#This Row],[Gastos Adm]:[Cobranza]])</f>
        <v>12288.327375916797</v>
      </c>
      <c r="E1016">
        <v>0</v>
      </c>
      <c r="F1016">
        <v>0.15</v>
      </c>
      <c r="G1016">
        <v>0.05</v>
      </c>
      <c r="H1016">
        <v>0.01</v>
      </c>
      <c r="I1016">
        <v>0.01</v>
      </c>
      <c r="J1016" s="8">
        <f>Table3[[#This Row],[PrimaTécnica]]*Table3[[#This Row],[Gastos Adm]]</f>
        <v>2363.1398799839994</v>
      </c>
      <c r="K1016" s="8">
        <f>Table3[[#This Row],[PrimaTécnica]]*Table3[[#This Row],[Utilidad]]</f>
        <v>787.71329332799996</v>
      </c>
      <c r="L1016" s="8">
        <f>Table3[[#This Row],[PrimaTécnica]]*Table3[[#This Row],[Marketing]]</f>
        <v>157.54265866559999</v>
      </c>
      <c r="M1016" s="8">
        <f>Table3[[#This Row],[PrimaTécnica]]*Table3[[#This Row],[Cobranza]]</f>
        <v>157.54265866559999</v>
      </c>
      <c r="N101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16">
        <v>21.84</v>
      </c>
      <c r="P1016">
        <v>54.6</v>
      </c>
      <c r="Q1016">
        <v>80.64</v>
      </c>
      <c r="R1016">
        <v>44.377200000000002</v>
      </c>
      <c r="S1016">
        <v>0.2</v>
      </c>
      <c r="T1016">
        <v>0.02</v>
      </c>
      <c r="U1016" s="8">
        <f>Table3[[#This Row],[PrimaNeta]]*Table3[[#This Row],[Comisión]]</f>
        <v>3988.93076664</v>
      </c>
      <c r="V1016" s="15">
        <f>Table3[[#This Row],[PrimaComercial Anual]]-Table3[[#This Row],[PrimaComercial Anual]]*SUM(Table3[[#This Row],[APS]:[IVA]])</f>
        <v>19944.653833199998</v>
      </c>
      <c r="W1016" s="2">
        <v>1.4800000000000001E-2</v>
      </c>
      <c r="X1016" s="2">
        <v>8.4501000000000007E-2</v>
      </c>
      <c r="Y1016">
        <v>0.03</v>
      </c>
      <c r="Z1016">
        <v>0.13</v>
      </c>
      <c r="AA1016" s="20">
        <f>Table3[[#This Row],[APS]]*Table3[[#This Row],[PrimaComercial Anual]]</f>
        <v>398.51664</v>
      </c>
      <c r="AB1016" s="8">
        <f>Table3[[#This Row],[PrimaComercial Anual]]*Table3[[#This Row],[Recargo adicional]]</f>
        <v>2275.3415268000003</v>
      </c>
      <c r="AC1016" s="8">
        <f>Table3[[#This Row],[PrimaComercial Anual]]*Table3[[#This Row],[IT]]</f>
        <v>807.80399999999997</v>
      </c>
      <c r="AD1016" s="8">
        <f>Table3[[#This Row],[PrimaComercial Anual]]*Table3[[#This Row],[IVA]]</f>
        <v>3500.4839999999999</v>
      </c>
      <c r="AE1016" s="15">
        <f>Table3[[#This Row],[PrimaComercial Anual Asistencia]]</f>
        <v>26926.799999999999</v>
      </c>
      <c r="AG1016">
        <v>26926.799999999999</v>
      </c>
    </row>
    <row r="1017" spans="1:33" x14ac:dyDescent="0.25">
      <c r="A1017" t="s">
        <v>17</v>
      </c>
      <c r="B1017">
        <v>700002</v>
      </c>
      <c r="C1017">
        <v>91</v>
      </c>
      <c r="D1017" s="2">
        <f>Table3[[#This Row],[PrimaTécnica]]-Table3[[#This Row],[PrimaTécnica]]*SUM(Table3[[#This Row],[Gastos Adm]:[Cobranza]])</f>
        <v>12288.327375916797</v>
      </c>
      <c r="E1017">
        <v>0</v>
      </c>
      <c r="F1017">
        <v>0.15</v>
      </c>
      <c r="G1017">
        <v>0.05</v>
      </c>
      <c r="H1017">
        <v>0.01</v>
      </c>
      <c r="I1017">
        <v>0.01</v>
      </c>
      <c r="J1017" s="8">
        <f>Table3[[#This Row],[PrimaTécnica]]*Table3[[#This Row],[Gastos Adm]]</f>
        <v>2363.1398799839994</v>
      </c>
      <c r="K1017" s="8">
        <f>Table3[[#This Row],[PrimaTécnica]]*Table3[[#This Row],[Utilidad]]</f>
        <v>787.71329332799996</v>
      </c>
      <c r="L1017" s="8">
        <f>Table3[[#This Row],[PrimaTécnica]]*Table3[[#This Row],[Marketing]]</f>
        <v>157.54265866559999</v>
      </c>
      <c r="M1017" s="8">
        <f>Table3[[#This Row],[PrimaTécnica]]*Table3[[#This Row],[Cobranza]]</f>
        <v>157.54265866559999</v>
      </c>
      <c r="N101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17">
        <v>21.84</v>
      </c>
      <c r="P1017">
        <v>54.6</v>
      </c>
      <c r="Q1017">
        <v>80.64</v>
      </c>
      <c r="R1017">
        <v>44.377200000000002</v>
      </c>
      <c r="S1017">
        <v>0.2</v>
      </c>
      <c r="T1017">
        <v>0.02</v>
      </c>
      <c r="U1017" s="8">
        <f>Table3[[#This Row],[PrimaNeta]]*Table3[[#This Row],[Comisión]]</f>
        <v>3988.93076664</v>
      </c>
      <c r="V1017" s="15">
        <f>Table3[[#This Row],[PrimaComercial Anual]]-Table3[[#This Row],[PrimaComercial Anual]]*SUM(Table3[[#This Row],[APS]:[IVA]])</f>
        <v>19944.653833199998</v>
      </c>
      <c r="W1017" s="2">
        <v>1.4800000000000001E-2</v>
      </c>
      <c r="X1017" s="2">
        <v>8.4501000000000007E-2</v>
      </c>
      <c r="Y1017">
        <v>0.03</v>
      </c>
      <c r="Z1017">
        <v>0.13</v>
      </c>
      <c r="AA1017" s="20">
        <f>Table3[[#This Row],[APS]]*Table3[[#This Row],[PrimaComercial Anual]]</f>
        <v>398.51664</v>
      </c>
      <c r="AB1017" s="8">
        <f>Table3[[#This Row],[PrimaComercial Anual]]*Table3[[#This Row],[Recargo adicional]]</f>
        <v>2275.3415268000003</v>
      </c>
      <c r="AC1017" s="8">
        <f>Table3[[#This Row],[PrimaComercial Anual]]*Table3[[#This Row],[IT]]</f>
        <v>807.80399999999997</v>
      </c>
      <c r="AD1017" s="8">
        <f>Table3[[#This Row],[PrimaComercial Anual]]*Table3[[#This Row],[IVA]]</f>
        <v>3500.4839999999999</v>
      </c>
      <c r="AE1017" s="15">
        <f>Table3[[#This Row],[PrimaComercial Anual Asistencia]]</f>
        <v>26926.799999999999</v>
      </c>
      <c r="AG1017">
        <v>26926.799999999999</v>
      </c>
    </row>
    <row r="1018" spans="1:33" x14ac:dyDescent="0.25">
      <c r="A1018" t="s">
        <v>17</v>
      </c>
      <c r="B1018">
        <v>700002</v>
      </c>
      <c r="C1018">
        <v>92</v>
      </c>
      <c r="D1018" s="2">
        <f>Table3[[#This Row],[PrimaTécnica]]-Table3[[#This Row],[PrimaTécnica]]*SUM(Table3[[#This Row],[Gastos Adm]:[Cobranza]])</f>
        <v>12288.327375916797</v>
      </c>
      <c r="E1018">
        <v>0</v>
      </c>
      <c r="F1018">
        <v>0.15</v>
      </c>
      <c r="G1018">
        <v>0.05</v>
      </c>
      <c r="H1018">
        <v>0.01</v>
      </c>
      <c r="I1018">
        <v>0.01</v>
      </c>
      <c r="J1018" s="8">
        <f>Table3[[#This Row],[PrimaTécnica]]*Table3[[#This Row],[Gastos Adm]]</f>
        <v>2363.1398799839994</v>
      </c>
      <c r="K1018" s="8">
        <f>Table3[[#This Row],[PrimaTécnica]]*Table3[[#This Row],[Utilidad]]</f>
        <v>787.71329332799996</v>
      </c>
      <c r="L1018" s="8">
        <f>Table3[[#This Row],[PrimaTécnica]]*Table3[[#This Row],[Marketing]]</f>
        <v>157.54265866559999</v>
      </c>
      <c r="M1018" s="8">
        <f>Table3[[#This Row],[PrimaTécnica]]*Table3[[#This Row],[Cobranza]]</f>
        <v>157.54265866559999</v>
      </c>
      <c r="N101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18">
        <v>21.84</v>
      </c>
      <c r="P1018">
        <v>54.6</v>
      </c>
      <c r="Q1018">
        <v>80.64</v>
      </c>
      <c r="R1018">
        <v>44.377200000000002</v>
      </c>
      <c r="S1018">
        <v>0.2</v>
      </c>
      <c r="T1018">
        <v>0.02</v>
      </c>
      <c r="U1018" s="8">
        <f>Table3[[#This Row],[PrimaNeta]]*Table3[[#This Row],[Comisión]]</f>
        <v>3988.93076664</v>
      </c>
      <c r="V1018" s="15">
        <f>Table3[[#This Row],[PrimaComercial Anual]]-Table3[[#This Row],[PrimaComercial Anual]]*SUM(Table3[[#This Row],[APS]:[IVA]])</f>
        <v>19944.653833199998</v>
      </c>
      <c r="W1018" s="2">
        <v>1.4800000000000001E-2</v>
      </c>
      <c r="X1018" s="2">
        <v>8.4501000000000007E-2</v>
      </c>
      <c r="Y1018">
        <v>0.03</v>
      </c>
      <c r="Z1018">
        <v>0.13</v>
      </c>
      <c r="AA1018" s="20">
        <f>Table3[[#This Row],[APS]]*Table3[[#This Row],[PrimaComercial Anual]]</f>
        <v>398.51664</v>
      </c>
      <c r="AB1018" s="8">
        <f>Table3[[#This Row],[PrimaComercial Anual]]*Table3[[#This Row],[Recargo adicional]]</f>
        <v>2275.3415268000003</v>
      </c>
      <c r="AC1018" s="8">
        <f>Table3[[#This Row],[PrimaComercial Anual]]*Table3[[#This Row],[IT]]</f>
        <v>807.80399999999997</v>
      </c>
      <c r="AD1018" s="8">
        <f>Table3[[#This Row],[PrimaComercial Anual]]*Table3[[#This Row],[IVA]]</f>
        <v>3500.4839999999999</v>
      </c>
      <c r="AE1018" s="15">
        <f>Table3[[#This Row],[PrimaComercial Anual Asistencia]]</f>
        <v>26926.799999999999</v>
      </c>
      <c r="AG1018">
        <v>26926.799999999999</v>
      </c>
    </row>
    <row r="1019" spans="1:33" x14ac:dyDescent="0.25">
      <c r="A1019" t="s">
        <v>17</v>
      </c>
      <c r="B1019">
        <v>700002</v>
      </c>
      <c r="C1019">
        <v>93</v>
      </c>
      <c r="D1019" s="2">
        <f>Table3[[#This Row],[PrimaTécnica]]-Table3[[#This Row],[PrimaTécnica]]*SUM(Table3[[#This Row],[Gastos Adm]:[Cobranza]])</f>
        <v>12288.327375916797</v>
      </c>
      <c r="E1019">
        <v>0</v>
      </c>
      <c r="F1019">
        <v>0.15</v>
      </c>
      <c r="G1019">
        <v>0.05</v>
      </c>
      <c r="H1019">
        <v>0.01</v>
      </c>
      <c r="I1019">
        <v>0.01</v>
      </c>
      <c r="J1019" s="8">
        <f>Table3[[#This Row],[PrimaTécnica]]*Table3[[#This Row],[Gastos Adm]]</f>
        <v>2363.1398799839994</v>
      </c>
      <c r="K1019" s="8">
        <f>Table3[[#This Row],[PrimaTécnica]]*Table3[[#This Row],[Utilidad]]</f>
        <v>787.71329332799996</v>
      </c>
      <c r="L1019" s="8">
        <f>Table3[[#This Row],[PrimaTécnica]]*Table3[[#This Row],[Marketing]]</f>
        <v>157.54265866559999</v>
      </c>
      <c r="M1019" s="8">
        <f>Table3[[#This Row],[PrimaTécnica]]*Table3[[#This Row],[Cobranza]]</f>
        <v>157.54265866559999</v>
      </c>
      <c r="N101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19">
        <v>21.84</v>
      </c>
      <c r="P1019">
        <v>54.6</v>
      </c>
      <c r="Q1019">
        <v>80.64</v>
      </c>
      <c r="R1019">
        <v>44.377200000000002</v>
      </c>
      <c r="S1019">
        <v>0.2</v>
      </c>
      <c r="T1019">
        <v>0.02</v>
      </c>
      <c r="U1019" s="8">
        <f>Table3[[#This Row],[PrimaNeta]]*Table3[[#This Row],[Comisión]]</f>
        <v>3988.93076664</v>
      </c>
      <c r="V1019" s="15">
        <f>Table3[[#This Row],[PrimaComercial Anual]]-Table3[[#This Row],[PrimaComercial Anual]]*SUM(Table3[[#This Row],[APS]:[IVA]])</f>
        <v>19944.653833199998</v>
      </c>
      <c r="W1019" s="2">
        <v>1.4800000000000001E-2</v>
      </c>
      <c r="X1019" s="2">
        <v>8.4501000000000007E-2</v>
      </c>
      <c r="Y1019">
        <v>0.03</v>
      </c>
      <c r="Z1019">
        <v>0.13</v>
      </c>
      <c r="AA1019" s="20">
        <f>Table3[[#This Row],[APS]]*Table3[[#This Row],[PrimaComercial Anual]]</f>
        <v>398.51664</v>
      </c>
      <c r="AB1019" s="8">
        <f>Table3[[#This Row],[PrimaComercial Anual]]*Table3[[#This Row],[Recargo adicional]]</f>
        <v>2275.3415268000003</v>
      </c>
      <c r="AC1019" s="8">
        <f>Table3[[#This Row],[PrimaComercial Anual]]*Table3[[#This Row],[IT]]</f>
        <v>807.80399999999997</v>
      </c>
      <c r="AD1019" s="8">
        <f>Table3[[#This Row],[PrimaComercial Anual]]*Table3[[#This Row],[IVA]]</f>
        <v>3500.4839999999999</v>
      </c>
      <c r="AE1019" s="15">
        <f>Table3[[#This Row],[PrimaComercial Anual Asistencia]]</f>
        <v>26926.799999999999</v>
      </c>
      <c r="AG1019">
        <v>26926.799999999999</v>
      </c>
    </row>
    <row r="1020" spans="1:33" x14ac:dyDescent="0.25">
      <c r="A1020" t="s">
        <v>17</v>
      </c>
      <c r="B1020">
        <v>700002</v>
      </c>
      <c r="C1020">
        <v>94</v>
      </c>
      <c r="D1020" s="2">
        <f>Table3[[#This Row],[PrimaTécnica]]-Table3[[#This Row],[PrimaTécnica]]*SUM(Table3[[#This Row],[Gastos Adm]:[Cobranza]])</f>
        <v>12288.327375916797</v>
      </c>
      <c r="E1020">
        <v>0</v>
      </c>
      <c r="F1020">
        <v>0.15</v>
      </c>
      <c r="G1020">
        <v>0.05</v>
      </c>
      <c r="H1020">
        <v>0.01</v>
      </c>
      <c r="I1020">
        <v>0.01</v>
      </c>
      <c r="J1020" s="8">
        <f>Table3[[#This Row],[PrimaTécnica]]*Table3[[#This Row],[Gastos Adm]]</f>
        <v>2363.1398799839994</v>
      </c>
      <c r="K1020" s="8">
        <f>Table3[[#This Row],[PrimaTécnica]]*Table3[[#This Row],[Utilidad]]</f>
        <v>787.71329332799996</v>
      </c>
      <c r="L1020" s="8">
        <f>Table3[[#This Row],[PrimaTécnica]]*Table3[[#This Row],[Marketing]]</f>
        <v>157.54265866559999</v>
      </c>
      <c r="M1020" s="8">
        <f>Table3[[#This Row],[PrimaTécnica]]*Table3[[#This Row],[Cobranza]]</f>
        <v>157.54265866559999</v>
      </c>
      <c r="N102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20">
        <v>21.84</v>
      </c>
      <c r="P1020">
        <v>54.6</v>
      </c>
      <c r="Q1020">
        <v>80.64</v>
      </c>
      <c r="R1020">
        <v>44.377200000000002</v>
      </c>
      <c r="S1020">
        <v>0.2</v>
      </c>
      <c r="T1020">
        <v>0.02</v>
      </c>
      <c r="U1020" s="8">
        <f>Table3[[#This Row],[PrimaNeta]]*Table3[[#This Row],[Comisión]]</f>
        <v>3988.93076664</v>
      </c>
      <c r="V1020" s="15">
        <f>Table3[[#This Row],[PrimaComercial Anual]]-Table3[[#This Row],[PrimaComercial Anual]]*SUM(Table3[[#This Row],[APS]:[IVA]])</f>
        <v>19944.653833199998</v>
      </c>
      <c r="W1020" s="2">
        <v>1.4800000000000001E-2</v>
      </c>
      <c r="X1020" s="2">
        <v>8.4501000000000007E-2</v>
      </c>
      <c r="Y1020">
        <v>0.03</v>
      </c>
      <c r="Z1020">
        <v>0.13</v>
      </c>
      <c r="AA1020" s="20">
        <f>Table3[[#This Row],[APS]]*Table3[[#This Row],[PrimaComercial Anual]]</f>
        <v>398.51664</v>
      </c>
      <c r="AB1020" s="8">
        <f>Table3[[#This Row],[PrimaComercial Anual]]*Table3[[#This Row],[Recargo adicional]]</f>
        <v>2275.3415268000003</v>
      </c>
      <c r="AC1020" s="8">
        <f>Table3[[#This Row],[PrimaComercial Anual]]*Table3[[#This Row],[IT]]</f>
        <v>807.80399999999997</v>
      </c>
      <c r="AD1020" s="8">
        <f>Table3[[#This Row],[PrimaComercial Anual]]*Table3[[#This Row],[IVA]]</f>
        <v>3500.4839999999999</v>
      </c>
      <c r="AE1020" s="15">
        <f>Table3[[#This Row],[PrimaComercial Anual Asistencia]]</f>
        <v>26926.799999999999</v>
      </c>
      <c r="AG1020">
        <v>26926.799999999999</v>
      </c>
    </row>
    <row r="1021" spans="1:33" x14ac:dyDescent="0.25">
      <c r="A1021" t="s">
        <v>17</v>
      </c>
      <c r="B1021">
        <v>700002</v>
      </c>
      <c r="C1021">
        <v>95</v>
      </c>
      <c r="D1021" s="2">
        <f>Table3[[#This Row],[PrimaTécnica]]-Table3[[#This Row],[PrimaTécnica]]*SUM(Table3[[#This Row],[Gastos Adm]:[Cobranza]])</f>
        <v>12288.327375916797</v>
      </c>
      <c r="E1021">
        <v>0</v>
      </c>
      <c r="F1021">
        <v>0.15</v>
      </c>
      <c r="G1021">
        <v>0.05</v>
      </c>
      <c r="H1021">
        <v>0.01</v>
      </c>
      <c r="I1021">
        <v>0.01</v>
      </c>
      <c r="J1021" s="8">
        <f>Table3[[#This Row],[PrimaTécnica]]*Table3[[#This Row],[Gastos Adm]]</f>
        <v>2363.1398799839994</v>
      </c>
      <c r="K1021" s="8">
        <f>Table3[[#This Row],[PrimaTécnica]]*Table3[[#This Row],[Utilidad]]</f>
        <v>787.71329332799996</v>
      </c>
      <c r="L1021" s="8">
        <f>Table3[[#This Row],[PrimaTécnica]]*Table3[[#This Row],[Marketing]]</f>
        <v>157.54265866559999</v>
      </c>
      <c r="M1021" s="8">
        <f>Table3[[#This Row],[PrimaTécnica]]*Table3[[#This Row],[Cobranza]]</f>
        <v>157.54265866559999</v>
      </c>
      <c r="N102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21">
        <v>21.84</v>
      </c>
      <c r="P1021">
        <v>54.6</v>
      </c>
      <c r="Q1021">
        <v>80.64</v>
      </c>
      <c r="R1021">
        <v>44.377200000000002</v>
      </c>
      <c r="S1021">
        <v>0.2</v>
      </c>
      <c r="T1021">
        <v>0.02</v>
      </c>
      <c r="U1021" s="8">
        <f>Table3[[#This Row],[PrimaNeta]]*Table3[[#This Row],[Comisión]]</f>
        <v>3988.93076664</v>
      </c>
      <c r="V1021" s="15">
        <f>Table3[[#This Row],[PrimaComercial Anual]]-Table3[[#This Row],[PrimaComercial Anual]]*SUM(Table3[[#This Row],[APS]:[IVA]])</f>
        <v>19944.653833199998</v>
      </c>
      <c r="W1021" s="2">
        <v>1.4800000000000001E-2</v>
      </c>
      <c r="X1021" s="2">
        <v>8.4501000000000007E-2</v>
      </c>
      <c r="Y1021">
        <v>0.03</v>
      </c>
      <c r="Z1021">
        <v>0.13</v>
      </c>
      <c r="AA1021" s="20">
        <f>Table3[[#This Row],[APS]]*Table3[[#This Row],[PrimaComercial Anual]]</f>
        <v>398.51664</v>
      </c>
      <c r="AB1021" s="8">
        <f>Table3[[#This Row],[PrimaComercial Anual]]*Table3[[#This Row],[Recargo adicional]]</f>
        <v>2275.3415268000003</v>
      </c>
      <c r="AC1021" s="8">
        <f>Table3[[#This Row],[PrimaComercial Anual]]*Table3[[#This Row],[IT]]</f>
        <v>807.80399999999997</v>
      </c>
      <c r="AD1021" s="8">
        <f>Table3[[#This Row],[PrimaComercial Anual]]*Table3[[#This Row],[IVA]]</f>
        <v>3500.4839999999999</v>
      </c>
      <c r="AE1021" s="15">
        <f>Table3[[#This Row],[PrimaComercial Anual Asistencia]]</f>
        <v>26926.799999999999</v>
      </c>
      <c r="AG1021">
        <v>26926.799999999999</v>
      </c>
    </row>
    <row r="1022" spans="1:33" x14ac:dyDescent="0.25">
      <c r="A1022" t="s">
        <v>17</v>
      </c>
      <c r="B1022">
        <v>700002</v>
      </c>
      <c r="C1022">
        <v>96</v>
      </c>
      <c r="D1022" s="2">
        <f>Table3[[#This Row],[PrimaTécnica]]-Table3[[#This Row],[PrimaTécnica]]*SUM(Table3[[#This Row],[Gastos Adm]:[Cobranza]])</f>
        <v>12288.327375916797</v>
      </c>
      <c r="E1022">
        <v>0</v>
      </c>
      <c r="F1022">
        <v>0.15</v>
      </c>
      <c r="G1022">
        <v>0.05</v>
      </c>
      <c r="H1022">
        <v>0.01</v>
      </c>
      <c r="I1022">
        <v>0.01</v>
      </c>
      <c r="J1022" s="8">
        <f>Table3[[#This Row],[PrimaTécnica]]*Table3[[#This Row],[Gastos Adm]]</f>
        <v>2363.1398799839994</v>
      </c>
      <c r="K1022" s="8">
        <f>Table3[[#This Row],[PrimaTécnica]]*Table3[[#This Row],[Utilidad]]</f>
        <v>787.71329332799996</v>
      </c>
      <c r="L1022" s="8">
        <f>Table3[[#This Row],[PrimaTécnica]]*Table3[[#This Row],[Marketing]]</f>
        <v>157.54265866559999</v>
      </c>
      <c r="M1022" s="8">
        <f>Table3[[#This Row],[PrimaTécnica]]*Table3[[#This Row],[Cobranza]]</f>
        <v>157.54265866559999</v>
      </c>
      <c r="N102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22">
        <v>21.84</v>
      </c>
      <c r="P1022">
        <v>54.6</v>
      </c>
      <c r="Q1022">
        <v>80.64</v>
      </c>
      <c r="R1022">
        <v>44.377200000000002</v>
      </c>
      <c r="S1022">
        <v>0.2</v>
      </c>
      <c r="T1022">
        <v>0.02</v>
      </c>
      <c r="U1022" s="8">
        <f>Table3[[#This Row],[PrimaNeta]]*Table3[[#This Row],[Comisión]]</f>
        <v>3988.93076664</v>
      </c>
      <c r="V1022" s="15">
        <f>Table3[[#This Row],[PrimaComercial Anual]]-Table3[[#This Row],[PrimaComercial Anual]]*SUM(Table3[[#This Row],[APS]:[IVA]])</f>
        <v>19944.653833199998</v>
      </c>
      <c r="W1022" s="2">
        <v>1.4800000000000001E-2</v>
      </c>
      <c r="X1022" s="2">
        <v>8.4501000000000007E-2</v>
      </c>
      <c r="Y1022">
        <v>0.03</v>
      </c>
      <c r="Z1022">
        <v>0.13</v>
      </c>
      <c r="AA1022" s="20">
        <f>Table3[[#This Row],[APS]]*Table3[[#This Row],[PrimaComercial Anual]]</f>
        <v>398.51664</v>
      </c>
      <c r="AB1022" s="8">
        <f>Table3[[#This Row],[PrimaComercial Anual]]*Table3[[#This Row],[Recargo adicional]]</f>
        <v>2275.3415268000003</v>
      </c>
      <c r="AC1022" s="8">
        <f>Table3[[#This Row],[PrimaComercial Anual]]*Table3[[#This Row],[IT]]</f>
        <v>807.80399999999997</v>
      </c>
      <c r="AD1022" s="8">
        <f>Table3[[#This Row],[PrimaComercial Anual]]*Table3[[#This Row],[IVA]]</f>
        <v>3500.4839999999999</v>
      </c>
      <c r="AE1022" s="15">
        <f>Table3[[#This Row],[PrimaComercial Anual Asistencia]]</f>
        <v>26926.799999999999</v>
      </c>
      <c r="AG1022">
        <v>26926.799999999999</v>
      </c>
    </row>
    <row r="1023" spans="1:33" x14ac:dyDescent="0.25">
      <c r="A1023" t="s">
        <v>17</v>
      </c>
      <c r="B1023">
        <v>700002</v>
      </c>
      <c r="C1023">
        <v>97</v>
      </c>
      <c r="D1023" s="2">
        <f>Table3[[#This Row],[PrimaTécnica]]-Table3[[#This Row],[PrimaTécnica]]*SUM(Table3[[#This Row],[Gastos Adm]:[Cobranza]])</f>
        <v>12288.327375916797</v>
      </c>
      <c r="E1023">
        <v>0</v>
      </c>
      <c r="F1023">
        <v>0.15</v>
      </c>
      <c r="G1023">
        <v>0.05</v>
      </c>
      <c r="H1023">
        <v>0.01</v>
      </c>
      <c r="I1023">
        <v>0.01</v>
      </c>
      <c r="J1023" s="8">
        <f>Table3[[#This Row],[PrimaTécnica]]*Table3[[#This Row],[Gastos Adm]]</f>
        <v>2363.1398799839994</v>
      </c>
      <c r="K1023" s="8">
        <f>Table3[[#This Row],[PrimaTécnica]]*Table3[[#This Row],[Utilidad]]</f>
        <v>787.71329332799996</v>
      </c>
      <c r="L1023" s="8">
        <f>Table3[[#This Row],[PrimaTécnica]]*Table3[[#This Row],[Marketing]]</f>
        <v>157.54265866559999</v>
      </c>
      <c r="M1023" s="8">
        <f>Table3[[#This Row],[PrimaTécnica]]*Table3[[#This Row],[Cobranza]]</f>
        <v>157.54265866559999</v>
      </c>
      <c r="N102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23">
        <v>21.84</v>
      </c>
      <c r="P1023">
        <v>54.6</v>
      </c>
      <c r="Q1023">
        <v>80.64</v>
      </c>
      <c r="R1023">
        <v>44.377200000000002</v>
      </c>
      <c r="S1023">
        <v>0.2</v>
      </c>
      <c r="T1023">
        <v>0.02</v>
      </c>
      <c r="U1023" s="8">
        <f>Table3[[#This Row],[PrimaNeta]]*Table3[[#This Row],[Comisión]]</f>
        <v>3988.93076664</v>
      </c>
      <c r="V1023" s="15">
        <f>Table3[[#This Row],[PrimaComercial Anual]]-Table3[[#This Row],[PrimaComercial Anual]]*SUM(Table3[[#This Row],[APS]:[IVA]])</f>
        <v>19944.653833199998</v>
      </c>
      <c r="W1023" s="2">
        <v>1.4800000000000001E-2</v>
      </c>
      <c r="X1023" s="2">
        <v>8.4501000000000007E-2</v>
      </c>
      <c r="Y1023">
        <v>0.03</v>
      </c>
      <c r="Z1023">
        <v>0.13</v>
      </c>
      <c r="AA1023" s="20">
        <f>Table3[[#This Row],[APS]]*Table3[[#This Row],[PrimaComercial Anual]]</f>
        <v>398.51664</v>
      </c>
      <c r="AB1023" s="8">
        <f>Table3[[#This Row],[PrimaComercial Anual]]*Table3[[#This Row],[Recargo adicional]]</f>
        <v>2275.3415268000003</v>
      </c>
      <c r="AC1023" s="8">
        <f>Table3[[#This Row],[PrimaComercial Anual]]*Table3[[#This Row],[IT]]</f>
        <v>807.80399999999997</v>
      </c>
      <c r="AD1023" s="8">
        <f>Table3[[#This Row],[PrimaComercial Anual]]*Table3[[#This Row],[IVA]]</f>
        <v>3500.4839999999999</v>
      </c>
      <c r="AE1023" s="15">
        <f>Table3[[#This Row],[PrimaComercial Anual Asistencia]]</f>
        <v>26926.799999999999</v>
      </c>
      <c r="AG1023">
        <v>26926.799999999999</v>
      </c>
    </row>
    <row r="1024" spans="1:33" x14ac:dyDescent="0.25">
      <c r="A1024" t="s">
        <v>17</v>
      </c>
      <c r="B1024">
        <v>700002</v>
      </c>
      <c r="C1024">
        <v>98</v>
      </c>
      <c r="D1024" s="2">
        <f>Table3[[#This Row],[PrimaTécnica]]-Table3[[#This Row],[PrimaTécnica]]*SUM(Table3[[#This Row],[Gastos Adm]:[Cobranza]])</f>
        <v>12288.327375916797</v>
      </c>
      <c r="E1024">
        <v>0</v>
      </c>
      <c r="F1024">
        <v>0.15</v>
      </c>
      <c r="G1024">
        <v>0.05</v>
      </c>
      <c r="H1024">
        <v>0.01</v>
      </c>
      <c r="I1024">
        <v>0.01</v>
      </c>
      <c r="J1024" s="8">
        <f>Table3[[#This Row],[PrimaTécnica]]*Table3[[#This Row],[Gastos Adm]]</f>
        <v>2363.1398799839994</v>
      </c>
      <c r="K1024" s="8">
        <f>Table3[[#This Row],[PrimaTécnica]]*Table3[[#This Row],[Utilidad]]</f>
        <v>787.71329332799996</v>
      </c>
      <c r="L1024" s="8">
        <f>Table3[[#This Row],[PrimaTécnica]]*Table3[[#This Row],[Marketing]]</f>
        <v>157.54265866559999</v>
      </c>
      <c r="M1024" s="8">
        <f>Table3[[#This Row],[PrimaTécnica]]*Table3[[#This Row],[Cobranza]]</f>
        <v>157.54265866559999</v>
      </c>
      <c r="N102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24">
        <v>21.84</v>
      </c>
      <c r="P1024">
        <v>54.6</v>
      </c>
      <c r="Q1024">
        <v>80.64</v>
      </c>
      <c r="R1024">
        <v>44.377200000000002</v>
      </c>
      <c r="S1024">
        <v>0.2</v>
      </c>
      <c r="T1024">
        <v>0.02</v>
      </c>
      <c r="U1024" s="8">
        <f>Table3[[#This Row],[PrimaNeta]]*Table3[[#This Row],[Comisión]]</f>
        <v>3988.93076664</v>
      </c>
      <c r="V1024" s="15">
        <f>Table3[[#This Row],[PrimaComercial Anual]]-Table3[[#This Row],[PrimaComercial Anual]]*SUM(Table3[[#This Row],[APS]:[IVA]])</f>
        <v>19944.653833199998</v>
      </c>
      <c r="W1024" s="2">
        <v>1.4800000000000001E-2</v>
      </c>
      <c r="X1024" s="2">
        <v>8.4501000000000007E-2</v>
      </c>
      <c r="Y1024">
        <v>0.03</v>
      </c>
      <c r="Z1024">
        <v>0.13</v>
      </c>
      <c r="AA1024" s="20">
        <f>Table3[[#This Row],[APS]]*Table3[[#This Row],[PrimaComercial Anual]]</f>
        <v>398.51664</v>
      </c>
      <c r="AB1024" s="8">
        <f>Table3[[#This Row],[PrimaComercial Anual]]*Table3[[#This Row],[Recargo adicional]]</f>
        <v>2275.3415268000003</v>
      </c>
      <c r="AC1024" s="8">
        <f>Table3[[#This Row],[PrimaComercial Anual]]*Table3[[#This Row],[IT]]</f>
        <v>807.80399999999997</v>
      </c>
      <c r="AD1024" s="8">
        <f>Table3[[#This Row],[PrimaComercial Anual]]*Table3[[#This Row],[IVA]]</f>
        <v>3500.4839999999999</v>
      </c>
      <c r="AE1024" s="15">
        <f>Table3[[#This Row],[PrimaComercial Anual Asistencia]]</f>
        <v>26926.799999999999</v>
      </c>
      <c r="AG1024">
        <v>26926.799999999999</v>
      </c>
    </row>
    <row r="1025" spans="1:33" x14ac:dyDescent="0.25">
      <c r="A1025" t="s">
        <v>17</v>
      </c>
      <c r="B1025">
        <v>700002</v>
      </c>
      <c r="C1025">
        <v>99</v>
      </c>
      <c r="D1025" s="2">
        <f>Table3[[#This Row],[PrimaTécnica]]-Table3[[#This Row],[PrimaTécnica]]*SUM(Table3[[#This Row],[Gastos Adm]:[Cobranza]])</f>
        <v>12288.327375916797</v>
      </c>
      <c r="E1025">
        <v>0</v>
      </c>
      <c r="F1025">
        <v>0.15</v>
      </c>
      <c r="G1025">
        <v>0.05</v>
      </c>
      <c r="H1025">
        <v>0.01</v>
      </c>
      <c r="I1025">
        <v>0.01</v>
      </c>
      <c r="J1025" s="8">
        <f>Table3[[#This Row],[PrimaTécnica]]*Table3[[#This Row],[Gastos Adm]]</f>
        <v>2363.1398799839994</v>
      </c>
      <c r="K1025" s="8">
        <f>Table3[[#This Row],[PrimaTécnica]]*Table3[[#This Row],[Utilidad]]</f>
        <v>787.71329332799996</v>
      </c>
      <c r="L1025" s="8">
        <f>Table3[[#This Row],[PrimaTécnica]]*Table3[[#This Row],[Marketing]]</f>
        <v>157.54265866559999</v>
      </c>
      <c r="M1025" s="8">
        <f>Table3[[#This Row],[PrimaTécnica]]*Table3[[#This Row],[Cobranza]]</f>
        <v>157.54265866559999</v>
      </c>
      <c r="N102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25">
        <v>21.84</v>
      </c>
      <c r="P1025">
        <v>54.6</v>
      </c>
      <c r="Q1025">
        <v>80.64</v>
      </c>
      <c r="R1025">
        <v>44.377200000000002</v>
      </c>
      <c r="S1025">
        <v>0.2</v>
      </c>
      <c r="T1025">
        <v>0.02</v>
      </c>
      <c r="U1025" s="8">
        <f>Table3[[#This Row],[PrimaNeta]]*Table3[[#This Row],[Comisión]]</f>
        <v>3988.93076664</v>
      </c>
      <c r="V1025" s="15">
        <f>Table3[[#This Row],[PrimaComercial Anual]]-Table3[[#This Row],[PrimaComercial Anual]]*SUM(Table3[[#This Row],[APS]:[IVA]])</f>
        <v>19944.653833199998</v>
      </c>
      <c r="W1025" s="2">
        <v>1.4800000000000001E-2</v>
      </c>
      <c r="X1025" s="2">
        <v>8.4501000000000007E-2</v>
      </c>
      <c r="Y1025">
        <v>0.03</v>
      </c>
      <c r="Z1025">
        <v>0.13</v>
      </c>
      <c r="AA1025" s="20">
        <f>Table3[[#This Row],[APS]]*Table3[[#This Row],[PrimaComercial Anual]]</f>
        <v>398.51664</v>
      </c>
      <c r="AB1025" s="8">
        <f>Table3[[#This Row],[PrimaComercial Anual]]*Table3[[#This Row],[Recargo adicional]]</f>
        <v>2275.3415268000003</v>
      </c>
      <c r="AC1025" s="8">
        <f>Table3[[#This Row],[PrimaComercial Anual]]*Table3[[#This Row],[IT]]</f>
        <v>807.80399999999997</v>
      </c>
      <c r="AD1025" s="8">
        <f>Table3[[#This Row],[PrimaComercial Anual]]*Table3[[#This Row],[IVA]]</f>
        <v>3500.4839999999999</v>
      </c>
      <c r="AE1025" s="15">
        <f>Table3[[#This Row],[PrimaComercial Anual Asistencia]]</f>
        <v>26926.799999999999</v>
      </c>
      <c r="AG1025">
        <v>26926.799999999999</v>
      </c>
    </row>
    <row r="1026" spans="1:33" x14ac:dyDescent="0.25">
      <c r="A1026" t="s">
        <v>18</v>
      </c>
      <c r="B1026">
        <v>700002</v>
      </c>
      <c r="C1026">
        <v>0</v>
      </c>
      <c r="D1026" s="2">
        <f>Table3[[#This Row],[PrimaTécnica]]-Table3[[#This Row],[PrimaTécnica]]*SUM(Table3[[#This Row],[Gastos Adm]:[Cobranza]])</f>
        <v>3362.5797034751986</v>
      </c>
      <c r="E1026">
        <v>0</v>
      </c>
      <c r="F1026">
        <v>0.15</v>
      </c>
      <c r="G1026">
        <v>0.05</v>
      </c>
      <c r="H1026">
        <v>0.01</v>
      </c>
      <c r="I1026">
        <v>0.01</v>
      </c>
      <c r="J1026" s="8">
        <f>Table3[[#This Row],[PrimaTécnica]]*Table3[[#This Row],[Gastos Adm]]</f>
        <v>646.64994297599981</v>
      </c>
      <c r="K1026" s="8">
        <f>Table3[[#This Row],[PrimaTécnica]]*Table3[[#This Row],[Utilidad]]</f>
        <v>215.54998099199994</v>
      </c>
      <c r="L1026" s="8">
        <f>Table3[[#This Row],[PrimaTécnica]]*Table3[[#This Row],[Marketing]]</f>
        <v>43.109996198399983</v>
      </c>
      <c r="M1026" s="8">
        <f>Table3[[#This Row],[PrimaTécnica]]*Table3[[#This Row],[Cobranza]]</f>
        <v>43.109996198399983</v>
      </c>
      <c r="N102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4310.9996198399986</v>
      </c>
      <c r="O1026">
        <v>21.84</v>
      </c>
      <c r="P1026">
        <v>54.6</v>
      </c>
      <c r="Q1026">
        <v>80.64</v>
      </c>
      <c r="R1026">
        <v>44.377200000000002</v>
      </c>
      <c r="S1026">
        <v>0.2</v>
      </c>
      <c r="T1026">
        <v>0.02</v>
      </c>
      <c r="U1026" s="8">
        <f>Table3[[#This Row],[PrimaNeta]]*Table3[[#This Row],[Comisión]]</f>
        <v>1128.1142049600001</v>
      </c>
      <c r="V1026" s="15">
        <f>Table3[[#This Row],[PrimaComercial Anual]]-Table3[[#This Row],[PrimaComercial Anual]]*SUM(Table3[[#This Row],[APS]:[IVA]])</f>
        <v>5640.5710247999996</v>
      </c>
      <c r="W1026" s="2">
        <v>1.4800000000000001E-2</v>
      </c>
      <c r="X1026" s="2">
        <v>8.4501000000000007E-2</v>
      </c>
      <c r="Y1026">
        <v>0.03</v>
      </c>
      <c r="Z1026">
        <v>0.13</v>
      </c>
      <c r="AA1026" s="20">
        <f>Table3[[#This Row],[APS]]*Table3[[#This Row],[PrimaComercial Anual]]</f>
        <v>112.70496</v>
      </c>
      <c r="AB1026" s="8">
        <f>Table3[[#This Row],[PrimaComercial Anual]]*Table3[[#This Row],[Recargo adicional]]</f>
        <v>643.49201520000008</v>
      </c>
      <c r="AC1026" s="8">
        <f>Table3[[#This Row],[PrimaComercial Anual]]*Table3[[#This Row],[IT]]</f>
        <v>228.45599999999999</v>
      </c>
      <c r="AD1026" s="8">
        <f>Table3[[#This Row],[PrimaComercial Anual]]*Table3[[#This Row],[IVA]]</f>
        <v>989.976</v>
      </c>
      <c r="AE1026" s="15">
        <f>Table3[[#This Row],[PrimaComercial Anual Asistencia]]</f>
        <v>7615.2</v>
      </c>
      <c r="AG1026">
        <v>7615.2</v>
      </c>
    </row>
    <row r="1027" spans="1:33" x14ac:dyDescent="0.25">
      <c r="A1027" t="s">
        <v>18</v>
      </c>
      <c r="B1027">
        <v>700002</v>
      </c>
      <c r="C1027">
        <v>1</v>
      </c>
      <c r="D1027" s="2">
        <f>Table3[[#This Row],[PrimaTécnica]]-Table3[[#This Row],[PrimaTécnica]]*SUM(Table3[[#This Row],[Gastos Adm]:[Cobranza]])</f>
        <v>3362.5797034751986</v>
      </c>
      <c r="E1027">
        <v>0</v>
      </c>
      <c r="F1027">
        <v>0.15</v>
      </c>
      <c r="G1027">
        <v>0.05</v>
      </c>
      <c r="H1027">
        <v>0.01</v>
      </c>
      <c r="I1027">
        <v>0.01</v>
      </c>
      <c r="J1027" s="8">
        <f>Table3[[#This Row],[PrimaTécnica]]*Table3[[#This Row],[Gastos Adm]]</f>
        <v>646.64994297599981</v>
      </c>
      <c r="K1027" s="8">
        <f>Table3[[#This Row],[PrimaTécnica]]*Table3[[#This Row],[Utilidad]]</f>
        <v>215.54998099199994</v>
      </c>
      <c r="L1027" s="8">
        <f>Table3[[#This Row],[PrimaTécnica]]*Table3[[#This Row],[Marketing]]</f>
        <v>43.109996198399983</v>
      </c>
      <c r="M1027" s="8">
        <f>Table3[[#This Row],[PrimaTécnica]]*Table3[[#This Row],[Cobranza]]</f>
        <v>43.109996198399983</v>
      </c>
      <c r="N102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4310.9996198399986</v>
      </c>
      <c r="O1027">
        <v>21.84</v>
      </c>
      <c r="P1027">
        <v>54.6</v>
      </c>
      <c r="Q1027">
        <v>80.64</v>
      </c>
      <c r="R1027">
        <v>44.377200000000002</v>
      </c>
      <c r="S1027">
        <v>0.2</v>
      </c>
      <c r="T1027">
        <v>0.02</v>
      </c>
      <c r="U1027" s="8">
        <f>Table3[[#This Row],[PrimaNeta]]*Table3[[#This Row],[Comisión]]</f>
        <v>1128.1142049600001</v>
      </c>
      <c r="V1027" s="15">
        <f>Table3[[#This Row],[PrimaComercial Anual]]-Table3[[#This Row],[PrimaComercial Anual]]*SUM(Table3[[#This Row],[APS]:[IVA]])</f>
        <v>5640.5710247999996</v>
      </c>
      <c r="W1027" s="2">
        <v>1.4800000000000001E-2</v>
      </c>
      <c r="X1027" s="2">
        <v>8.4501000000000007E-2</v>
      </c>
      <c r="Y1027">
        <v>0.03</v>
      </c>
      <c r="Z1027">
        <v>0.13</v>
      </c>
      <c r="AA1027" s="20">
        <f>Table3[[#This Row],[APS]]*Table3[[#This Row],[PrimaComercial Anual]]</f>
        <v>112.70496</v>
      </c>
      <c r="AB1027" s="8">
        <f>Table3[[#This Row],[PrimaComercial Anual]]*Table3[[#This Row],[Recargo adicional]]</f>
        <v>643.49201520000008</v>
      </c>
      <c r="AC1027" s="8">
        <f>Table3[[#This Row],[PrimaComercial Anual]]*Table3[[#This Row],[IT]]</f>
        <v>228.45599999999999</v>
      </c>
      <c r="AD1027" s="8">
        <f>Table3[[#This Row],[PrimaComercial Anual]]*Table3[[#This Row],[IVA]]</f>
        <v>989.976</v>
      </c>
      <c r="AE1027" s="15">
        <f>Table3[[#This Row],[PrimaComercial Anual Asistencia]]</f>
        <v>7615.2</v>
      </c>
      <c r="AG1027">
        <v>7615.2</v>
      </c>
    </row>
    <row r="1028" spans="1:33" x14ac:dyDescent="0.25">
      <c r="A1028" t="s">
        <v>18</v>
      </c>
      <c r="B1028">
        <v>700002</v>
      </c>
      <c r="C1028">
        <v>2</v>
      </c>
      <c r="D1028" s="2">
        <f>Table3[[#This Row],[PrimaTécnica]]-Table3[[#This Row],[PrimaTécnica]]*SUM(Table3[[#This Row],[Gastos Adm]:[Cobranza]])</f>
        <v>3362.5797034751986</v>
      </c>
      <c r="E1028">
        <v>0</v>
      </c>
      <c r="F1028">
        <v>0.15</v>
      </c>
      <c r="G1028">
        <v>0.05</v>
      </c>
      <c r="H1028">
        <v>0.01</v>
      </c>
      <c r="I1028">
        <v>0.01</v>
      </c>
      <c r="J1028" s="8">
        <f>Table3[[#This Row],[PrimaTécnica]]*Table3[[#This Row],[Gastos Adm]]</f>
        <v>646.64994297599981</v>
      </c>
      <c r="K1028" s="8">
        <f>Table3[[#This Row],[PrimaTécnica]]*Table3[[#This Row],[Utilidad]]</f>
        <v>215.54998099199994</v>
      </c>
      <c r="L1028" s="8">
        <f>Table3[[#This Row],[PrimaTécnica]]*Table3[[#This Row],[Marketing]]</f>
        <v>43.109996198399983</v>
      </c>
      <c r="M1028" s="8">
        <f>Table3[[#This Row],[PrimaTécnica]]*Table3[[#This Row],[Cobranza]]</f>
        <v>43.109996198399983</v>
      </c>
      <c r="N102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4310.9996198399986</v>
      </c>
      <c r="O1028">
        <v>21.84</v>
      </c>
      <c r="P1028">
        <v>54.6</v>
      </c>
      <c r="Q1028">
        <v>80.64</v>
      </c>
      <c r="R1028">
        <v>44.377200000000002</v>
      </c>
      <c r="S1028">
        <v>0.2</v>
      </c>
      <c r="T1028">
        <v>0.02</v>
      </c>
      <c r="U1028" s="8">
        <f>Table3[[#This Row],[PrimaNeta]]*Table3[[#This Row],[Comisión]]</f>
        <v>1128.1142049600001</v>
      </c>
      <c r="V1028" s="15">
        <f>Table3[[#This Row],[PrimaComercial Anual]]-Table3[[#This Row],[PrimaComercial Anual]]*SUM(Table3[[#This Row],[APS]:[IVA]])</f>
        <v>5640.5710247999996</v>
      </c>
      <c r="W1028" s="2">
        <v>1.4800000000000001E-2</v>
      </c>
      <c r="X1028" s="2">
        <v>8.4501000000000007E-2</v>
      </c>
      <c r="Y1028">
        <v>0.03</v>
      </c>
      <c r="Z1028">
        <v>0.13</v>
      </c>
      <c r="AA1028" s="20">
        <f>Table3[[#This Row],[APS]]*Table3[[#This Row],[PrimaComercial Anual]]</f>
        <v>112.70496</v>
      </c>
      <c r="AB1028" s="8">
        <f>Table3[[#This Row],[PrimaComercial Anual]]*Table3[[#This Row],[Recargo adicional]]</f>
        <v>643.49201520000008</v>
      </c>
      <c r="AC1028" s="8">
        <f>Table3[[#This Row],[PrimaComercial Anual]]*Table3[[#This Row],[IT]]</f>
        <v>228.45599999999999</v>
      </c>
      <c r="AD1028" s="8">
        <f>Table3[[#This Row],[PrimaComercial Anual]]*Table3[[#This Row],[IVA]]</f>
        <v>989.976</v>
      </c>
      <c r="AE1028" s="15">
        <f>Table3[[#This Row],[PrimaComercial Anual Asistencia]]</f>
        <v>7615.2</v>
      </c>
      <c r="AG1028">
        <v>7615.2</v>
      </c>
    </row>
    <row r="1029" spans="1:33" x14ac:dyDescent="0.25">
      <c r="A1029" t="s">
        <v>18</v>
      </c>
      <c r="B1029">
        <v>700002</v>
      </c>
      <c r="C1029">
        <v>3</v>
      </c>
      <c r="D1029" s="2">
        <f>Table3[[#This Row],[PrimaTécnica]]-Table3[[#This Row],[PrimaTécnica]]*SUM(Table3[[#This Row],[Gastos Adm]:[Cobranza]])</f>
        <v>2440.4983323552001</v>
      </c>
      <c r="E1029">
        <v>0</v>
      </c>
      <c r="F1029">
        <v>0.15</v>
      </c>
      <c r="G1029">
        <v>0.05</v>
      </c>
      <c r="H1029">
        <v>0.01</v>
      </c>
      <c r="I1029">
        <v>0.01</v>
      </c>
      <c r="J1029" s="8">
        <f>Table3[[#This Row],[PrimaTécnica]]*Table3[[#This Row],[Gastos Adm]]</f>
        <v>469.32660237600004</v>
      </c>
      <c r="K1029" s="8">
        <f>Table3[[#This Row],[PrimaTécnica]]*Table3[[#This Row],[Utilidad]]</f>
        <v>156.44220079200002</v>
      </c>
      <c r="L1029" s="8">
        <f>Table3[[#This Row],[PrimaTécnica]]*Table3[[#This Row],[Marketing]]</f>
        <v>31.288440158400004</v>
      </c>
      <c r="M1029" s="8">
        <f>Table3[[#This Row],[PrimaTécnica]]*Table3[[#This Row],[Cobranza]]</f>
        <v>31.288440158400004</v>
      </c>
      <c r="N102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3128.8440158400003</v>
      </c>
      <c r="O1029">
        <v>21.84</v>
      </c>
      <c r="P1029">
        <v>54.6</v>
      </c>
      <c r="Q1029">
        <v>80.64</v>
      </c>
      <c r="R1029">
        <v>44.377200000000002</v>
      </c>
      <c r="S1029">
        <v>0.2</v>
      </c>
      <c r="T1029">
        <v>0.02</v>
      </c>
      <c r="U1029" s="8">
        <f>Table3[[#This Row],[PrimaNeta]]*Table3[[#This Row],[Comisión]]</f>
        <v>832.57530396000004</v>
      </c>
      <c r="V1029" s="15">
        <f>Table3[[#This Row],[PrimaComercial Anual]]-Table3[[#This Row],[PrimaComercial Anual]]*SUM(Table3[[#This Row],[APS]:[IVA]])</f>
        <v>4162.8765198000001</v>
      </c>
      <c r="W1029" s="2">
        <v>1.4800000000000001E-2</v>
      </c>
      <c r="X1029" s="2">
        <v>8.4501000000000007E-2</v>
      </c>
      <c r="Y1029">
        <v>0.03</v>
      </c>
      <c r="Z1029">
        <v>0.13</v>
      </c>
      <c r="AA1029" s="20">
        <f>Table3[[#This Row],[APS]]*Table3[[#This Row],[PrimaComercial Anual]]</f>
        <v>83.178960000000004</v>
      </c>
      <c r="AB1029" s="8">
        <f>Table3[[#This Row],[PrimaComercial Anual]]*Table3[[#This Row],[Recargo adicional]]</f>
        <v>474.91252020000002</v>
      </c>
      <c r="AC1029" s="8">
        <f>Table3[[#This Row],[PrimaComercial Anual]]*Table3[[#This Row],[IT]]</f>
        <v>168.60599999999999</v>
      </c>
      <c r="AD1029" s="8">
        <f>Table3[[#This Row],[PrimaComercial Anual]]*Table3[[#This Row],[IVA]]</f>
        <v>730.62599999999998</v>
      </c>
      <c r="AE1029" s="15">
        <f>Table3[[#This Row],[PrimaComercial Anual Asistencia]]</f>
        <v>5620.2</v>
      </c>
      <c r="AG1029">
        <v>5620.2</v>
      </c>
    </row>
    <row r="1030" spans="1:33" x14ac:dyDescent="0.25">
      <c r="A1030" t="s">
        <v>18</v>
      </c>
      <c r="B1030">
        <v>700002</v>
      </c>
      <c r="C1030">
        <v>4</v>
      </c>
      <c r="D1030" s="2">
        <f>Table3[[#This Row],[PrimaTécnica]]-Table3[[#This Row],[PrimaTécnica]]*SUM(Table3[[#This Row],[Gastos Adm]:[Cobranza]])</f>
        <v>2440.4983323552001</v>
      </c>
      <c r="E1030">
        <v>0</v>
      </c>
      <c r="F1030">
        <v>0.15</v>
      </c>
      <c r="G1030">
        <v>0.05</v>
      </c>
      <c r="H1030">
        <v>0.01</v>
      </c>
      <c r="I1030">
        <v>0.01</v>
      </c>
      <c r="J1030" s="8">
        <f>Table3[[#This Row],[PrimaTécnica]]*Table3[[#This Row],[Gastos Adm]]</f>
        <v>469.32660237600004</v>
      </c>
      <c r="K1030" s="8">
        <f>Table3[[#This Row],[PrimaTécnica]]*Table3[[#This Row],[Utilidad]]</f>
        <v>156.44220079200002</v>
      </c>
      <c r="L1030" s="8">
        <f>Table3[[#This Row],[PrimaTécnica]]*Table3[[#This Row],[Marketing]]</f>
        <v>31.288440158400004</v>
      </c>
      <c r="M1030" s="8">
        <f>Table3[[#This Row],[PrimaTécnica]]*Table3[[#This Row],[Cobranza]]</f>
        <v>31.288440158400004</v>
      </c>
      <c r="N103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3128.8440158400003</v>
      </c>
      <c r="O1030">
        <v>21.84</v>
      </c>
      <c r="P1030">
        <v>54.6</v>
      </c>
      <c r="Q1030">
        <v>80.64</v>
      </c>
      <c r="R1030">
        <v>44.377200000000002</v>
      </c>
      <c r="S1030">
        <v>0.2</v>
      </c>
      <c r="T1030">
        <v>0.02</v>
      </c>
      <c r="U1030" s="8">
        <f>Table3[[#This Row],[PrimaNeta]]*Table3[[#This Row],[Comisión]]</f>
        <v>832.57530396000004</v>
      </c>
      <c r="V1030" s="15">
        <f>Table3[[#This Row],[PrimaComercial Anual]]-Table3[[#This Row],[PrimaComercial Anual]]*SUM(Table3[[#This Row],[APS]:[IVA]])</f>
        <v>4162.8765198000001</v>
      </c>
      <c r="W1030" s="2">
        <v>1.4800000000000001E-2</v>
      </c>
      <c r="X1030" s="2">
        <v>8.4501000000000007E-2</v>
      </c>
      <c r="Y1030">
        <v>0.03</v>
      </c>
      <c r="Z1030">
        <v>0.13</v>
      </c>
      <c r="AA1030" s="20">
        <f>Table3[[#This Row],[APS]]*Table3[[#This Row],[PrimaComercial Anual]]</f>
        <v>83.178960000000004</v>
      </c>
      <c r="AB1030" s="8">
        <f>Table3[[#This Row],[PrimaComercial Anual]]*Table3[[#This Row],[Recargo adicional]]</f>
        <v>474.91252020000002</v>
      </c>
      <c r="AC1030" s="8">
        <f>Table3[[#This Row],[PrimaComercial Anual]]*Table3[[#This Row],[IT]]</f>
        <v>168.60599999999999</v>
      </c>
      <c r="AD1030" s="8">
        <f>Table3[[#This Row],[PrimaComercial Anual]]*Table3[[#This Row],[IVA]]</f>
        <v>730.62599999999998</v>
      </c>
      <c r="AE1030" s="15">
        <f>Table3[[#This Row],[PrimaComercial Anual Asistencia]]</f>
        <v>5620.2</v>
      </c>
      <c r="AG1030">
        <v>5620.2</v>
      </c>
    </row>
    <row r="1031" spans="1:33" x14ac:dyDescent="0.25">
      <c r="A1031" t="s">
        <v>18</v>
      </c>
      <c r="B1031">
        <v>700002</v>
      </c>
      <c r="C1031">
        <v>5</v>
      </c>
      <c r="D1031" s="2">
        <f>Table3[[#This Row],[PrimaTécnica]]-Table3[[#This Row],[PrimaTécnica]]*SUM(Table3[[#This Row],[Gastos Adm]:[Cobranza]])</f>
        <v>2440.4983323552001</v>
      </c>
      <c r="E1031">
        <v>0</v>
      </c>
      <c r="F1031">
        <v>0.15</v>
      </c>
      <c r="G1031">
        <v>0.05</v>
      </c>
      <c r="H1031">
        <v>0.01</v>
      </c>
      <c r="I1031">
        <v>0.01</v>
      </c>
      <c r="J1031" s="8">
        <f>Table3[[#This Row],[PrimaTécnica]]*Table3[[#This Row],[Gastos Adm]]</f>
        <v>469.32660237600004</v>
      </c>
      <c r="K1031" s="8">
        <f>Table3[[#This Row],[PrimaTécnica]]*Table3[[#This Row],[Utilidad]]</f>
        <v>156.44220079200002</v>
      </c>
      <c r="L1031" s="8">
        <f>Table3[[#This Row],[PrimaTécnica]]*Table3[[#This Row],[Marketing]]</f>
        <v>31.288440158400004</v>
      </c>
      <c r="M1031" s="8">
        <f>Table3[[#This Row],[PrimaTécnica]]*Table3[[#This Row],[Cobranza]]</f>
        <v>31.288440158400004</v>
      </c>
      <c r="N103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3128.8440158400003</v>
      </c>
      <c r="O1031">
        <v>21.84</v>
      </c>
      <c r="P1031">
        <v>54.6</v>
      </c>
      <c r="Q1031">
        <v>80.64</v>
      </c>
      <c r="R1031">
        <v>44.377200000000002</v>
      </c>
      <c r="S1031">
        <v>0.2</v>
      </c>
      <c r="T1031">
        <v>0.02</v>
      </c>
      <c r="U1031" s="8">
        <f>Table3[[#This Row],[PrimaNeta]]*Table3[[#This Row],[Comisión]]</f>
        <v>832.57530396000004</v>
      </c>
      <c r="V1031" s="15">
        <f>Table3[[#This Row],[PrimaComercial Anual]]-Table3[[#This Row],[PrimaComercial Anual]]*SUM(Table3[[#This Row],[APS]:[IVA]])</f>
        <v>4162.8765198000001</v>
      </c>
      <c r="W1031" s="2">
        <v>1.4800000000000001E-2</v>
      </c>
      <c r="X1031" s="2">
        <v>8.4501000000000007E-2</v>
      </c>
      <c r="Y1031">
        <v>0.03</v>
      </c>
      <c r="Z1031">
        <v>0.13</v>
      </c>
      <c r="AA1031" s="20">
        <f>Table3[[#This Row],[APS]]*Table3[[#This Row],[PrimaComercial Anual]]</f>
        <v>83.178960000000004</v>
      </c>
      <c r="AB1031" s="8">
        <f>Table3[[#This Row],[PrimaComercial Anual]]*Table3[[#This Row],[Recargo adicional]]</f>
        <v>474.91252020000002</v>
      </c>
      <c r="AC1031" s="8">
        <f>Table3[[#This Row],[PrimaComercial Anual]]*Table3[[#This Row],[IT]]</f>
        <v>168.60599999999999</v>
      </c>
      <c r="AD1031" s="8">
        <f>Table3[[#This Row],[PrimaComercial Anual]]*Table3[[#This Row],[IVA]]</f>
        <v>730.62599999999998</v>
      </c>
      <c r="AE1031" s="15">
        <f>Table3[[#This Row],[PrimaComercial Anual Asistencia]]</f>
        <v>5620.2</v>
      </c>
      <c r="AG1031">
        <v>5620.2</v>
      </c>
    </row>
    <row r="1032" spans="1:33" x14ac:dyDescent="0.25">
      <c r="A1032" t="s">
        <v>18</v>
      </c>
      <c r="B1032">
        <v>700002</v>
      </c>
      <c r="C1032">
        <v>6</v>
      </c>
      <c r="D1032" s="2">
        <f>Table3[[#This Row],[PrimaTécnica]]-Table3[[#This Row],[PrimaTécnica]]*SUM(Table3[[#This Row],[Gastos Adm]:[Cobranza]])</f>
        <v>2440.4983323552001</v>
      </c>
      <c r="E1032">
        <v>0</v>
      </c>
      <c r="F1032">
        <v>0.15</v>
      </c>
      <c r="G1032">
        <v>0.05</v>
      </c>
      <c r="H1032">
        <v>0.01</v>
      </c>
      <c r="I1032">
        <v>0.01</v>
      </c>
      <c r="J1032" s="8">
        <f>Table3[[#This Row],[PrimaTécnica]]*Table3[[#This Row],[Gastos Adm]]</f>
        <v>469.32660237600004</v>
      </c>
      <c r="K1032" s="8">
        <f>Table3[[#This Row],[PrimaTécnica]]*Table3[[#This Row],[Utilidad]]</f>
        <v>156.44220079200002</v>
      </c>
      <c r="L1032" s="8">
        <f>Table3[[#This Row],[PrimaTécnica]]*Table3[[#This Row],[Marketing]]</f>
        <v>31.288440158400004</v>
      </c>
      <c r="M1032" s="8">
        <f>Table3[[#This Row],[PrimaTécnica]]*Table3[[#This Row],[Cobranza]]</f>
        <v>31.288440158400004</v>
      </c>
      <c r="N103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3128.8440158400003</v>
      </c>
      <c r="O1032">
        <v>21.84</v>
      </c>
      <c r="P1032">
        <v>54.6</v>
      </c>
      <c r="Q1032">
        <v>80.64</v>
      </c>
      <c r="R1032">
        <v>44.377200000000002</v>
      </c>
      <c r="S1032">
        <v>0.2</v>
      </c>
      <c r="T1032">
        <v>0.02</v>
      </c>
      <c r="U1032" s="8">
        <f>Table3[[#This Row],[PrimaNeta]]*Table3[[#This Row],[Comisión]]</f>
        <v>832.57530396000004</v>
      </c>
      <c r="V1032" s="15">
        <f>Table3[[#This Row],[PrimaComercial Anual]]-Table3[[#This Row],[PrimaComercial Anual]]*SUM(Table3[[#This Row],[APS]:[IVA]])</f>
        <v>4162.8765198000001</v>
      </c>
      <c r="W1032" s="2">
        <v>1.4800000000000001E-2</v>
      </c>
      <c r="X1032" s="2">
        <v>8.4501000000000007E-2</v>
      </c>
      <c r="Y1032">
        <v>0.03</v>
      </c>
      <c r="Z1032">
        <v>0.13</v>
      </c>
      <c r="AA1032" s="20">
        <f>Table3[[#This Row],[APS]]*Table3[[#This Row],[PrimaComercial Anual]]</f>
        <v>83.178960000000004</v>
      </c>
      <c r="AB1032" s="8">
        <f>Table3[[#This Row],[PrimaComercial Anual]]*Table3[[#This Row],[Recargo adicional]]</f>
        <v>474.91252020000002</v>
      </c>
      <c r="AC1032" s="8">
        <f>Table3[[#This Row],[PrimaComercial Anual]]*Table3[[#This Row],[IT]]</f>
        <v>168.60599999999999</v>
      </c>
      <c r="AD1032" s="8">
        <f>Table3[[#This Row],[PrimaComercial Anual]]*Table3[[#This Row],[IVA]]</f>
        <v>730.62599999999998</v>
      </c>
      <c r="AE1032" s="15">
        <f>Table3[[#This Row],[PrimaComercial Anual Asistencia]]</f>
        <v>5620.2</v>
      </c>
      <c r="AG1032">
        <v>5620.2</v>
      </c>
    </row>
    <row r="1033" spans="1:33" x14ac:dyDescent="0.25">
      <c r="A1033" t="s">
        <v>18</v>
      </c>
      <c r="B1033">
        <v>700002</v>
      </c>
      <c r="C1033">
        <v>7</v>
      </c>
      <c r="D1033" s="2">
        <f>Table3[[#This Row],[PrimaTécnica]]-Table3[[#This Row],[PrimaTécnica]]*SUM(Table3[[#This Row],[Gastos Adm]:[Cobranza]])</f>
        <v>2440.4983323552001</v>
      </c>
      <c r="E1033">
        <v>0</v>
      </c>
      <c r="F1033">
        <v>0.15</v>
      </c>
      <c r="G1033">
        <v>0.05</v>
      </c>
      <c r="H1033">
        <v>0.01</v>
      </c>
      <c r="I1033">
        <v>0.01</v>
      </c>
      <c r="J1033" s="8">
        <f>Table3[[#This Row],[PrimaTécnica]]*Table3[[#This Row],[Gastos Adm]]</f>
        <v>469.32660237600004</v>
      </c>
      <c r="K1033" s="8">
        <f>Table3[[#This Row],[PrimaTécnica]]*Table3[[#This Row],[Utilidad]]</f>
        <v>156.44220079200002</v>
      </c>
      <c r="L1033" s="8">
        <f>Table3[[#This Row],[PrimaTécnica]]*Table3[[#This Row],[Marketing]]</f>
        <v>31.288440158400004</v>
      </c>
      <c r="M1033" s="8">
        <f>Table3[[#This Row],[PrimaTécnica]]*Table3[[#This Row],[Cobranza]]</f>
        <v>31.288440158400004</v>
      </c>
      <c r="N103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3128.8440158400003</v>
      </c>
      <c r="O1033">
        <v>21.84</v>
      </c>
      <c r="P1033">
        <v>54.6</v>
      </c>
      <c r="Q1033">
        <v>80.64</v>
      </c>
      <c r="R1033">
        <v>44.377200000000002</v>
      </c>
      <c r="S1033">
        <v>0.2</v>
      </c>
      <c r="T1033">
        <v>0.02</v>
      </c>
      <c r="U1033" s="8">
        <f>Table3[[#This Row],[PrimaNeta]]*Table3[[#This Row],[Comisión]]</f>
        <v>832.57530396000004</v>
      </c>
      <c r="V1033" s="15">
        <f>Table3[[#This Row],[PrimaComercial Anual]]-Table3[[#This Row],[PrimaComercial Anual]]*SUM(Table3[[#This Row],[APS]:[IVA]])</f>
        <v>4162.8765198000001</v>
      </c>
      <c r="W1033" s="2">
        <v>1.4800000000000001E-2</v>
      </c>
      <c r="X1033" s="2">
        <v>8.4501000000000007E-2</v>
      </c>
      <c r="Y1033">
        <v>0.03</v>
      </c>
      <c r="Z1033">
        <v>0.13</v>
      </c>
      <c r="AA1033" s="20">
        <f>Table3[[#This Row],[APS]]*Table3[[#This Row],[PrimaComercial Anual]]</f>
        <v>83.178960000000004</v>
      </c>
      <c r="AB1033" s="8">
        <f>Table3[[#This Row],[PrimaComercial Anual]]*Table3[[#This Row],[Recargo adicional]]</f>
        <v>474.91252020000002</v>
      </c>
      <c r="AC1033" s="8">
        <f>Table3[[#This Row],[PrimaComercial Anual]]*Table3[[#This Row],[IT]]</f>
        <v>168.60599999999999</v>
      </c>
      <c r="AD1033" s="8">
        <f>Table3[[#This Row],[PrimaComercial Anual]]*Table3[[#This Row],[IVA]]</f>
        <v>730.62599999999998</v>
      </c>
      <c r="AE1033" s="15">
        <f>Table3[[#This Row],[PrimaComercial Anual Asistencia]]</f>
        <v>5620.2</v>
      </c>
      <c r="AG1033">
        <v>5620.2</v>
      </c>
    </row>
    <row r="1034" spans="1:33" x14ac:dyDescent="0.25">
      <c r="A1034" t="s">
        <v>18</v>
      </c>
      <c r="B1034">
        <v>700002</v>
      </c>
      <c r="C1034">
        <v>8</v>
      </c>
      <c r="D1034" s="2">
        <f>Table3[[#This Row],[PrimaTécnica]]-Table3[[#This Row],[PrimaTécnica]]*SUM(Table3[[#This Row],[Gastos Adm]:[Cobranza]])</f>
        <v>2440.4983323552001</v>
      </c>
      <c r="E1034">
        <v>0</v>
      </c>
      <c r="F1034">
        <v>0.15</v>
      </c>
      <c r="G1034">
        <v>0.05</v>
      </c>
      <c r="H1034">
        <v>0.01</v>
      </c>
      <c r="I1034">
        <v>0.01</v>
      </c>
      <c r="J1034" s="8">
        <f>Table3[[#This Row],[PrimaTécnica]]*Table3[[#This Row],[Gastos Adm]]</f>
        <v>469.32660237600004</v>
      </c>
      <c r="K1034" s="8">
        <f>Table3[[#This Row],[PrimaTécnica]]*Table3[[#This Row],[Utilidad]]</f>
        <v>156.44220079200002</v>
      </c>
      <c r="L1034" s="8">
        <f>Table3[[#This Row],[PrimaTécnica]]*Table3[[#This Row],[Marketing]]</f>
        <v>31.288440158400004</v>
      </c>
      <c r="M1034" s="8">
        <f>Table3[[#This Row],[PrimaTécnica]]*Table3[[#This Row],[Cobranza]]</f>
        <v>31.288440158400004</v>
      </c>
      <c r="N103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3128.8440158400003</v>
      </c>
      <c r="O1034">
        <v>21.84</v>
      </c>
      <c r="P1034">
        <v>54.6</v>
      </c>
      <c r="Q1034">
        <v>80.64</v>
      </c>
      <c r="R1034">
        <v>44.377200000000002</v>
      </c>
      <c r="S1034">
        <v>0.2</v>
      </c>
      <c r="T1034">
        <v>0.02</v>
      </c>
      <c r="U1034" s="8">
        <f>Table3[[#This Row],[PrimaNeta]]*Table3[[#This Row],[Comisión]]</f>
        <v>832.57530396000004</v>
      </c>
      <c r="V1034" s="15">
        <f>Table3[[#This Row],[PrimaComercial Anual]]-Table3[[#This Row],[PrimaComercial Anual]]*SUM(Table3[[#This Row],[APS]:[IVA]])</f>
        <v>4162.8765198000001</v>
      </c>
      <c r="W1034" s="2">
        <v>1.4800000000000001E-2</v>
      </c>
      <c r="X1034" s="2">
        <v>8.4501000000000007E-2</v>
      </c>
      <c r="Y1034">
        <v>0.03</v>
      </c>
      <c r="Z1034">
        <v>0.13</v>
      </c>
      <c r="AA1034" s="20">
        <f>Table3[[#This Row],[APS]]*Table3[[#This Row],[PrimaComercial Anual]]</f>
        <v>83.178960000000004</v>
      </c>
      <c r="AB1034" s="8">
        <f>Table3[[#This Row],[PrimaComercial Anual]]*Table3[[#This Row],[Recargo adicional]]</f>
        <v>474.91252020000002</v>
      </c>
      <c r="AC1034" s="8">
        <f>Table3[[#This Row],[PrimaComercial Anual]]*Table3[[#This Row],[IT]]</f>
        <v>168.60599999999999</v>
      </c>
      <c r="AD1034" s="8">
        <f>Table3[[#This Row],[PrimaComercial Anual]]*Table3[[#This Row],[IVA]]</f>
        <v>730.62599999999998</v>
      </c>
      <c r="AE1034" s="15">
        <f>Table3[[#This Row],[PrimaComercial Anual Asistencia]]</f>
        <v>5620.2</v>
      </c>
      <c r="AG1034">
        <v>5620.2</v>
      </c>
    </row>
    <row r="1035" spans="1:33" x14ac:dyDescent="0.25">
      <c r="A1035" t="s">
        <v>18</v>
      </c>
      <c r="B1035">
        <v>700002</v>
      </c>
      <c r="C1035">
        <v>9</v>
      </c>
      <c r="D1035" s="2">
        <f>Table3[[#This Row],[PrimaTécnica]]-Table3[[#This Row],[PrimaTécnica]]*SUM(Table3[[#This Row],[Gastos Adm]:[Cobranza]])</f>
        <v>2440.4983323552001</v>
      </c>
      <c r="E1035">
        <v>0</v>
      </c>
      <c r="F1035">
        <v>0.15</v>
      </c>
      <c r="G1035">
        <v>0.05</v>
      </c>
      <c r="H1035">
        <v>0.01</v>
      </c>
      <c r="I1035">
        <v>0.01</v>
      </c>
      <c r="J1035" s="8">
        <f>Table3[[#This Row],[PrimaTécnica]]*Table3[[#This Row],[Gastos Adm]]</f>
        <v>469.32660237600004</v>
      </c>
      <c r="K1035" s="8">
        <f>Table3[[#This Row],[PrimaTécnica]]*Table3[[#This Row],[Utilidad]]</f>
        <v>156.44220079200002</v>
      </c>
      <c r="L1035" s="8">
        <f>Table3[[#This Row],[PrimaTécnica]]*Table3[[#This Row],[Marketing]]</f>
        <v>31.288440158400004</v>
      </c>
      <c r="M1035" s="8">
        <f>Table3[[#This Row],[PrimaTécnica]]*Table3[[#This Row],[Cobranza]]</f>
        <v>31.288440158400004</v>
      </c>
      <c r="N103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3128.8440158400003</v>
      </c>
      <c r="O1035">
        <v>21.84</v>
      </c>
      <c r="P1035">
        <v>54.6</v>
      </c>
      <c r="Q1035">
        <v>80.64</v>
      </c>
      <c r="R1035">
        <v>44.377200000000002</v>
      </c>
      <c r="S1035">
        <v>0.2</v>
      </c>
      <c r="T1035">
        <v>0.02</v>
      </c>
      <c r="U1035" s="8">
        <f>Table3[[#This Row],[PrimaNeta]]*Table3[[#This Row],[Comisión]]</f>
        <v>832.57530396000004</v>
      </c>
      <c r="V1035" s="15">
        <f>Table3[[#This Row],[PrimaComercial Anual]]-Table3[[#This Row],[PrimaComercial Anual]]*SUM(Table3[[#This Row],[APS]:[IVA]])</f>
        <v>4162.8765198000001</v>
      </c>
      <c r="W1035" s="2">
        <v>1.4800000000000001E-2</v>
      </c>
      <c r="X1035" s="2">
        <v>8.4501000000000007E-2</v>
      </c>
      <c r="Y1035">
        <v>0.03</v>
      </c>
      <c r="Z1035">
        <v>0.13</v>
      </c>
      <c r="AA1035" s="20">
        <f>Table3[[#This Row],[APS]]*Table3[[#This Row],[PrimaComercial Anual]]</f>
        <v>83.178960000000004</v>
      </c>
      <c r="AB1035" s="8">
        <f>Table3[[#This Row],[PrimaComercial Anual]]*Table3[[#This Row],[Recargo adicional]]</f>
        <v>474.91252020000002</v>
      </c>
      <c r="AC1035" s="8">
        <f>Table3[[#This Row],[PrimaComercial Anual]]*Table3[[#This Row],[IT]]</f>
        <v>168.60599999999999</v>
      </c>
      <c r="AD1035" s="8">
        <f>Table3[[#This Row],[PrimaComercial Anual]]*Table3[[#This Row],[IVA]]</f>
        <v>730.62599999999998</v>
      </c>
      <c r="AE1035" s="15">
        <f>Table3[[#This Row],[PrimaComercial Anual Asistencia]]</f>
        <v>5620.2</v>
      </c>
      <c r="AG1035">
        <v>5620.2</v>
      </c>
    </row>
    <row r="1036" spans="1:33" x14ac:dyDescent="0.25">
      <c r="A1036" t="s">
        <v>18</v>
      </c>
      <c r="B1036">
        <v>700002</v>
      </c>
      <c r="C1036">
        <v>10</v>
      </c>
      <c r="D1036" s="2">
        <f>Table3[[#This Row],[PrimaTécnica]]-Table3[[#This Row],[PrimaTécnica]]*SUM(Table3[[#This Row],[Gastos Adm]:[Cobranza]])</f>
        <v>2440.4983323552001</v>
      </c>
      <c r="E1036">
        <v>0</v>
      </c>
      <c r="F1036">
        <v>0.15</v>
      </c>
      <c r="G1036">
        <v>0.05</v>
      </c>
      <c r="H1036">
        <v>0.01</v>
      </c>
      <c r="I1036">
        <v>0.01</v>
      </c>
      <c r="J1036" s="8">
        <f>Table3[[#This Row],[PrimaTécnica]]*Table3[[#This Row],[Gastos Adm]]</f>
        <v>469.32660237600004</v>
      </c>
      <c r="K1036" s="8">
        <f>Table3[[#This Row],[PrimaTécnica]]*Table3[[#This Row],[Utilidad]]</f>
        <v>156.44220079200002</v>
      </c>
      <c r="L1036" s="8">
        <f>Table3[[#This Row],[PrimaTécnica]]*Table3[[#This Row],[Marketing]]</f>
        <v>31.288440158400004</v>
      </c>
      <c r="M1036" s="8">
        <f>Table3[[#This Row],[PrimaTécnica]]*Table3[[#This Row],[Cobranza]]</f>
        <v>31.288440158400004</v>
      </c>
      <c r="N103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3128.8440158400003</v>
      </c>
      <c r="O1036">
        <v>21.84</v>
      </c>
      <c r="P1036">
        <v>54.6</v>
      </c>
      <c r="Q1036">
        <v>80.64</v>
      </c>
      <c r="R1036">
        <v>44.377200000000002</v>
      </c>
      <c r="S1036">
        <v>0.2</v>
      </c>
      <c r="T1036">
        <v>0.02</v>
      </c>
      <c r="U1036" s="8">
        <f>Table3[[#This Row],[PrimaNeta]]*Table3[[#This Row],[Comisión]]</f>
        <v>832.57530396000004</v>
      </c>
      <c r="V1036" s="15">
        <f>Table3[[#This Row],[PrimaComercial Anual]]-Table3[[#This Row],[PrimaComercial Anual]]*SUM(Table3[[#This Row],[APS]:[IVA]])</f>
        <v>4162.8765198000001</v>
      </c>
      <c r="W1036" s="2">
        <v>1.4800000000000001E-2</v>
      </c>
      <c r="X1036" s="2">
        <v>8.4501000000000007E-2</v>
      </c>
      <c r="Y1036">
        <v>0.03</v>
      </c>
      <c r="Z1036">
        <v>0.13</v>
      </c>
      <c r="AA1036" s="20">
        <f>Table3[[#This Row],[APS]]*Table3[[#This Row],[PrimaComercial Anual]]</f>
        <v>83.178960000000004</v>
      </c>
      <c r="AB1036" s="8">
        <f>Table3[[#This Row],[PrimaComercial Anual]]*Table3[[#This Row],[Recargo adicional]]</f>
        <v>474.91252020000002</v>
      </c>
      <c r="AC1036" s="8">
        <f>Table3[[#This Row],[PrimaComercial Anual]]*Table3[[#This Row],[IT]]</f>
        <v>168.60599999999999</v>
      </c>
      <c r="AD1036" s="8">
        <f>Table3[[#This Row],[PrimaComercial Anual]]*Table3[[#This Row],[IVA]]</f>
        <v>730.62599999999998</v>
      </c>
      <c r="AE1036" s="15">
        <f>Table3[[#This Row],[PrimaComercial Anual Asistencia]]</f>
        <v>5620.2</v>
      </c>
      <c r="AG1036">
        <v>5620.2</v>
      </c>
    </row>
    <row r="1037" spans="1:33" x14ac:dyDescent="0.25">
      <c r="A1037" t="s">
        <v>18</v>
      </c>
      <c r="B1037">
        <v>700002</v>
      </c>
      <c r="C1037">
        <v>11</v>
      </c>
      <c r="D1037" s="2">
        <f>Table3[[#This Row],[PrimaTécnica]]-Table3[[#This Row],[PrimaTécnica]]*SUM(Table3[[#This Row],[Gastos Adm]:[Cobranza]])</f>
        <v>2440.4983323552001</v>
      </c>
      <c r="E1037">
        <v>0</v>
      </c>
      <c r="F1037">
        <v>0.15</v>
      </c>
      <c r="G1037">
        <v>0.05</v>
      </c>
      <c r="H1037">
        <v>0.01</v>
      </c>
      <c r="I1037">
        <v>0.01</v>
      </c>
      <c r="J1037" s="8">
        <f>Table3[[#This Row],[PrimaTécnica]]*Table3[[#This Row],[Gastos Adm]]</f>
        <v>469.32660237600004</v>
      </c>
      <c r="K1037" s="8">
        <f>Table3[[#This Row],[PrimaTécnica]]*Table3[[#This Row],[Utilidad]]</f>
        <v>156.44220079200002</v>
      </c>
      <c r="L1037" s="8">
        <f>Table3[[#This Row],[PrimaTécnica]]*Table3[[#This Row],[Marketing]]</f>
        <v>31.288440158400004</v>
      </c>
      <c r="M1037" s="8">
        <f>Table3[[#This Row],[PrimaTécnica]]*Table3[[#This Row],[Cobranza]]</f>
        <v>31.288440158400004</v>
      </c>
      <c r="N103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3128.8440158400003</v>
      </c>
      <c r="O1037">
        <v>21.84</v>
      </c>
      <c r="P1037">
        <v>54.6</v>
      </c>
      <c r="Q1037">
        <v>80.64</v>
      </c>
      <c r="R1037">
        <v>44.377200000000002</v>
      </c>
      <c r="S1037">
        <v>0.2</v>
      </c>
      <c r="T1037">
        <v>0.02</v>
      </c>
      <c r="U1037" s="8">
        <f>Table3[[#This Row],[PrimaNeta]]*Table3[[#This Row],[Comisión]]</f>
        <v>832.57530396000004</v>
      </c>
      <c r="V1037" s="15">
        <f>Table3[[#This Row],[PrimaComercial Anual]]-Table3[[#This Row],[PrimaComercial Anual]]*SUM(Table3[[#This Row],[APS]:[IVA]])</f>
        <v>4162.8765198000001</v>
      </c>
      <c r="W1037" s="2">
        <v>1.4800000000000001E-2</v>
      </c>
      <c r="X1037" s="2">
        <v>8.4501000000000007E-2</v>
      </c>
      <c r="Y1037">
        <v>0.03</v>
      </c>
      <c r="Z1037">
        <v>0.13</v>
      </c>
      <c r="AA1037" s="20">
        <f>Table3[[#This Row],[APS]]*Table3[[#This Row],[PrimaComercial Anual]]</f>
        <v>83.178960000000004</v>
      </c>
      <c r="AB1037" s="8">
        <f>Table3[[#This Row],[PrimaComercial Anual]]*Table3[[#This Row],[Recargo adicional]]</f>
        <v>474.91252020000002</v>
      </c>
      <c r="AC1037" s="8">
        <f>Table3[[#This Row],[PrimaComercial Anual]]*Table3[[#This Row],[IT]]</f>
        <v>168.60599999999999</v>
      </c>
      <c r="AD1037" s="8">
        <f>Table3[[#This Row],[PrimaComercial Anual]]*Table3[[#This Row],[IVA]]</f>
        <v>730.62599999999998</v>
      </c>
      <c r="AE1037" s="15">
        <f>Table3[[#This Row],[PrimaComercial Anual Asistencia]]</f>
        <v>5620.2</v>
      </c>
      <c r="AG1037">
        <v>5620.2</v>
      </c>
    </row>
    <row r="1038" spans="1:33" x14ac:dyDescent="0.25">
      <c r="A1038" t="s">
        <v>18</v>
      </c>
      <c r="B1038">
        <v>700002</v>
      </c>
      <c r="C1038">
        <v>12</v>
      </c>
      <c r="D1038" s="2">
        <f>Table3[[#This Row],[PrimaTécnica]]-Table3[[#This Row],[PrimaTécnica]]*SUM(Table3[[#This Row],[Gastos Adm]:[Cobranza]])</f>
        <v>2440.4983323552001</v>
      </c>
      <c r="E1038">
        <v>0</v>
      </c>
      <c r="F1038">
        <v>0.15</v>
      </c>
      <c r="G1038">
        <v>0.05</v>
      </c>
      <c r="H1038">
        <v>0.01</v>
      </c>
      <c r="I1038">
        <v>0.01</v>
      </c>
      <c r="J1038" s="8">
        <f>Table3[[#This Row],[PrimaTécnica]]*Table3[[#This Row],[Gastos Adm]]</f>
        <v>469.32660237600004</v>
      </c>
      <c r="K1038" s="8">
        <f>Table3[[#This Row],[PrimaTécnica]]*Table3[[#This Row],[Utilidad]]</f>
        <v>156.44220079200002</v>
      </c>
      <c r="L1038" s="8">
        <f>Table3[[#This Row],[PrimaTécnica]]*Table3[[#This Row],[Marketing]]</f>
        <v>31.288440158400004</v>
      </c>
      <c r="M1038" s="8">
        <f>Table3[[#This Row],[PrimaTécnica]]*Table3[[#This Row],[Cobranza]]</f>
        <v>31.288440158400004</v>
      </c>
      <c r="N103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3128.8440158400003</v>
      </c>
      <c r="O1038">
        <v>21.84</v>
      </c>
      <c r="P1038">
        <v>54.6</v>
      </c>
      <c r="Q1038">
        <v>80.64</v>
      </c>
      <c r="R1038">
        <v>44.377200000000002</v>
      </c>
      <c r="S1038">
        <v>0.2</v>
      </c>
      <c r="T1038">
        <v>0.02</v>
      </c>
      <c r="U1038" s="8">
        <f>Table3[[#This Row],[PrimaNeta]]*Table3[[#This Row],[Comisión]]</f>
        <v>832.57530396000004</v>
      </c>
      <c r="V1038" s="15">
        <f>Table3[[#This Row],[PrimaComercial Anual]]-Table3[[#This Row],[PrimaComercial Anual]]*SUM(Table3[[#This Row],[APS]:[IVA]])</f>
        <v>4162.8765198000001</v>
      </c>
      <c r="W1038" s="2">
        <v>1.4800000000000001E-2</v>
      </c>
      <c r="X1038" s="2">
        <v>8.4501000000000007E-2</v>
      </c>
      <c r="Y1038">
        <v>0.03</v>
      </c>
      <c r="Z1038">
        <v>0.13</v>
      </c>
      <c r="AA1038" s="20">
        <f>Table3[[#This Row],[APS]]*Table3[[#This Row],[PrimaComercial Anual]]</f>
        <v>83.178960000000004</v>
      </c>
      <c r="AB1038" s="8">
        <f>Table3[[#This Row],[PrimaComercial Anual]]*Table3[[#This Row],[Recargo adicional]]</f>
        <v>474.91252020000002</v>
      </c>
      <c r="AC1038" s="8">
        <f>Table3[[#This Row],[PrimaComercial Anual]]*Table3[[#This Row],[IT]]</f>
        <v>168.60599999999999</v>
      </c>
      <c r="AD1038" s="8">
        <f>Table3[[#This Row],[PrimaComercial Anual]]*Table3[[#This Row],[IVA]]</f>
        <v>730.62599999999998</v>
      </c>
      <c r="AE1038" s="15">
        <f>Table3[[#This Row],[PrimaComercial Anual Asistencia]]</f>
        <v>5620.2</v>
      </c>
      <c r="AG1038">
        <v>5620.2</v>
      </c>
    </row>
    <row r="1039" spans="1:33" x14ac:dyDescent="0.25">
      <c r="A1039" t="s">
        <v>18</v>
      </c>
      <c r="B1039">
        <v>700002</v>
      </c>
      <c r="C1039">
        <v>13</v>
      </c>
      <c r="D1039" s="2">
        <f>Table3[[#This Row],[PrimaTécnica]]-Table3[[#This Row],[PrimaTécnica]]*SUM(Table3[[#This Row],[Gastos Adm]:[Cobranza]])</f>
        <v>2440.4983323552001</v>
      </c>
      <c r="E1039">
        <v>0</v>
      </c>
      <c r="F1039">
        <v>0.15</v>
      </c>
      <c r="G1039">
        <v>0.05</v>
      </c>
      <c r="H1039">
        <v>0.01</v>
      </c>
      <c r="I1039">
        <v>0.01</v>
      </c>
      <c r="J1039" s="8">
        <f>Table3[[#This Row],[PrimaTécnica]]*Table3[[#This Row],[Gastos Adm]]</f>
        <v>469.32660237600004</v>
      </c>
      <c r="K1039" s="8">
        <f>Table3[[#This Row],[PrimaTécnica]]*Table3[[#This Row],[Utilidad]]</f>
        <v>156.44220079200002</v>
      </c>
      <c r="L1039" s="8">
        <f>Table3[[#This Row],[PrimaTécnica]]*Table3[[#This Row],[Marketing]]</f>
        <v>31.288440158400004</v>
      </c>
      <c r="M1039" s="8">
        <f>Table3[[#This Row],[PrimaTécnica]]*Table3[[#This Row],[Cobranza]]</f>
        <v>31.288440158400004</v>
      </c>
      <c r="N103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3128.8440158400003</v>
      </c>
      <c r="O1039">
        <v>21.84</v>
      </c>
      <c r="P1039">
        <v>54.6</v>
      </c>
      <c r="Q1039">
        <v>80.64</v>
      </c>
      <c r="R1039">
        <v>44.377200000000002</v>
      </c>
      <c r="S1039">
        <v>0.2</v>
      </c>
      <c r="T1039">
        <v>0.02</v>
      </c>
      <c r="U1039" s="8">
        <f>Table3[[#This Row],[PrimaNeta]]*Table3[[#This Row],[Comisión]]</f>
        <v>832.57530396000004</v>
      </c>
      <c r="V1039" s="15">
        <f>Table3[[#This Row],[PrimaComercial Anual]]-Table3[[#This Row],[PrimaComercial Anual]]*SUM(Table3[[#This Row],[APS]:[IVA]])</f>
        <v>4162.8765198000001</v>
      </c>
      <c r="W1039" s="2">
        <v>1.4800000000000001E-2</v>
      </c>
      <c r="X1039" s="2">
        <v>8.4501000000000007E-2</v>
      </c>
      <c r="Y1039">
        <v>0.03</v>
      </c>
      <c r="Z1039">
        <v>0.13</v>
      </c>
      <c r="AA1039" s="20">
        <f>Table3[[#This Row],[APS]]*Table3[[#This Row],[PrimaComercial Anual]]</f>
        <v>83.178960000000004</v>
      </c>
      <c r="AB1039" s="8">
        <f>Table3[[#This Row],[PrimaComercial Anual]]*Table3[[#This Row],[Recargo adicional]]</f>
        <v>474.91252020000002</v>
      </c>
      <c r="AC1039" s="8">
        <f>Table3[[#This Row],[PrimaComercial Anual]]*Table3[[#This Row],[IT]]</f>
        <v>168.60599999999999</v>
      </c>
      <c r="AD1039" s="8">
        <f>Table3[[#This Row],[PrimaComercial Anual]]*Table3[[#This Row],[IVA]]</f>
        <v>730.62599999999998</v>
      </c>
      <c r="AE1039" s="15">
        <f>Table3[[#This Row],[PrimaComercial Anual Asistencia]]</f>
        <v>5620.2</v>
      </c>
      <c r="AG1039">
        <v>5620.2</v>
      </c>
    </row>
    <row r="1040" spans="1:33" x14ac:dyDescent="0.25">
      <c r="A1040" t="s">
        <v>18</v>
      </c>
      <c r="B1040">
        <v>700002</v>
      </c>
      <c r="C1040">
        <v>14</v>
      </c>
      <c r="D1040" s="2">
        <f>Table3[[#This Row],[PrimaTécnica]]-Table3[[#This Row],[PrimaTécnica]]*SUM(Table3[[#This Row],[Gastos Adm]:[Cobranza]])</f>
        <v>2440.4983323552001</v>
      </c>
      <c r="E1040">
        <v>0</v>
      </c>
      <c r="F1040">
        <v>0.15</v>
      </c>
      <c r="G1040">
        <v>0.05</v>
      </c>
      <c r="H1040">
        <v>0.01</v>
      </c>
      <c r="I1040">
        <v>0.01</v>
      </c>
      <c r="J1040" s="8">
        <f>Table3[[#This Row],[PrimaTécnica]]*Table3[[#This Row],[Gastos Adm]]</f>
        <v>469.32660237600004</v>
      </c>
      <c r="K1040" s="8">
        <f>Table3[[#This Row],[PrimaTécnica]]*Table3[[#This Row],[Utilidad]]</f>
        <v>156.44220079200002</v>
      </c>
      <c r="L1040" s="8">
        <f>Table3[[#This Row],[PrimaTécnica]]*Table3[[#This Row],[Marketing]]</f>
        <v>31.288440158400004</v>
      </c>
      <c r="M1040" s="8">
        <f>Table3[[#This Row],[PrimaTécnica]]*Table3[[#This Row],[Cobranza]]</f>
        <v>31.288440158400004</v>
      </c>
      <c r="N104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3128.8440158400003</v>
      </c>
      <c r="O1040">
        <v>21.84</v>
      </c>
      <c r="P1040">
        <v>54.6</v>
      </c>
      <c r="Q1040">
        <v>80.64</v>
      </c>
      <c r="R1040">
        <v>44.377200000000002</v>
      </c>
      <c r="S1040">
        <v>0.2</v>
      </c>
      <c r="T1040">
        <v>0.02</v>
      </c>
      <c r="U1040" s="8">
        <f>Table3[[#This Row],[PrimaNeta]]*Table3[[#This Row],[Comisión]]</f>
        <v>832.57530396000004</v>
      </c>
      <c r="V1040" s="15">
        <f>Table3[[#This Row],[PrimaComercial Anual]]-Table3[[#This Row],[PrimaComercial Anual]]*SUM(Table3[[#This Row],[APS]:[IVA]])</f>
        <v>4162.8765198000001</v>
      </c>
      <c r="W1040" s="2">
        <v>1.4800000000000001E-2</v>
      </c>
      <c r="X1040" s="2">
        <v>8.4501000000000007E-2</v>
      </c>
      <c r="Y1040">
        <v>0.03</v>
      </c>
      <c r="Z1040">
        <v>0.13</v>
      </c>
      <c r="AA1040" s="20">
        <f>Table3[[#This Row],[APS]]*Table3[[#This Row],[PrimaComercial Anual]]</f>
        <v>83.178960000000004</v>
      </c>
      <c r="AB1040" s="8">
        <f>Table3[[#This Row],[PrimaComercial Anual]]*Table3[[#This Row],[Recargo adicional]]</f>
        <v>474.91252020000002</v>
      </c>
      <c r="AC1040" s="8">
        <f>Table3[[#This Row],[PrimaComercial Anual]]*Table3[[#This Row],[IT]]</f>
        <v>168.60599999999999</v>
      </c>
      <c r="AD1040" s="8">
        <f>Table3[[#This Row],[PrimaComercial Anual]]*Table3[[#This Row],[IVA]]</f>
        <v>730.62599999999998</v>
      </c>
      <c r="AE1040" s="15">
        <f>Table3[[#This Row],[PrimaComercial Anual Asistencia]]</f>
        <v>5620.2</v>
      </c>
      <c r="AG1040">
        <v>5620.2</v>
      </c>
    </row>
    <row r="1041" spans="1:33" x14ac:dyDescent="0.25">
      <c r="A1041" t="s">
        <v>18</v>
      </c>
      <c r="B1041">
        <v>700002</v>
      </c>
      <c r="C1041">
        <v>15</v>
      </c>
      <c r="D1041" s="2">
        <f>Table3[[#This Row],[PrimaTécnica]]-Table3[[#This Row],[PrimaTécnica]]*SUM(Table3[[#This Row],[Gastos Adm]:[Cobranza]])</f>
        <v>2440.4983323552001</v>
      </c>
      <c r="E1041">
        <v>0</v>
      </c>
      <c r="F1041">
        <v>0.15</v>
      </c>
      <c r="G1041">
        <v>0.05</v>
      </c>
      <c r="H1041">
        <v>0.01</v>
      </c>
      <c r="I1041">
        <v>0.01</v>
      </c>
      <c r="J1041" s="8">
        <f>Table3[[#This Row],[PrimaTécnica]]*Table3[[#This Row],[Gastos Adm]]</f>
        <v>469.32660237600004</v>
      </c>
      <c r="K1041" s="8">
        <f>Table3[[#This Row],[PrimaTécnica]]*Table3[[#This Row],[Utilidad]]</f>
        <v>156.44220079200002</v>
      </c>
      <c r="L1041" s="8">
        <f>Table3[[#This Row],[PrimaTécnica]]*Table3[[#This Row],[Marketing]]</f>
        <v>31.288440158400004</v>
      </c>
      <c r="M1041" s="8">
        <f>Table3[[#This Row],[PrimaTécnica]]*Table3[[#This Row],[Cobranza]]</f>
        <v>31.288440158400004</v>
      </c>
      <c r="N104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3128.8440158400003</v>
      </c>
      <c r="O1041">
        <v>21.84</v>
      </c>
      <c r="P1041">
        <v>54.6</v>
      </c>
      <c r="Q1041">
        <v>80.64</v>
      </c>
      <c r="R1041">
        <v>44.377200000000002</v>
      </c>
      <c r="S1041">
        <v>0.2</v>
      </c>
      <c r="T1041">
        <v>0.02</v>
      </c>
      <c r="U1041" s="8">
        <f>Table3[[#This Row],[PrimaNeta]]*Table3[[#This Row],[Comisión]]</f>
        <v>832.57530396000004</v>
      </c>
      <c r="V1041" s="15">
        <f>Table3[[#This Row],[PrimaComercial Anual]]-Table3[[#This Row],[PrimaComercial Anual]]*SUM(Table3[[#This Row],[APS]:[IVA]])</f>
        <v>4162.8765198000001</v>
      </c>
      <c r="W1041" s="2">
        <v>1.4800000000000001E-2</v>
      </c>
      <c r="X1041" s="2">
        <v>8.4501000000000007E-2</v>
      </c>
      <c r="Y1041">
        <v>0.03</v>
      </c>
      <c r="Z1041">
        <v>0.13</v>
      </c>
      <c r="AA1041" s="20">
        <f>Table3[[#This Row],[APS]]*Table3[[#This Row],[PrimaComercial Anual]]</f>
        <v>83.178960000000004</v>
      </c>
      <c r="AB1041" s="8">
        <f>Table3[[#This Row],[PrimaComercial Anual]]*Table3[[#This Row],[Recargo adicional]]</f>
        <v>474.91252020000002</v>
      </c>
      <c r="AC1041" s="8">
        <f>Table3[[#This Row],[PrimaComercial Anual]]*Table3[[#This Row],[IT]]</f>
        <v>168.60599999999999</v>
      </c>
      <c r="AD1041" s="8">
        <f>Table3[[#This Row],[PrimaComercial Anual]]*Table3[[#This Row],[IVA]]</f>
        <v>730.62599999999998</v>
      </c>
      <c r="AE1041" s="15">
        <f>Table3[[#This Row],[PrimaComercial Anual Asistencia]]</f>
        <v>5620.2</v>
      </c>
      <c r="AG1041">
        <v>5620.2</v>
      </c>
    </row>
    <row r="1042" spans="1:33" x14ac:dyDescent="0.25">
      <c r="A1042" t="s">
        <v>18</v>
      </c>
      <c r="B1042">
        <v>700002</v>
      </c>
      <c r="C1042">
        <v>16</v>
      </c>
      <c r="D1042" s="2">
        <f>Table3[[#This Row],[PrimaTécnica]]-Table3[[#This Row],[PrimaTécnica]]*SUM(Table3[[#This Row],[Gastos Adm]:[Cobranza]])</f>
        <v>2440.4983323552001</v>
      </c>
      <c r="E1042">
        <v>0</v>
      </c>
      <c r="F1042">
        <v>0.15</v>
      </c>
      <c r="G1042">
        <v>0.05</v>
      </c>
      <c r="H1042">
        <v>0.01</v>
      </c>
      <c r="I1042">
        <v>0.01</v>
      </c>
      <c r="J1042" s="8">
        <f>Table3[[#This Row],[PrimaTécnica]]*Table3[[#This Row],[Gastos Adm]]</f>
        <v>469.32660237600004</v>
      </c>
      <c r="K1042" s="8">
        <f>Table3[[#This Row],[PrimaTécnica]]*Table3[[#This Row],[Utilidad]]</f>
        <v>156.44220079200002</v>
      </c>
      <c r="L1042" s="8">
        <f>Table3[[#This Row],[PrimaTécnica]]*Table3[[#This Row],[Marketing]]</f>
        <v>31.288440158400004</v>
      </c>
      <c r="M1042" s="8">
        <f>Table3[[#This Row],[PrimaTécnica]]*Table3[[#This Row],[Cobranza]]</f>
        <v>31.288440158400004</v>
      </c>
      <c r="N104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3128.8440158400003</v>
      </c>
      <c r="O1042">
        <v>21.84</v>
      </c>
      <c r="P1042">
        <v>54.6</v>
      </c>
      <c r="Q1042">
        <v>80.64</v>
      </c>
      <c r="R1042">
        <v>44.377200000000002</v>
      </c>
      <c r="S1042">
        <v>0.2</v>
      </c>
      <c r="T1042">
        <v>0.02</v>
      </c>
      <c r="U1042" s="8">
        <f>Table3[[#This Row],[PrimaNeta]]*Table3[[#This Row],[Comisión]]</f>
        <v>832.57530396000004</v>
      </c>
      <c r="V1042" s="15">
        <f>Table3[[#This Row],[PrimaComercial Anual]]-Table3[[#This Row],[PrimaComercial Anual]]*SUM(Table3[[#This Row],[APS]:[IVA]])</f>
        <v>4162.8765198000001</v>
      </c>
      <c r="W1042" s="2">
        <v>1.4800000000000001E-2</v>
      </c>
      <c r="X1042" s="2">
        <v>8.4501000000000007E-2</v>
      </c>
      <c r="Y1042">
        <v>0.03</v>
      </c>
      <c r="Z1042">
        <v>0.13</v>
      </c>
      <c r="AA1042" s="20">
        <f>Table3[[#This Row],[APS]]*Table3[[#This Row],[PrimaComercial Anual]]</f>
        <v>83.178960000000004</v>
      </c>
      <c r="AB1042" s="8">
        <f>Table3[[#This Row],[PrimaComercial Anual]]*Table3[[#This Row],[Recargo adicional]]</f>
        <v>474.91252020000002</v>
      </c>
      <c r="AC1042" s="8">
        <f>Table3[[#This Row],[PrimaComercial Anual]]*Table3[[#This Row],[IT]]</f>
        <v>168.60599999999999</v>
      </c>
      <c r="AD1042" s="8">
        <f>Table3[[#This Row],[PrimaComercial Anual]]*Table3[[#This Row],[IVA]]</f>
        <v>730.62599999999998</v>
      </c>
      <c r="AE1042" s="15">
        <f>Table3[[#This Row],[PrimaComercial Anual Asistencia]]</f>
        <v>5620.2</v>
      </c>
      <c r="AG1042">
        <v>5620.2</v>
      </c>
    </row>
    <row r="1043" spans="1:33" x14ac:dyDescent="0.25">
      <c r="A1043" t="s">
        <v>18</v>
      </c>
      <c r="B1043">
        <v>700002</v>
      </c>
      <c r="C1043">
        <v>17</v>
      </c>
      <c r="D1043" s="2">
        <f>Table3[[#This Row],[PrimaTécnica]]-Table3[[#This Row],[PrimaTécnica]]*SUM(Table3[[#This Row],[Gastos Adm]:[Cobranza]])</f>
        <v>2440.4983323552001</v>
      </c>
      <c r="E1043">
        <v>0</v>
      </c>
      <c r="F1043">
        <v>0.15</v>
      </c>
      <c r="G1043">
        <v>0.05</v>
      </c>
      <c r="H1043">
        <v>0.01</v>
      </c>
      <c r="I1043">
        <v>0.01</v>
      </c>
      <c r="J1043" s="8">
        <f>Table3[[#This Row],[PrimaTécnica]]*Table3[[#This Row],[Gastos Adm]]</f>
        <v>469.32660237600004</v>
      </c>
      <c r="K1043" s="8">
        <f>Table3[[#This Row],[PrimaTécnica]]*Table3[[#This Row],[Utilidad]]</f>
        <v>156.44220079200002</v>
      </c>
      <c r="L1043" s="8">
        <f>Table3[[#This Row],[PrimaTécnica]]*Table3[[#This Row],[Marketing]]</f>
        <v>31.288440158400004</v>
      </c>
      <c r="M1043" s="8">
        <f>Table3[[#This Row],[PrimaTécnica]]*Table3[[#This Row],[Cobranza]]</f>
        <v>31.288440158400004</v>
      </c>
      <c r="N104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3128.8440158400003</v>
      </c>
      <c r="O1043">
        <v>21.84</v>
      </c>
      <c r="P1043">
        <v>54.6</v>
      </c>
      <c r="Q1043">
        <v>80.64</v>
      </c>
      <c r="R1043">
        <v>44.377200000000002</v>
      </c>
      <c r="S1043">
        <v>0.2</v>
      </c>
      <c r="T1043">
        <v>0.02</v>
      </c>
      <c r="U1043" s="8">
        <f>Table3[[#This Row],[PrimaNeta]]*Table3[[#This Row],[Comisión]]</f>
        <v>832.57530396000004</v>
      </c>
      <c r="V1043" s="15">
        <f>Table3[[#This Row],[PrimaComercial Anual]]-Table3[[#This Row],[PrimaComercial Anual]]*SUM(Table3[[#This Row],[APS]:[IVA]])</f>
        <v>4162.8765198000001</v>
      </c>
      <c r="W1043" s="2">
        <v>1.4800000000000001E-2</v>
      </c>
      <c r="X1043" s="2">
        <v>8.4501000000000007E-2</v>
      </c>
      <c r="Y1043">
        <v>0.03</v>
      </c>
      <c r="Z1043">
        <v>0.13</v>
      </c>
      <c r="AA1043" s="20">
        <f>Table3[[#This Row],[APS]]*Table3[[#This Row],[PrimaComercial Anual]]</f>
        <v>83.178960000000004</v>
      </c>
      <c r="AB1043" s="8">
        <f>Table3[[#This Row],[PrimaComercial Anual]]*Table3[[#This Row],[Recargo adicional]]</f>
        <v>474.91252020000002</v>
      </c>
      <c r="AC1043" s="8">
        <f>Table3[[#This Row],[PrimaComercial Anual]]*Table3[[#This Row],[IT]]</f>
        <v>168.60599999999999</v>
      </c>
      <c r="AD1043" s="8">
        <f>Table3[[#This Row],[PrimaComercial Anual]]*Table3[[#This Row],[IVA]]</f>
        <v>730.62599999999998</v>
      </c>
      <c r="AE1043" s="15">
        <f>Table3[[#This Row],[PrimaComercial Anual Asistencia]]</f>
        <v>5620.2</v>
      </c>
      <c r="AG1043">
        <v>5620.2</v>
      </c>
    </row>
    <row r="1044" spans="1:33" x14ac:dyDescent="0.25">
      <c r="A1044" t="s">
        <v>18</v>
      </c>
      <c r="B1044">
        <v>700002</v>
      </c>
      <c r="C1044">
        <v>18</v>
      </c>
      <c r="D1044" s="2">
        <f>Table3[[#This Row],[PrimaTécnica]]-Table3[[#This Row],[PrimaTécnica]]*SUM(Table3[[#This Row],[Gastos Adm]:[Cobranza]])</f>
        <v>2440.4983323552001</v>
      </c>
      <c r="E1044">
        <v>0</v>
      </c>
      <c r="F1044">
        <v>0.15</v>
      </c>
      <c r="G1044">
        <v>0.05</v>
      </c>
      <c r="H1044">
        <v>0.01</v>
      </c>
      <c r="I1044">
        <v>0.01</v>
      </c>
      <c r="J1044" s="8">
        <f>Table3[[#This Row],[PrimaTécnica]]*Table3[[#This Row],[Gastos Adm]]</f>
        <v>469.32660237600004</v>
      </c>
      <c r="K1044" s="8">
        <f>Table3[[#This Row],[PrimaTécnica]]*Table3[[#This Row],[Utilidad]]</f>
        <v>156.44220079200002</v>
      </c>
      <c r="L1044" s="8">
        <f>Table3[[#This Row],[PrimaTécnica]]*Table3[[#This Row],[Marketing]]</f>
        <v>31.288440158400004</v>
      </c>
      <c r="M1044" s="8">
        <f>Table3[[#This Row],[PrimaTécnica]]*Table3[[#This Row],[Cobranza]]</f>
        <v>31.288440158400004</v>
      </c>
      <c r="N104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3128.8440158400003</v>
      </c>
      <c r="O1044">
        <v>21.84</v>
      </c>
      <c r="P1044">
        <v>54.6</v>
      </c>
      <c r="Q1044">
        <v>80.64</v>
      </c>
      <c r="R1044">
        <v>44.377200000000002</v>
      </c>
      <c r="S1044">
        <v>0.2</v>
      </c>
      <c r="T1044">
        <v>0.02</v>
      </c>
      <c r="U1044" s="8">
        <f>Table3[[#This Row],[PrimaNeta]]*Table3[[#This Row],[Comisión]]</f>
        <v>832.57530396000004</v>
      </c>
      <c r="V1044" s="15">
        <f>Table3[[#This Row],[PrimaComercial Anual]]-Table3[[#This Row],[PrimaComercial Anual]]*SUM(Table3[[#This Row],[APS]:[IVA]])</f>
        <v>4162.8765198000001</v>
      </c>
      <c r="W1044" s="2">
        <v>1.4800000000000001E-2</v>
      </c>
      <c r="X1044" s="2">
        <v>8.4501000000000007E-2</v>
      </c>
      <c r="Y1044">
        <v>0.03</v>
      </c>
      <c r="Z1044">
        <v>0.13</v>
      </c>
      <c r="AA1044" s="20">
        <f>Table3[[#This Row],[APS]]*Table3[[#This Row],[PrimaComercial Anual]]</f>
        <v>83.178960000000004</v>
      </c>
      <c r="AB1044" s="8">
        <f>Table3[[#This Row],[PrimaComercial Anual]]*Table3[[#This Row],[Recargo adicional]]</f>
        <v>474.91252020000002</v>
      </c>
      <c r="AC1044" s="8">
        <f>Table3[[#This Row],[PrimaComercial Anual]]*Table3[[#This Row],[IT]]</f>
        <v>168.60599999999999</v>
      </c>
      <c r="AD1044" s="8">
        <f>Table3[[#This Row],[PrimaComercial Anual]]*Table3[[#This Row],[IVA]]</f>
        <v>730.62599999999998</v>
      </c>
      <c r="AE1044" s="15">
        <f>Table3[[#This Row],[PrimaComercial Anual Asistencia]]</f>
        <v>5620.2</v>
      </c>
      <c r="AG1044">
        <v>5620.2</v>
      </c>
    </row>
    <row r="1045" spans="1:33" x14ac:dyDescent="0.25">
      <c r="A1045" t="s">
        <v>18</v>
      </c>
      <c r="B1045">
        <v>700002</v>
      </c>
      <c r="C1045">
        <v>19</v>
      </c>
      <c r="D1045" s="2">
        <f>Table3[[#This Row],[PrimaTécnica]]-Table3[[#This Row],[PrimaTécnica]]*SUM(Table3[[#This Row],[Gastos Adm]:[Cobranza]])</f>
        <v>2588.0313517344002</v>
      </c>
      <c r="E1045">
        <v>0</v>
      </c>
      <c r="F1045">
        <v>0.15</v>
      </c>
      <c r="G1045">
        <v>0.05</v>
      </c>
      <c r="H1045">
        <v>0.01</v>
      </c>
      <c r="I1045">
        <v>0.01</v>
      </c>
      <c r="J1045" s="8">
        <f>Table3[[#This Row],[PrimaTécnica]]*Table3[[#This Row],[Gastos Adm]]</f>
        <v>497.69833687200003</v>
      </c>
      <c r="K1045" s="8">
        <f>Table3[[#This Row],[PrimaTécnica]]*Table3[[#This Row],[Utilidad]]</f>
        <v>165.89944562400001</v>
      </c>
      <c r="L1045" s="8">
        <f>Table3[[#This Row],[PrimaTécnica]]*Table3[[#This Row],[Marketing]]</f>
        <v>33.179889124799999</v>
      </c>
      <c r="M1045" s="8">
        <f>Table3[[#This Row],[PrimaTécnica]]*Table3[[#This Row],[Cobranza]]</f>
        <v>33.179889124799999</v>
      </c>
      <c r="N104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3317.9889124800002</v>
      </c>
      <c r="O1045">
        <v>21.84</v>
      </c>
      <c r="P1045">
        <v>54.6</v>
      </c>
      <c r="Q1045">
        <v>80.64</v>
      </c>
      <c r="R1045">
        <v>44.377200000000002</v>
      </c>
      <c r="S1045">
        <v>0.2</v>
      </c>
      <c r="T1045">
        <v>0.02</v>
      </c>
      <c r="U1045" s="8">
        <f>Table3[[#This Row],[PrimaNeta]]*Table3[[#This Row],[Comisión]]</f>
        <v>879.86152812</v>
      </c>
      <c r="V1045" s="15">
        <f>Table3[[#This Row],[PrimaComercial Anual]]-Table3[[#This Row],[PrimaComercial Anual]]*SUM(Table3[[#This Row],[APS]:[IVA]])</f>
        <v>4399.3076406</v>
      </c>
      <c r="W1045" s="2">
        <v>1.4800000000000001E-2</v>
      </c>
      <c r="X1045" s="2">
        <v>8.4501000000000007E-2</v>
      </c>
      <c r="Y1045">
        <v>0.03</v>
      </c>
      <c r="Z1045">
        <v>0.13</v>
      </c>
      <c r="AA1045" s="20">
        <f>Table3[[#This Row],[APS]]*Table3[[#This Row],[PrimaComercial Anual]]</f>
        <v>87.903120000000001</v>
      </c>
      <c r="AB1045" s="8">
        <f>Table3[[#This Row],[PrimaComercial Anual]]*Table3[[#This Row],[Recargo adicional]]</f>
        <v>501.88523939999999</v>
      </c>
      <c r="AC1045" s="8">
        <f>Table3[[#This Row],[PrimaComercial Anual]]*Table3[[#This Row],[IT]]</f>
        <v>178.18199999999999</v>
      </c>
      <c r="AD1045" s="8">
        <f>Table3[[#This Row],[PrimaComercial Anual]]*Table3[[#This Row],[IVA]]</f>
        <v>772.12199999999996</v>
      </c>
      <c r="AE1045" s="15">
        <f>Table3[[#This Row],[PrimaComercial Anual Asistencia]]</f>
        <v>5939.4</v>
      </c>
      <c r="AG1045">
        <v>5939.4</v>
      </c>
    </row>
    <row r="1046" spans="1:33" x14ac:dyDescent="0.25">
      <c r="A1046" t="s">
        <v>18</v>
      </c>
      <c r="B1046">
        <v>700002</v>
      </c>
      <c r="C1046">
        <v>20</v>
      </c>
      <c r="D1046" s="2">
        <f>Table3[[#This Row],[PrimaTécnica]]-Table3[[#This Row],[PrimaTécnica]]*SUM(Table3[[#This Row],[Gastos Adm]:[Cobranza]])</f>
        <v>2588.0313517344002</v>
      </c>
      <c r="E1046">
        <v>0</v>
      </c>
      <c r="F1046">
        <v>0.15</v>
      </c>
      <c r="G1046">
        <v>0.05</v>
      </c>
      <c r="H1046">
        <v>0.01</v>
      </c>
      <c r="I1046">
        <v>0.01</v>
      </c>
      <c r="J1046" s="8">
        <f>Table3[[#This Row],[PrimaTécnica]]*Table3[[#This Row],[Gastos Adm]]</f>
        <v>497.69833687200003</v>
      </c>
      <c r="K1046" s="8">
        <f>Table3[[#This Row],[PrimaTécnica]]*Table3[[#This Row],[Utilidad]]</f>
        <v>165.89944562400001</v>
      </c>
      <c r="L1046" s="8">
        <f>Table3[[#This Row],[PrimaTécnica]]*Table3[[#This Row],[Marketing]]</f>
        <v>33.179889124799999</v>
      </c>
      <c r="M1046" s="8">
        <f>Table3[[#This Row],[PrimaTécnica]]*Table3[[#This Row],[Cobranza]]</f>
        <v>33.179889124799999</v>
      </c>
      <c r="N104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3317.9889124800002</v>
      </c>
      <c r="O1046">
        <v>21.84</v>
      </c>
      <c r="P1046">
        <v>54.6</v>
      </c>
      <c r="Q1046">
        <v>80.64</v>
      </c>
      <c r="R1046">
        <v>44.377200000000002</v>
      </c>
      <c r="S1046">
        <v>0.2</v>
      </c>
      <c r="T1046">
        <v>0.02</v>
      </c>
      <c r="U1046" s="8">
        <f>Table3[[#This Row],[PrimaNeta]]*Table3[[#This Row],[Comisión]]</f>
        <v>879.86152812</v>
      </c>
      <c r="V1046" s="15">
        <f>Table3[[#This Row],[PrimaComercial Anual]]-Table3[[#This Row],[PrimaComercial Anual]]*SUM(Table3[[#This Row],[APS]:[IVA]])</f>
        <v>4399.3076406</v>
      </c>
      <c r="W1046" s="2">
        <v>1.4800000000000001E-2</v>
      </c>
      <c r="X1046" s="2">
        <v>8.4501000000000007E-2</v>
      </c>
      <c r="Y1046">
        <v>0.03</v>
      </c>
      <c r="Z1046">
        <v>0.13</v>
      </c>
      <c r="AA1046" s="20">
        <f>Table3[[#This Row],[APS]]*Table3[[#This Row],[PrimaComercial Anual]]</f>
        <v>87.903120000000001</v>
      </c>
      <c r="AB1046" s="8">
        <f>Table3[[#This Row],[PrimaComercial Anual]]*Table3[[#This Row],[Recargo adicional]]</f>
        <v>501.88523939999999</v>
      </c>
      <c r="AC1046" s="8">
        <f>Table3[[#This Row],[PrimaComercial Anual]]*Table3[[#This Row],[IT]]</f>
        <v>178.18199999999999</v>
      </c>
      <c r="AD1046" s="8">
        <f>Table3[[#This Row],[PrimaComercial Anual]]*Table3[[#This Row],[IVA]]</f>
        <v>772.12199999999996</v>
      </c>
      <c r="AE1046" s="15">
        <f>Table3[[#This Row],[PrimaComercial Anual Asistencia]]</f>
        <v>5939.4</v>
      </c>
      <c r="AG1046">
        <v>5939.4</v>
      </c>
    </row>
    <row r="1047" spans="1:33" x14ac:dyDescent="0.25">
      <c r="A1047" t="s">
        <v>18</v>
      </c>
      <c r="B1047">
        <v>700002</v>
      </c>
      <c r="C1047">
        <v>21</v>
      </c>
      <c r="D1047" s="2">
        <f>Table3[[#This Row],[PrimaTécnica]]-Table3[[#This Row],[PrimaTécnica]]*SUM(Table3[[#This Row],[Gastos Adm]:[Cobranza]])</f>
        <v>2588.0313517344002</v>
      </c>
      <c r="E1047">
        <v>0</v>
      </c>
      <c r="F1047">
        <v>0.15</v>
      </c>
      <c r="G1047">
        <v>0.05</v>
      </c>
      <c r="H1047">
        <v>0.01</v>
      </c>
      <c r="I1047">
        <v>0.01</v>
      </c>
      <c r="J1047" s="8">
        <f>Table3[[#This Row],[PrimaTécnica]]*Table3[[#This Row],[Gastos Adm]]</f>
        <v>497.69833687200003</v>
      </c>
      <c r="K1047" s="8">
        <f>Table3[[#This Row],[PrimaTécnica]]*Table3[[#This Row],[Utilidad]]</f>
        <v>165.89944562400001</v>
      </c>
      <c r="L1047" s="8">
        <f>Table3[[#This Row],[PrimaTécnica]]*Table3[[#This Row],[Marketing]]</f>
        <v>33.179889124799999</v>
      </c>
      <c r="M1047" s="8">
        <f>Table3[[#This Row],[PrimaTécnica]]*Table3[[#This Row],[Cobranza]]</f>
        <v>33.179889124799999</v>
      </c>
      <c r="N104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3317.9889124800002</v>
      </c>
      <c r="O1047">
        <v>21.84</v>
      </c>
      <c r="P1047">
        <v>54.6</v>
      </c>
      <c r="Q1047">
        <v>80.64</v>
      </c>
      <c r="R1047">
        <v>44.377200000000002</v>
      </c>
      <c r="S1047">
        <v>0.2</v>
      </c>
      <c r="T1047">
        <v>0.02</v>
      </c>
      <c r="U1047" s="8">
        <f>Table3[[#This Row],[PrimaNeta]]*Table3[[#This Row],[Comisión]]</f>
        <v>879.86152812</v>
      </c>
      <c r="V1047" s="15">
        <f>Table3[[#This Row],[PrimaComercial Anual]]-Table3[[#This Row],[PrimaComercial Anual]]*SUM(Table3[[#This Row],[APS]:[IVA]])</f>
        <v>4399.3076406</v>
      </c>
      <c r="W1047" s="2">
        <v>1.4800000000000001E-2</v>
      </c>
      <c r="X1047" s="2">
        <v>8.4501000000000007E-2</v>
      </c>
      <c r="Y1047">
        <v>0.03</v>
      </c>
      <c r="Z1047">
        <v>0.13</v>
      </c>
      <c r="AA1047" s="20">
        <f>Table3[[#This Row],[APS]]*Table3[[#This Row],[PrimaComercial Anual]]</f>
        <v>87.903120000000001</v>
      </c>
      <c r="AB1047" s="8">
        <f>Table3[[#This Row],[PrimaComercial Anual]]*Table3[[#This Row],[Recargo adicional]]</f>
        <v>501.88523939999999</v>
      </c>
      <c r="AC1047" s="8">
        <f>Table3[[#This Row],[PrimaComercial Anual]]*Table3[[#This Row],[IT]]</f>
        <v>178.18199999999999</v>
      </c>
      <c r="AD1047" s="8">
        <f>Table3[[#This Row],[PrimaComercial Anual]]*Table3[[#This Row],[IVA]]</f>
        <v>772.12199999999996</v>
      </c>
      <c r="AE1047" s="15">
        <f>Table3[[#This Row],[PrimaComercial Anual Asistencia]]</f>
        <v>5939.4</v>
      </c>
      <c r="AG1047">
        <v>5939.4</v>
      </c>
    </row>
    <row r="1048" spans="1:33" x14ac:dyDescent="0.25">
      <c r="A1048" t="s">
        <v>18</v>
      </c>
      <c r="B1048">
        <v>700002</v>
      </c>
      <c r="C1048">
        <v>22</v>
      </c>
      <c r="D1048" s="2">
        <f>Table3[[#This Row],[PrimaTécnica]]-Table3[[#This Row],[PrimaTécnica]]*SUM(Table3[[#This Row],[Gastos Adm]:[Cobranza]])</f>
        <v>2588.0313517344002</v>
      </c>
      <c r="E1048">
        <v>0</v>
      </c>
      <c r="F1048">
        <v>0.15</v>
      </c>
      <c r="G1048">
        <v>0.05</v>
      </c>
      <c r="H1048">
        <v>0.01</v>
      </c>
      <c r="I1048">
        <v>0.01</v>
      </c>
      <c r="J1048" s="8">
        <f>Table3[[#This Row],[PrimaTécnica]]*Table3[[#This Row],[Gastos Adm]]</f>
        <v>497.69833687200003</v>
      </c>
      <c r="K1048" s="8">
        <f>Table3[[#This Row],[PrimaTécnica]]*Table3[[#This Row],[Utilidad]]</f>
        <v>165.89944562400001</v>
      </c>
      <c r="L1048" s="8">
        <f>Table3[[#This Row],[PrimaTécnica]]*Table3[[#This Row],[Marketing]]</f>
        <v>33.179889124799999</v>
      </c>
      <c r="M1048" s="8">
        <f>Table3[[#This Row],[PrimaTécnica]]*Table3[[#This Row],[Cobranza]]</f>
        <v>33.179889124799999</v>
      </c>
      <c r="N104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3317.9889124800002</v>
      </c>
      <c r="O1048">
        <v>21.84</v>
      </c>
      <c r="P1048">
        <v>54.6</v>
      </c>
      <c r="Q1048">
        <v>80.64</v>
      </c>
      <c r="R1048">
        <v>44.377200000000002</v>
      </c>
      <c r="S1048">
        <v>0.2</v>
      </c>
      <c r="T1048">
        <v>0.02</v>
      </c>
      <c r="U1048" s="8">
        <f>Table3[[#This Row],[PrimaNeta]]*Table3[[#This Row],[Comisión]]</f>
        <v>879.86152812</v>
      </c>
      <c r="V1048" s="15">
        <f>Table3[[#This Row],[PrimaComercial Anual]]-Table3[[#This Row],[PrimaComercial Anual]]*SUM(Table3[[#This Row],[APS]:[IVA]])</f>
        <v>4399.3076406</v>
      </c>
      <c r="W1048" s="2">
        <v>1.4800000000000001E-2</v>
      </c>
      <c r="X1048" s="2">
        <v>8.4501000000000007E-2</v>
      </c>
      <c r="Y1048">
        <v>0.03</v>
      </c>
      <c r="Z1048">
        <v>0.13</v>
      </c>
      <c r="AA1048" s="20">
        <f>Table3[[#This Row],[APS]]*Table3[[#This Row],[PrimaComercial Anual]]</f>
        <v>87.903120000000001</v>
      </c>
      <c r="AB1048" s="8">
        <f>Table3[[#This Row],[PrimaComercial Anual]]*Table3[[#This Row],[Recargo adicional]]</f>
        <v>501.88523939999999</v>
      </c>
      <c r="AC1048" s="8">
        <f>Table3[[#This Row],[PrimaComercial Anual]]*Table3[[#This Row],[IT]]</f>
        <v>178.18199999999999</v>
      </c>
      <c r="AD1048" s="8">
        <f>Table3[[#This Row],[PrimaComercial Anual]]*Table3[[#This Row],[IVA]]</f>
        <v>772.12199999999996</v>
      </c>
      <c r="AE1048" s="15">
        <f>Table3[[#This Row],[PrimaComercial Anual Asistencia]]</f>
        <v>5939.4</v>
      </c>
      <c r="AG1048">
        <v>5939.4</v>
      </c>
    </row>
    <row r="1049" spans="1:33" x14ac:dyDescent="0.25">
      <c r="A1049" t="s">
        <v>18</v>
      </c>
      <c r="B1049">
        <v>700002</v>
      </c>
      <c r="C1049">
        <v>23</v>
      </c>
      <c r="D1049" s="2">
        <f>Table3[[#This Row],[PrimaTécnica]]-Table3[[#This Row],[PrimaTécnica]]*SUM(Table3[[#This Row],[Gastos Adm]:[Cobranza]])</f>
        <v>2588.0313517344002</v>
      </c>
      <c r="E1049">
        <v>0</v>
      </c>
      <c r="F1049">
        <v>0.15</v>
      </c>
      <c r="G1049">
        <v>0.05</v>
      </c>
      <c r="H1049">
        <v>0.01</v>
      </c>
      <c r="I1049">
        <v>0.01</v>
      </c>
      <c r="J1049" s="8">
        <f>Table3[[#This Row],[PrimaTécnica]]*Table3[[#This Row],[Gastos Adm]]</f>
        <v>497.69833687200003</v>
      </c>
      <c r="K1049" s="8">
        <f>Table3[[#This Row],[PrimaTécnica]]*Table3[[#This Row],[Utilidad]]</f>
        <v>165.89944562400001</v>
      </c>
      <c r="L1049" s="8">
        <f>Table3[[#This Row],[PrimaTécnica]]*Table3[[#This Row],[Marketing]]</f>
        <v>33.179889124799999</v>
      </c>
      <c r="M1049" s="8">
        <f>Table3[[#This Row],[PrimaTécnica]]*Table3[[#This Row],[Cobranza]]</f>
        <v>33.179889124799999</v>
      </c>
      <c r="N104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3317.9889124800002</v>
      </c>
      <c r="O1049">
        <v>21.84</v>
      </c>
      <c r="P1049">
        <v>54.6</v>
      </c>
      <c r="Q1049">
        <v>80.64</v>
      </c>
      <c r="R1049">
        <v>44.377200000000002</v>
      </c>
      <c r="S1049">
        <v>0.2</v>
      </c>
      <c r="T1049">
        <v>0.02</v>
      </c>
      <c r="U1049" s="8">
        <f>Table3[[#This Row],[PrimaNeta]]*Table3[[#This Row],[Comisión]]</f>
        <v>879.86152812</v>
      </c>
      <c r="V1049" s="15">
        <f>Table3[[#This Row],[PrimaComercial Anual]]-Table3[[#This Row],[PrimaComercial Anual]]*SUM(Table3[[#This Row],[APS]:[IVA]])</f>
        <v>4399.3076406</v>
      </c>
      <c r="W1049" s="2">
        <v>1.4800000000000001E-2</v>
      </c>
      <c r="X1049" s="2">
        <v>8.4501000000000007E-2</v>
      </c>
      <c r="Y1049">
        <v>0.03</v>
      </c>
      <c r="Z1049">
        <v>0.13</v>
      </c>
      <c r="AA1049" s="20">
        <f>Table3[[#This Row],[APS]]*Table3[[#This Row],[PrimaComercial Anual]]</f>
        <v>87.903120000000001</v>
      </c>
      <c r="AB1049" s="8">
        <f>Table3[[#This Row],[PrimaComercial Anual]]*Table3[[#This Row],[Recargo adicional]]</f>
        <v>501.88523939999999</v>
      </c>
      <c r="AC1049" s="8">
        <f>Table3[[#This Row],[PrimaComercial Anual]]*Table3[[#This Row],[IT]]</f>
        <v>178.18199999999999</v>
      </c>
      <c r="AD1049" s="8">
        <f>Table3[[#This Row],[PrimaComercial Anual]]*Table3[[#This Row],[IVA]]</f>
        <v>772.12199999999996</v>
      </c>
      <c r="AE1049" s="15">
        <f>Table3[[#This Row],[PrimaComercial Anual Asistencia]]</f>
        <v>5939.4</v>
      </c>
      <c r="AG1049">
        <v>5939.4</v>
      </c>
    </row>
    <row r="1050" spans="1:33" x14ac:dyDescent="0.25">
      <c r="A1050" t="s">
        <v>18</v>
      </c>
      <c r="B1050">
        <v>700002</v>
      </c>
      <c r="C1050">
        <v>24</v>
      </c>
      <c r="D1050" s="2">
        <f>Table3[[#This Row],[PrimaTécnica]]-Table3[[#This Row],[PrimaTécnica]]*SUM(Table3[[#This Row],[Gastos Adm]:[Cobranza]])</f>
        <v>2588.0313517344002</v>
      </c>
      <c r="E1050">
        <v>0</v>
      </c>
      <c r="F1050">
        <v>0.15</v>
      </c>
      <c r="G1050">
        <v>0.05</v>
      </c>
      <c r="H1050">
        <v>0.01</v>
      </c>
      <c r="I1050">
        <v>0.01</v>
      </c>
      <c r="J1050" s="8">
        <f>Table3[[#This Row],[PrimaTécnica]]*Table3[[#This Row],[Gastos Adm]]</f>
        <v>497.69833687200003</v>
      </c>
      <c r="K1050" s="8">
        <f>Table3[[#This Row],[PrimaTécnica]]*Table3[[#This Row],[Utilidad]]</f>
        <v>165.89944562400001</v>
      </c>
      <c r="L1050" s="8">
        <f>Table3[[#This Row],[PrimaTécnica]]*Table3[[#This Row],[Marketing]]</f>
        <v>33.179889124799999</v>
      </c>
      <c r="M1050" s="8">
        <f>Table3[[#This Row],[PrimaTécnica]]*Table3[[#This Row],[Cobranza]]</f>
        <v>33.179889124799999</v>
      </c>
      <c r="N105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3317.9889124800002</v>
      </c>
      <c r="O1050">
        <v>21.84</v>
      </c>
      <c r="P1050">
        <v>54.6</v>
      </c>
      <c r="Q1050">
        <v>80.64</v>
      </c>
      <c r="R1050">
        <v>44.377200000000002</v>
      </c>
      <c r="S1050">
        <v>0.2</v>
      </c>
      <c r="T1050">
        <v>0.02</v>
      </c>
      <c r="U1050" s="8">
        <f>Table3[[#This Row],[PrimaNeta]]*Table3[[#This Row],[Comisión]]</f>
        <v>879.86152812</v>
      </c>
      <c r="V1050" s="15">
        <f>Table3[[#This Row],[PrimaComercial Anual]]-Table3[[#This Row],[PrimaComercial Anual]]*SUM(Table3[[#This Row],[APS]:[IVA]])</f>
        <v>4399.3076406</v>
      </c>
      <c r="W1050" s="2">
        <v>1.4800000000000001E-2</v>
      </c>
      <c r="X1050" s="2">
        <v>8.4501000000000007E-2</v>
      </c>
      <c r="Y1050">
        <v>0.03</v>
      </c>
      <c r="Z1050">
        <v>0.13</v>
      </c>
      <c r="AA1050" s="20">
        <f>Table3[[#This Row],[APS]]*Table3[[#This Row],[PrimaComercial Anual]]</f>
        <v>87.903120000000001</v>
      </c>
      <c r="AB1050" s="8">
        <f>Table3[[#This Row],[PrimaComercial Anual]]*Table3[[#This Row],[Recargo adicional]]</f>
        <v>501.88523939999999</v>
      </c>
      <c r="AC1050" s="8">
        <f>Table3[[#This Row],[PrimaComercial Anual]]*Table3[[#This Row],[IT]]</f>
        <v>178.18199999999999</v>
      </c>
      <c r="AD1050" s="8">
        <f>Table3[[#This Row],[PrimaComercial Anual]]*Table3[[#This Row],[IVA]]</f>
        <v>772.12199999999996</v>
      </c>
      <c r="AE1050" s="15">
        <f>Table3[[#This Row],[PrimaComercial Anual Asistencia]]</f>
        <v>5939.4</v>
      </c>
      <c r="AG1050">
        <v>5939.4</v>
      </c>
    </row>
    <row r="1051" spans="1:33" x14ac:dyDescent="0.25">
      <c r="A1051" t="s">
        <v>18</v>
      </c>
      <c r="B1051">
        <v>700002</v>
      </c>
      <c r="C1051">
        <v>25</v>
      </c>
      <c r="D1051" s="2">
        <f>Table3[[#This Row],[PrimaTécnica]]-Table3[[#This Row],[PrimaTécnica]]*SUM(Table3[[#This Row],[Gastos Adm]:[Cobranza]])</f>
        <v>2588.0313517344002</v>
      </c>
      <c r="E1051">
        <v>0</v>
      </c>
      <c r="F1051">
        <v>0.15</v>
      </c>
      <c r="G1051">
        <v>0.05</v>
      </c>
      <c r="H1051">
        <v>0.01</v>
      </c>
      <c r="I1051">
        <v>0.01</v>
      </c>
      <c r="J1051" s="8">
        <f>Table3[[#This Row],[PrimaTécnica]]*Table3[[#This Row],[Gastos Adm]]</f>
        <v>497.69833687200003</v>
      </c>
      <c r="K1051" s="8">
        <f>Table3[[#This Row],[PrimaTécnica]]*Table3[[#This Row],[Utilidad]]</f>
        <v>165.89944562400001</v>
      </c>
      <c r="L1051" s="8">
        <f>Table3[[#This Row],[PrimaTécnica]]*Table3[[#This Row],[Marketing]]</f>
        <v>33.179889124799999</v>
      </c>
      <c r="M1051" s="8">
        <f>Table3[[#This Row],[PrimaTécnica]]*Table3[[#This Row],[Cobranza]]</f>
        <v>33.179889124799999</v>
      </c>
      <c r="N105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3317.9889124800002</v>
      </c>
      <c r="O1051">
        <v>21.84</v>
      </c>
      <c r="P1051">
        <v>54.6</v>
      </c>
      <c r="Q1051">
        <v>80.64</v>
      </c>
      <c r="R1051">
        <v>44.377200000000002</v>
      </c>
      <c r="S1051">
        <v>0.2</v>
      </c>
      <c r="T1051">
        <v>0.02</v>
      </c>
      <c r="U1051" s="8">
        <f>Table3[[#This Row],[PrimaNeta]]*Table3[[#This Row],[Comisión]]</f>
        <v>879.86152812</v>
      </c>
      <c r="V1051" s="15">
        <f>Table3[[#This Row],[PrimaComercial Anual]]-Table3[[#This Row],[PrimaComercial Anual]]*SUM(Table3[[#This Row],[APS]:[IVA]])</f>
        <v>4399.3076406</v>
      </c>
      <c r="W1051" s="2">
        <v>1.4800000000000001E-2</v>
      </c>
      <c r="X1051" s="2">
        <v>8.4501000000000007E-2</v>
      </c>
      <c r="Y1051">
        <v>0.03</v>
      </c>
      <c r="Z1051">
        <v>0.13</v>
      </c>
      <c r="AA1051" s="20">
        <f>Table3[[#This Row],[APS]]*Table3[[#This Row],[PrimaComercial Anual]]</f>
        <v>87.903120000000001</v>
      </c>
      <c r="AB1051" s="8">
        <f>Table3[[#This Row],[PrimaComercial Anual]]*Table3[[#This Row],[Recargo adicional]]</f>
        <v>501.88523939999999</v>
      </c>
      <c r="AC1051" s="8">
        <f>Table3[[#This Row],[PrimaComercial Anual]]*Table3[[#This Row],[IT]]</f>
        <v>178.18199999999999</v>
      </c>
      <c r="AD1051" s="8">
        <f>Table3[[#This Row],[PrimaComercial Anual]]*Table3[[#This Row],[IVA]]</f>
        <v>772.12199999999996</v>
      </c>
      <c r="AE1051" s="15">
        <f>Table3[[#This Row],[PrimaComercial Anual Asistencia]]</f>
        <v>5939.4</v>
      </c>
      <c r="AG1051">
        <v>5939.4</v>
      </c>
    </row>
    <row r="1052" spans="1:33" x14ac:dyDescent="0.25">
      <c r="A1052" t="s">
        <v>18</v>
      </c>
      <c r="B1052">
        <v>700002</v>
      </c>
      <c r="C1052">
        <v>26</v>
      </c>
      <c r="D1052" s="2">
        <f>Table3[[#This Row],[PrimaTécnica]]-Table3[[#This Row],[PrimaTécnica]]*SUM(Table3[[#This Row],[Gastos Adm]:[Cobranza]])</f>
        <v>2588.0313517344002</v>
      </c>
      <c r="E1052">
        <v>0</v>
      </c>
      <c r="F1052">
        <v>0.15</v>
      </c>
      <c r="G1052">
        <v>0.05</v>
      </c>
      <c r="H1052">
        <v>0.01</v>
      </c>
      <c r="I1052">
        <v>0.01</v>
      </c>
      <c r="J1052" s="8">
        <f>Table3[[#This Row],[PrimaTécnica]]*Table3[[#This Row],[Gastos Adm]]</f>
        <v>497.69833687200003</v>
      </c>
      <c r="K1052" s="8">
        <f>Table3[[#This Row],[PrimaTécnica]]*Table3[[#This Row],[Utilidad]]</f>
        <v>165.89944562400001</v>
      </c>
      <c r="L1052" s="8">
        <f>Table3[[#This Row],[PrimaTécnica]]*Table3[[#This Row],[Marketing]]</f>
        <v>33.179889124799999</v>
      </c>
      <c r="M1052" s="8">
        <f>Table3[[#This Row],[PrimaTécnica]]*Table3[[#This Row],[Cobranza]]</f>
        <v>33.179889124799999</v>
      </c>
      <c r="N105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3317.9889124800002</v>
      </c>
      <c r="O1052">
        <v>21.84</v>
      </c>
      <c r="P1052">
        <v>54.6</v>
      </c>
      <c r="Q1052">
        <v>80.64</v>
      </c>
      <c r="R1052">
        <v>44.377200000000002</v>
      </c>
      <c r="S1052">
        <v>0.2</v>
      </c>
      <c r="T1052">
        <v>0.02</v>
      </c>
      <c r="U1052" s="8">
        <f>Table3[[#This Row],[PrimaNeta]]*Table3[[#This Row],[Comisión]]</f>
        <v>879.86152812</v>
      </c>
      <c r="V1052" s="15">
        <f>Table3[[#This Row],[PrimaComercial Anual]]-Table3[[#This Row],[PrimaComercial Anual]]*SUM(Table3[[#This Row],[APS]:[IVA]])</f>
        <v>4399.3076406</v>
      </c>
      <c r="W1052" s="2">
        <v>1.4800000000000001E-2</v>
      </c>
      <c r="X1052" s="2">
        <v>8.4501000000000007E-2</v>
      </c>
      <c r="Y1052">
        <v>0.03</v>
      </c>
      <c r="Z1052">
        <v>0.13</v>
      </c>
      <c r="AA1052" s="20">
        <f>Table3[[#This Row],[APS]]*Table3[[#This Row],[PrimaComercial Anual]]</f>
        <v>87.903120000000001</v>
      </c>
      <c r="AB1052" s="8">
        <f>Table3[[#This Row],[PrimaComercial Anual]]*Table3[[#This Row],[Recargo adicional]]</f>
        <v>501.88523939999999</v>
      </c>
      <c r="AC1052" s="8">
        <f>Table3[[#This Row],[PrimaComercial Anual]]*Table3[[#This Row],[IT]]</f>
        <v>178.18199999999999</v>
      </c>
      <c r="AD1052" s="8">
        <f>Table3[[#This Row],[PrimaComercial Anual]]*Table3[[#This Row],[IVA]]</f>
        <v>772.12199999999996</v>
      </c>
      <c r="AE1052" s="15">
        <f>Table3[[#This Row],[PrimaComercial Anual Asistencia]]</f>
        <v>5939.4</v>
      </c>
      <c r="AG1052">
        <v>5939.4</v>
      </c>
    </row>
    <row r="1053" spans="1:33" x14ac:dyDescent="0.25">
      <c r="A1053" t="s">
        <v>18</v>
      </c>
      <c r="B1053">
        <v>700002</v>
      </c>
      <c r="C1053">
        <v>27</v>
      </c>
      <c r="D1053" s="2">
        <f>Table3[[#This Row],[PrimaTécnica]]-Table3[[#This Row],[PrimaTécnica]]*SUM(Table3[[#This Row],[Gastos Adm]:[Cobranza]])</f>
        <v>2588.0313517344002</v>
      </c>
      <c r="E1053">
        <v>0</v>
      </c>
      <c r="F1053">
        <v>0.15</v>
      </c>
      <c r="G1053">
        <v>0.05</v>
      </c>
      <c r="H1053">
        <v>0.01</v>
      </c>
      <c r="I1053">
        <v>0.01</v>
      </c>
      <c r="J1053" s="8">
        <f>Table3[[#This Row],[PrimaTécnica]]*Table3[[#This Row],[Gastos Adm]]</f>
        <v>497.69833687200003</v>
      </c>
      <c r="K1053" s="8">
        <f>Table3[[#This Row],[PrimaTécnica]]*Table3[[#This Row],[Utilidad]]</f>
        <v>165.89944562400001</v>
      </c>
      <c r="L1053" s="8">
        <f>Table3[[#This Row],[PrimaTécnica]]*Table3[[#This Row],[Marketing]]</f>
        <v>33.179889124799999</v>
      </c>
      <c r="M1053" s="8">
        <f>Table3[[#This Row],[PrimaTécnica]]*Table3[[#This Row],[Cobranza]]</f>
        <v>33.179889124799999</v>
      </c>
      <c r="N105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3317.9889124800002</v>
      </c>
      <c r="O1053">
        <v>21.84</v>
      </c>
      <c r="P1053">
        <v>54.6</v>
      </c>
      <c r="Q1053">
        <v>80.64</v>
      </c>
      <c r="R1053">
        <v>44.377200000000002</v>
      </c>
      <c r="S1053">
        <v>0.2</v>
      </c>
      <c r="T1053">
        <v>0.02</v>
      </c>
      <c r="U1053" s="8">
        <f>Table3[[#This Row],[PrimaNeta]]*Table3[[#This Row],[Comisión]]</f>
        <v>879.86152812</v>
      </c>
      <c r="V1053" s="15">
        <f>Table3[[#This Row],[PrimaComercial Anual]]-Table3[[#This Row],[PrimaComercial Anual]]*SUM(Table3[[#This Row],[APS]:[IVA]])</f>
        <v>4399.3076406</v>
      </c>
      <c r="W1053" s="2">
        <v>1.4800000000000001E-2</v>
      </c>
      <c r="X1053" s="2">
        <v>8.4501000000000007E-2</v>
      </c>
      <c r="Y1053">
        <v>0.03</v>
      </c>
      <c r="Z1053">
        <v>0.13</v>
      </c>
      <c r="AA1053" s="20">
        <f>Table3[[#This Row],[APS]]*Table3[[#This Row],[PrimaComercial Anual]]</f>
        <v>87.903120000000001</v>
      </c>
      <c r="AB1053" s="8">
        <f>Table3[[#This Row],[PrimaComercial Anual]]*Table3[[#This Row],[Recargo adicional]]</f>
        <v>501.88523939999999</v>
      </c>
      <c r="AC1053" s="8">
        <f>Table3[[#This Row],[PrimaComercial Anual]]*Table3[[#This Row],[IT]]</f>
        <v>178.18199999999999</v>
      </c>
      <c r="AD1053" s="8">
        <f>Table3[[#This Row],[PrimaComercial Anual]]*Table3[[#This Row],[IVA]]</f>
        <v>772.12199999999996</v>
      </c>
      <c r="AE1053" s="15">
        <f>Table3[[#This Row],[PrimaComercial Anual Asistencia]]</f>
        <v>5939.4</v>
      </c>
      <c r="AG1053">
        <v>5939.4</v>
      </c>
    </row>
    <row r="1054" spans="1:33" x14ac:dyDescent="0.25">
      <c r="A1054" t="s">
        <v>18</v>
      </c>
      <c r="B1054">
        <v>700002</v>
      </c>
      <c r="C1054">
        <v>28</v>
      </c>
      <c r="D1054" s="2">
        <f>Table3[[#This Row],[PrimaTécnica]]-Table3[[#This Row],[PrimaTécnica]]*SUM(Table3[[#This Row],[Gastos Adm]:[Cobranza]])</f>
        <v>2588.0313517344002</v>
      </c>
      <c r="E1054">
        <v>0</v>
      </c>
      <c r="F1054">
        <v>0.15</v>
      </c>
      <c r="G1054">
        <v>0.05</v>
      </c>
      <c r="H1054">
        <v>0.01</v>
      </c>
      <c r="I1054">
        <v>0.01</v>
      </c>
      <c r="J1054" s="8">
        <f>Table3[[#This Row],[PrimaTécnica]]*Table3[[#This Row],[Gastos Adm]]</f>
        <v>497.69833687200003</v>
      </c>
      <c r="K1054" s="8">
        <f>Table3[[#This Row],[PrimaTécnica]]*Table3[[#This Row],[Utilidad]]</f>
        <v>165.89944562400001</v>
      </c>
      <c r="L1054" s="8">
        <f>Table3[[#This Row],[PrimaTécnica]]*Table3[[#This Row],[Marketing]]</f>
        <v>33.179889124799999</v>
      </c>
      <c r="M1054" s="8">
        <f>Table3[[#This Row],[PrimaTécnica]]*Table3[[#This Row],[Cobranza]]</f>
        <v>33.179889124799999</v>
      </c>
      <c r="N105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3317.9889124800002</v>
      </c>
      <c r="O1054">
        <v>21.84</v>
      </c>
      <c r="P1054">
        <v>54.6</v>
      </c>
      <c r="Q1054">
        <v>80.64</v>
      </c>
      <c r="R1054">
        <v>44.377200000000002</v>
      </c>
      <c r="S1054">
        <v>0.2</v>
      </c>
      <c r="T1054">
        <v>0.02</v>
      </c>
      <c r="U1054" s="8">
        <f>Table3[[#This Row],[PrimaNeta]]*Table3[[#This Row],[Comisión]]</f>
        <v>879.86152812</v>
      </c>
      <c r="V1054" s="15">
        <f>Table3[[#This Row],[PrimaComercial Anual]]-Table3[[#This Row],[PrimaComercial Anual]]*SUM(Table3[[#This Row],[APS]:[IVA]])</f>
        <v>4399.3076406</v>
      </c>
      <c r="W1054" s="2">
        <v>1.4800000000000001E-2</v>
      </c>
      <c r="X1054" s="2">
        <v>8.4501000000000007E-2</v>
      </c>
      <c r="Y1054">
        <v>0.03</v>
      </c>
      <c r="Z1054">
        <v>0.13</v>
      </c>
      <c r="AA1054" s="20">
        <f>Table3[[#This Row],[APS]]*Table3[[#This Row],[PrimaComercial Anual]]</f>
        <v>87.903120000000001</v>
      </c>
      <c r="AB1054" s="8">
        <f>Table3[[#This Row],[PrimaComercial Anual]]*Table3[[#This Row],[Recargo adicional]]</f>
        <v>501.88523939999999</v>
      </c>
      <c r="AC1054" s="8">
        <f>Table3[[#This Row],[PrimaComercial Anual]]*Table3[[#This Row],[IT]]</f>
        <v>178.18199999999999</v>
      </c>
      <c r="AD1054" s="8">
        <f>Table3[[#This Row],[PrimaComercial Anual]]*Table3[[#This Row],[IVA]]</f>
        <v>772.12199999999996</v>
      </c>
      <c r="AE1054" s="15">
        <f>Table3[[#This Row],[PrimaComercial Anual Asistencia]]</f>
        <v>5939.4</v>
      </c>
      <c r="AG1054">
        <v>5939.4</v>
      </c>
    </row>
    <row r="1055" spans="1:33" x14ac:dyDescent="0.25">
      <c r="A1055" t="s">
        <v>18</v>
      </c>
      <c r="B1055">
        <v>700002</v>
      </c>
      <c r="C1055">
        <v>29</v>
      </c>
      <c r="D1055" s="2">
        <f>Table3[[#This Row],[PrimaTécnica]]-Table3[[#This Row],[PrimaTécnica]]*SUM(Table3[[#This Row],[Gastos Adm]:[Cobranza]])</f>
        <v>2588.0313517344002</v>
      </c>
      <c r="E1055">
        <v>0</v>
      </c>
      <c r="F1055">
        <v>0.15</v>
      </c>
      <c r="G1055">
        <v>0.05</v>
      </c>
      <c r="H1055">
        <v>0.01</v>
      </c>
      <c r="I1055">
        <v>0.01</v>
      </c>
      <c r="J1055" s="8">
        <f>Table3[[#This Row],[PrimaTécnica]]*Table3[[#This Row],[Gastos Adm]]</f>
        <v>497.69833687200003</v>
      </c>
      <c r="K1055" s="8">
        <f>Table3[[#This Row],[PrimaTécnica]]*Table3[[#This Row],[Utilidad]]</f>
        <v>165.89944562400001</v>
      </c>
      <c r="L1055" s="8">
        <f>Table3[[#This Row],[PrimaTécnica]]*Table3[[#This Row],[Marketing]]</f>
        <v>33.179889124799999</v>
      </c>
      <c r="M1055" s="8">
        <f>Table3[[#This Row],[PrimaTécnica]]*Table3[[#This Row],[Cobranza]]</f>
        <v>33.179889124799999</v>
      </c>
      <c r="N105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3317.9889124800002</v>
      </c>
      <c r="O1055">
        <v>21.84</v>
      </c>
      <c r="P1055">
        <v>54.6</v>
      </c>
      <c r="Q1055">
        <v>80.64</v>
      </c>
      <c r="R1055">
        <v>44.377200000000002</v>
      </c>
      <c r="S1055">
        <v>0.2</v>
      </c>
      <c r="T1055">
        <v>0.02</v>
      </c>
      <c r="U1055" s="8">
        <f>Table3[[#This Row],[PrimaNeta]]*Table3[[#This Row],[Comisión]]</f>
        <v>879.86152812</v>
      </c>
      <c r="V1055" s="15">
        <f>Table3[[#This Row],[PrimaComercial Anual]]-Table3[[#This Row],[PrimaComercial Anual]]*SUM(Table3[[#This Row],[APS]:[IVA]])</f>
        <v>4399.3076406</v>
      </c>
      <c r="W1055" s="2">
        <v>1.4800000000000001E-2</v>
      </c>
      <c r="X1055" s="2">
        <v>8.4501000000000007E-2</v>
      </c>
      <c r="Y1055">
        <v>0.03</v>
      </c>
      <c r="Z1055">
        <v>0.13</v>
      </c>
      <c r="AA1055" s="20">
        <f>Table3[[#This Row],[APS]]*Table3[[#This Row],[PrimaComercial Anual]]</f>
        <v>87.903120000000001</v>
      </c>
      <c r="AB1055" s="8">
        <f>Table3[[#This Row],[PrimaComercial Anual]]*Table3[[#This Row],[Recargo adicional]]</f>
        <v>501.88523939999999</v>
      </c>
      <c r="AC1055" s="8">
        <f>Table3[[#This Row],[PrimaComercial Anual]]*Table3[[#This Row],[IT]]</f>
        <v>178.18199999999999</v>
      </c>
      <c r="AD1055" s="8">
        <f>Table3[[#This Row],[PrimaComercial Anual]]*Table3[[#This Row],[IVA]]</f>
        <v>772.12199999999996</v>
      </c>
      <c r="AE1055" s="15">
        <f>Table3[[#This Row],[PrimaComercial Anual Asistencia]]</f>
        <v>5939.4</v>
      </c>
      <c r="AG1055">
        <v>5939.4</v>
      </c>
    </row>
    <row r="1056" spans="1:33" x14ac:dyDescent="0.25">
      <c r="A1056" t="s">
        <v>18</v>
      </c>
      <c r="B1056">
        <v>700002</v>
      </c>
      <c r="C1056">
        <v>30</v>
      </c>
      <c r="D1056" s="2">
        <f>Table3[[#This Row],[PrimaTécnica]]-Table3[[#This Row],[PrimaTécnica]]*SUM(Table3[[#This Row],[Gastos Adm]:[Cobranza]])</f>
        <v>2661.7978614240001</v>
      </c>
      <c r="E1056">
        <v>0</v>
      </c>
      <c r="F1056">
        <v>0.15</v>
      </c>
      <c r="G1056">
        <v>0.05</v>
      </c>
      <c r="H1056">
        <v>0.01</v>
      </c>
      <c r="I1056">
        <v>0.01</v>
      </c>
      <c r="J1056" s="8">
        <f>Table3[[#This Row],[PrimaTécnica]]*Table3[[#This Row],[Gastos Adm]]</f>
        <v>511.88420412000005</v>
      </c>
      <c r="K1056" s="8">
        <f>Table3[[#This Row],[PrimaTécnica]]*Table3[[#This Row],[Utilidad]]</f>
        <v>170.62806804000002</v>
      </c>
      <c r="L1056" s="8">
        <f>Table3[[#This Row],[PrimaTécnica]]*Table3[[#This Row],[Marketing]]</f>
        <v>34.125613608000002</v>
      </c>
      <c r="M1056" s="8">
        <f>Table3[[#This Row],[PrimaTécnica]]*Table3[[#This Row],[Cobranza]]</f>
        <v>34.125613608000002</v>
      </c>
      <c r="N105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056">
        <v>21.84</v>
      </c>
      <c r="P1056">
        <v>54.6</v>
      </c>
      <c r="Q1056">
        <v>80.64</v>
      </c>
      <c r="R1056">
        <v>44.377200000000002</v>
      </c>
      <c r="S1056">
        <v>0.2</v>
      </c>
      <c r="T1056">
        <v>0.02</v>
      </c>
      <c r="U1056" s="8">
        <f>Table3[[#This Row],[PrimaNeta]]*Table3[[#This Row],[Comisión]]</f>
        <v>903.50464020000004</v>
      </c>
      <c r="V1056" s="15">
        <f>Table3[[#This Row],[PrimaComercial Anual]]-Table3[[#This Row],[PrimaComercial Anual]]*SUM(Table3[[#This Row],[APS]:[IVA]])</f>
        <v>4517.523201</v>
      </c>
      <c r="W1056" s="2">
        <v>1.4800000000000001E-2</v>
      </c>
      <c r="X1056" s="2">
        <v>8.4501000000000007E-2</v>
      </c>
      <c r="Y1056">
        <v>0.03</v>
      </c>
      <c r="Z1056">
        <v>0.13</v>
      </c>
      <c r="AA1056" s="20">
        <f>Table3[[#This Row],[APS]]*Table3[[#This Row],[PrimaComercial Anual]]</f>
        <v>90.265200000000007</v>
      </c>
      <c r="AB1056" s="8">
        <f>Table3[[#This Row],[PrimaComercial Anual]]*Table3[[#This Row],[Recargo adicional]]</f>
        <v>515.37159900000006</v>
      </c>
      <c r="AC1056" s="8">
        <f>Table3[[#This Row],[PrimaComercial Anual]]*Table3[[#This Row],[IT]]</f>
        <v>182.97</v>
      </c>
      <c r="AD1056" s="8">
        <f>Table3[[#This Row],[PrimaComercial Anual]]*Table3[[#This Row],[IVA]]</f>
        <v>792.87</v>
      </c>
      <c r="AE1056" s="15">
        <f>Table3[[#This Row],[PrimaComercial Anual Asistencia]]</f>
        <v>6099</v>
      </c>
      <c r="AG1056">
        <v>6099</v>
      </c>
    </row>
    <row r="1057" spans="1:33" x14ac:dyDescent="0.25">
      <c r="A1057" t="s">
        <v>18</v>
      </c>
      <c r="B1057">
        <v>700002</v>
      </c>
      <c r="C1057">
        <v>31</v>
      </c>
      <c r="D1057" s="2">
        <f>Table3[[#This Row],[PrimaTécnica]]-Table3[[#This Row],[PrimaTécnica]]*SUM(Table3[[#This Row],[Gastos Adm]:[Cobranza]])</f>
        <v>2661.7978614240001</v>
      </c>
      <c r="E1057">
        <v>0</v>
      </c>
      <c r="F1057">
        <v>0.15</v>
      </c>
      <c r="G1057">
        <v>0.05</v>
      </c>
      <c r="H1057">
        <v>0.01</v>
      </c>
      <c r="I1057">
        <v>0.01</v>
      </c>
      <c r="J1057" s="8">
        <f>Table3[[#This Row],[PrimaTécnica]]*Table3[[#This Row],[Gastos Adm]]</f>
        <v>511.88420412000005</v>
      </c>
      <c r="K1057" s="8">
        <f>Table3[[#This Row],[PrimaTécnica]]*Table3[[#This Row],[Utilidad]]</f>
        <v>170.62806804000002</v>
      </c>
      <c r="L1057" s="8">
        <f>Table3[[#This Row],[PrimaTécnica]]*Table3[[#This Row],[Marketing]]</f>
        <v>34.125613608000002</v>
      </c>
      <c r="M1057" s="8">
        <f>Table3[[#This Row],[PrimaTécnica]]*Table3[[#This Row],[Cobranza]]</f>
        <v>34.125613608000002</v>
      </c>
      <c r="N105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057">
        <v>21.84</v>
      </c>
      <c r="P1057">
        <v>54.6</v>
      </c>
      <c r="Q1057">
        <v>80.64</v>
      </c>
      <c r="R1057">
        <v>44.377200000000002</v>
      </c>
      <c r="S1057">
        <v>0.2</v>
      </c>
      <c r="T1057">
        <v>0.02</v>
      </c>
      <c r="U1057" s="8">
        <f>Table3[[#This Row],[PrimaNeta]]*Table3[[#This Row],[Comisión]]</f>
        <v>903.50464020000004</v>
      </c>
      <c r="V1057" s="15">
        <f>Table3[[#This Row],[PrimaComercial Anual]]-Table3[[#This Row],[PrimaComercial Anual]]*SUM(Table3[[#This Row],[APS]:[IVA]])</f>
        <v>4517.523201</v>
      </c>
      <c r="W1057" s="2">
        <v>1.4800000000000001E-2</v>
      </c>
      <c r="X1057" s="2">
        <v>8.4501000000000007E-2</v>
      </c>
      <c r="Y1057">
        <v>0.03</v>
      </c>
      <c r="Z1057">
        <v>0.13</v>
      </c>
      <c r="AA1057" s="20">
        <f>Table3[[#This Row],[APS]]*Table3[[#This Row],[PrimaComercial Anual]]</f>
        <v>90.265200000000007</v>
      </c>
      <c r="AB1057" s="8">
        <f>Table3[[#This Row],[PrimaComercial Anual]]*Table3[[#This Row],[Recargo adicional]]</f>
        <v>515.37159900000006</v>
      </c>
      <c r="AC1057" s="8">
        <f>Table3[[#This Row],[PrimaComercial Anual]]*Table3[[#This Row],[IT]]</f>
        <v>182.97</v>
      </c>
      <c r="AD1057" s="8">
        <f>Table3[[#This Row],[PrimaComercial Anual]]*Table3[[#This Row],[IVA]]</f>
        <v>792.87</v>
      </c>
      <c r="AE1057" s="15">
        <f>Table3[[#This Row],[PrimaComercial Anual Asistencia]]</f>
        <v>6099</v>
      </c>
      <c r="AG1057">
        <v>6099</v>
      </c>
    </row>
    <row r="1058" spans="1:33" x14ac:dyDescent="0.25">
      <c r="A1058" t="s">
        <v>18</v>
      </c>
      <c r="B1058">
        <v>700002</v>
      </c>
      <c r="C1058">
        <v>32</v>
      </c>
      <c r="D1058" s="2">
        <f>Table3[[#This Row],[PrimaTécnica]]-Table3[[#This Row],[PrimaTécnica]]*SUM(Table3[[#This Row],[Gastos Adm]:[Cobranza]])</f>
        <v>2661.7978614240001</v>
      </c>
      <c r="E1058">
        <v>0</v>
      </c>
      <c r="F1058">
        <v>0.15</v>
      </c>
      <c r="G1058">
        <v>0.05</v>
      </c>
      <c r="H1058">
        <v>0.01</v>
      </c>
      <c r="I1058">
        <v>0.01</v>
      </c>
      <c r="J1058" s="8">
        <f>Table3[[#This Row],[PrimaTécnica]]*Table3[[#This Row],[Gastos Adm]]</f>
        <v>511.88420412000005</v>
      </c>
      <c r="K1058" s="8">
        <f>Table3[[#This Row],[PrimaTécnica]]*Table3[[#This Row],[Utilidad]]</f>
        <v>170.62806804000002</v>
      </c>
      <c r="L1058" s="8">
        <f>Table3[[#This Row],[PrimaTécnica]]*Table3[[#This Row],[Marketing]]</f>
        <v>34.125613608000002</v>
      </c>
      <c r="M1058" s="8">
        <f>Table3[[#This Row],[PrimaTécnica]]*Table3[[#This Row],[Cobranza]]</f>
        <v>34.125613608000002</v>
      </c>
      <c r="N105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058">
        <v>21.84</v>
      </c>
      <c r="P1058">
        <v>54.6</v>
      </c>
      <c r="Q1058">
        <v>80.64</v>
      </c>
      <c r="R1058">
        <v>44.377200000000002</v>
      </c>
      <c r="S1058">
        <v>0.2</v>
      </c>
      <c r="T1058">
        <v>0.02</v>
      </c>
      <c r="U1058" s="8">
        <f>Table3[[#This Row],[PrimaNeta]]*Table3[[#This Row],[Comisión]]</f>
        <v>903.50464020000004</v>
      </c>
      <c r="V1058" s="15">
        <f>Table3[[#This Row],[PrimaComercial Anual]]-Table3[[#This Row],[PrimaComercial Anual]]*SUM(Table3[[#This Row],[APS]:[IVA]])</f>
        <v>4517.523201</v>
      </c>
      <c r="W1058" s="2">
        <v>1.4800000000000001E-2</v>
      </c>
      <c r="X1058" s="2">
        <v>8.4501000000000007E-2</v>
      </c>
      <c r="Y1058">
        <v>0.03</v>
      </c>
      <c r="Z1058">
        <v>0.13</v>
      </c>
      <c r="AA1058" s="20">
        <f>Table3[[#This Row],[APS]]*Table3[[#This Row],[PrimaComercial Anual]]</f>
        <v>90.265200000000007</v>
      </c>
      <c r="AB1058" s="8">
        <f>Table3[[#This Row],[PrimaComercial Anual]]*Table3[[#This Row],[Recargo adicional]]</f>
        <v>515.37159900000006</v>
      </c>
      <c r="AC1058" s="8">
        <f>Table3[[#This Row],[PrimaComercial Anual]]*Table3[[#This Row],[IT]]</f>
        <v>182.97</v>
      </c>
      <c r="AD1058" s="8">
        <f>Table3[[#This Row],[PrimaComercial Anual]]*Table3[[#This Row],[IVA]]</f>
        <v>792.87</v>
      </c>
      <c r="AE1058" s="15">
        <f>Table3[[#This Row],[PrimaComercial Anual Asistencia]]</f>
        <v>6099</v>
      </c>
      <c r="AG1058">
        <v>6099</v>
      </c>
    </row>
    <row r="1059" spans="1:33" x14ac:dyDescent="0.25">
      <c r="A1059" t="s">
        <v>18</v>
      </c>
      <c r="B1059">
        <v>700002</v>
      </c>
      <c r="C1059">
        <v>33</v>
      </c>
      <c r="D1059" s="2">
        <f>Table3[[#This Row],[PrimaTécnica]]-Table3[[#This Row],[PrimaTécnica]]*SUM(Table3[[#This Row],[Gastos Adm]:[Cobranza]])</f>
        <v>2661.7978614240001</v>
      </c>
      <c r="E1059">
        <v>0</v>
      </c>
      <c r="F1059">
        <v>0.15</v>
      </c>
      <c r="G1059">
        <v>0.05</v>
      </c>
      <c r="H1059">
        <v>0.01</v>
      </c>
      <c r="I1059">
        <v>0.01</v>
      </c>
      <c r="J1059" s="8">
        <f>Table3[[#This Row],[PrimaTécnica]]*Table3[[#This Row],[Gastos Adm]]</f>
        <v>511.88420412000005</v>
      </c>
      <c r="K1059" s="8">
        <f>Table3[[#This Row],[PrimaTécnica]]*Table3[[#This Row],[Utilidad]]</f>
        <v>170.62806804000002</v>
      </c>
      <c r="L1059" s="8">
        <f>Table3[[#This Row],[PrimaTécnica]]*Table3[[#This Row],[Marketing]]</f>
        <v>34.125613608000002</v>
      </c>
      <c r="M1059" s="8">
        <f>Table3[[#This Row],[PrimaTécnica]]*Table3[[#This Row],[Cobranza]]</f>
        <v>34.125613608000002</v>
      </c>
      <c r="N105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059">
        <v>21.84</v>
      </c>
      <c r="P1059">
        <v>54.6</v>
      </c>
      <c r="Q1059">
        <v>80.64</v>
      </c>
      <c r="R1059">
        <v>44.377200000000002</v>
      </c>
      <c r="S1059">
        <v>0.2</v>
      </c>
      <c r="T1059">
        <v>0.02</v>
      </c>
      <c r="U1059" s="8">
        <f>Table3[[#This Row],[PrimaNeta]]*Table3[[#This Row],[Comisión]]</f>
        <v>903.50464020000004</v>
      </c>
      <c r="V1059" s="15">
        <f>Table3[[#This Row],[PrimaComercial Anual]]-Table3[[#This Row],[PrimaComercial Anual]]*SUM(Table3[[#This Row],[APS]:[IVA]])</f>
        <v>4517.523201</v>
      </c>
      <c r="W1059" s="2">
        <v>1.4800000000000001E-2</v>
      </c>
      <c r="X1059" s="2">
        <v>8.4501000000000007E-2</v>
      </c>
      <c r="Y1059">
        <v>0.03</v>
      </c>
      <c r="Z1059">
        <v>0.13</v>
      </c>
      <c r="AA1059" s="20">
        <f>Table3[[#This Row],[APS]]*Table3[[#This Row],[PrimaComercial Anual]]</f>
        <v>90.265200000000007</v>
      </c>
      <c r="AB1059" s="8">
        <f>Table3[[#This Row],[PrimaComercial Anual]]*Table3[[#This Row],[Recargo adicional]]</f>
        <v>515.37159900000006</v>
      </c>
      <c r="AC1059" s="8">
        <f>Table3[[#This Row],[PrimaComercial Anual]]*Table3[[#This Row],[IT]]</f>
        <v>182.97</v>
      </c>
      <c r="AD1059" s="8">
        <f>Table3[[#This Row],[PrimaComercial Anual]]*Table3[[#This Row],[IVA]]</f>
        <v>792.87</v>
      </c>
      <c r="AE1059" s="15">
        <f>Table3[[#This Row],[PrimaComercial Anual Asistencia]]</f>
        <v>6099</v>
      </c>
      <c r="AG1059">
        <v>6099</v>
      </c>
    </row>
    <row r="1060" spans="1:33" x14ac:dyDescent="0.25">
      <c r="A1060" t="s">
        <v>18</v>
      </c>
      <c r="B1060">
        <v>700002</v>
      </c>
      <c r="C1060">
        <v>34</v>
      </c>
      <c r="D1060" s="2">
        <f>Table3[[#This Row],[PrimaTécnica]]-Table3[[#This Row],[PrimaTécnica]]*SUM(Table3[[#This Row],[Gastos Adm]:[Cobranza]])</f>
        <v>2661.7978614240001</v>
      </c>
      <c r="E1060">
        <v>0</v>
      </c>
      <c r="F1060">
        <v>0.15</v>
      </c>
      <c r="G1060">
        <v>0.05</v>
      </c>
      <c r="H1060">
        <v>0.01</v>
      </c>
      <c r="I1060">
        <v>0.01</v>
      </c>
      <c r="J1060" s="8">
        <f>Table3[[#This Row],[PrimaTécnica]]*Table3[[#This Row],[Gastos Adm]]</f>
        <v>511.88420412000005</v>
      </c>
      <c r="K1060" s="8">
        <f>Table3[[#This Row],[PrimaTécnica]]*Table3[[#This Row],[Utilidad]]</f>
        <v>170.62806804000002</v>
      </c>
      <c r="L1060" s="8">
        <f>Table3[[#This Row],[PrimaTécnica]]*Table3[[#This Row],[Marketing]]</f>
        <v>34.125613608000002</v>
      </c>
      <c r="M1060" s="8">
        <f>Table3[[#This Row],[PrimaTécnica]]*Table3[[#This Row],[Cobranza]]</f>
        <v>34.125613608000002</v>
      </c>
      <c r="N106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060">
        <v>21.84</v>
      </c>
      <c r="P1060">
        <v>54.6</v>
      </c>
      <c r="Q1060">
        <v>80.64</v>
      </c>
      <c r="R1060">
        <v>44.377200000000002</v>
      </c>
      <c r="S1060">
        <v>0.2</v>
      </c>
      <c r="T1060">
        <v>0.02</v>
      </c>
      <c r="U1060" s="8">
        <f>Table3[[#This Row],[PrimaNeta]]*Table3[[#This Row],[Comisión]]</f>
        <v>903.50464020000004</v>
      </c>
      <c r="V1060" s="15">
        <f>Table3[[#This Row],[PrimaComercial Anual]]-Table3[[#This Row],[PrimaComercial Anual]]*SUM(Table3[[#This Row],[APS]:[IVA]])</f>
        <v>4517.523201</v>
      </c>
      <c r="W1060" s="2">
        <v>1.4800000000000001E-2</v>
      </c>
      <c r="X1060" s="2">
        <v>8.4501000000000007E-2</v>
      </c>
      <c r="Y1060">
        <v>0.03</v>
      </c>
      <c r="Z1060">
        <v>0.13</v>
      </c>
      <c r="AA1060" s="20">
        <f>Table3[[#This Row],[APS]]*Table3[[#This Row],[PrimaComercial Anual]]</f>
        <v>90.265200000000007</v>
      </c>
      <c r="AB1060" s="8">
        <f>Table3[[#This Row],[PrimaComercial Anual]]*Table3[[#This Row],[Recargo adicional]]</f>
        <v>515.37159900000006</v>
      </c>
      <c r="AC1060" s="8">
        <f>Table3[[#This Row],[PrimaComercial Anual]]*Table3[[#This Row],[IT]]</f>
        <v>182.97</v>
      </c>
      <c r="AD1060" s="8">
        <f>Table3[[#This Row],[PrimaComercial Anual]]*Table3[[#This Row],[IVA]]</f>
        <v>792.87</v>
      </c>
      <c r="AE1060" s="15">
        <f>Table3[[#This Row],[PrimaComercial Anual Asistencia]]</f>
        <v>6099</v>
      </c>
      <c r="AG1060">
        <v>6099</v>
      </c>
    </row>
    <row r="1061" spans="1:33" x14ac:dyDescent="0.25">
      <c r="A1061" t="s">
        <v>18</v>
      </c>
      <c r="B1061">
        <v>700002</v>
      </c>
      <c r="C1061">
        <v>35</v>
      </c>
      <c r="D1061" s="2">
        <f>Table3[[#This Row],[PrimaTécnica]]-Table3[[#This Row],[PrimaTécnica]]*SUM(Table3[[#This Row],[Gastos Adm]:[Cobranza]])</f>
        <v>2661.7978614240001</v>
      </c>
      <c r="E1061">
        <v>0</v>
      </c>
      <c r="F1061">
        <v>0.15</v>
      </c>
      <c r="G1061">
        <v>0.05</v>
      </c>
      <c r="H1061">
        <v>0.01</v>
      </c>
      <c r="I1061">
        <v>0.01</v>
      </c>
      <c r="J1061" s="8">
        <f>Table3[[#This Row],[PrimaTécnica]]*Table3[[#This Row],[Gastos Adm]]</f>
        <v>511.88420412000005</v>
      </c>
      <c r="K1061" s="8">
        <f>Table3[[#This Row],[PrimaTécnica]]*Table3[[#This Row],[Utilidad]]</f>
        <v>170.62806804000002</v>
      </c>
      <c r="L1061" s="8">
        <f>Table3[[#This Row],[PrimaTécnica]]*Table3[[#This Row],[Marketing]]</f>
        <v>34.125613608000002</v>
      </c>
      <c r="M1061" s="8">
        <f>Table3[[#This Row],[PrimaTécnica]]*Table3[[#This Row],[Cobranza]]</f>
        <v>34.125613608000002</v>
      </c>
      <c r="N106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061">
        <v>21.84</v>
      </c>
      <c r="P1061">
        <v>54.6</v>
      </c>
      <c r="Q1061">
        <v>80.64</v>
      </c>
      <c r="R1061">
        <v>44.377200000000002</v>
      </c>
      <c r="S1061">
        <v>0.2</v>
      </c>
      <c r="T1061">
        <v>0.02</v>
      </c>
      <c r="U1061" s="8">
        <f>Table3[[#This Row],[PrimaNeta]]*Table3[[#This Row],[Comisión]]</f>
        <v>903.50464020000004</v>
      </c>
      <c r="V1061" s="15">
        <f>Table3[[#This Row],[PrimaComercial Anual]]-Table3[[#This Row],[PrimaComercial Anual]]*SUM(Table3[[#This Row],[APS]:[IVA]])</f>
        <v>4517.523201</v>
      </c>
      <c r="W1061" s="2">
        <v>1.4800000000000001E-2</v>
      </c>
      <c r="X1061" s="2">
        <v>8.4501000000000007E-2</v>
      </c>
      <c r="Y1061">
        <v>0.03</v>
      </c>
      <c r="Z1061">
        <v>0.13</v>
      </c>
      <c r="AA1061" s="20">
        <f>Table3[[#This Row],[APS]]*Table3[[#This Row],[PrimaComercial Anual]]</f>
        <v>90.265200000000007</v>
      </c>
      <c r="AB1061" s="8">
        <f>Table3[[#This Row],[PrimaComercial Anual]]*Table3[[#This Row],[Recargo adicional]]</f>
        <v>515.37159900000006</v>
      </c>
      <c r="AC1061" s="8">
        <f>Table3[[#This Row],[PrimaComercial Anual]]*Table3[[#This Row],[IT]]</f>
        <v>182.97</v>
      </c>
      <c r="AD1061" s="8">
        <f>Table3[[#This Row],[PrimaComercial Anual]]*Table3[[#This Row],[IVA]]</f>
        <v>792.87</v>
      </c>
      <c r="AE1061" s="15">
        <f>Table3[[#This Row],[PrimaComercial Anual Asistencia]]</f>
        <v>6099</v>
      </c>
      <c r="AG1061">
        <v>6099</v>
      </c>
    </row>
    <row r="1062" spans="1:33" x14ac:dyDescent="0.25">
      <c r="A1062" t="s">
        <v>18</v>
      </c>
      <c r="B1062">
        <v>700002</v>
      </c>
      <c r="C1062">
        <v>36</v>
      </c>
      <c r="D1062" s="2">
        <f>Table3[[#This Row],[PrimaTécnica]]-Table3[[#This Row],[PrimaTécnica]]*SUM(Table3[[#This Row],[Gastos Adm]:[Cobranza]])</f>
        <v>2661.7978614240001</v>
      </c>
      <c r="E1062">
        <v>0</v>
      </c>
      <c r="F1062">
        <v>0.15</v>
      </c>
      <c r="G1062">
        <v>0.05</v>
      </c>
      <c r="H1062">
        <v>0.01</v>
      </c>
      <c r="I1062">
        <v>0.01</v>
      </c>
      <c r="J1062" s="8">
        <f>Table3[[#This Row],[PrimaTécnica]]*Table3[[#This Row],[Gastos Adm]]</f>
        <v>511.88420412000005</v>
      </c>
      <c r="K1062" s="8">
        <f>Table3[[#This Row],[PrimaTécnica]]*Table3[[#This Row],[Utilidad]]</f>
        <v>170.62806804000002</v>
      </c>
      <c r="L1062" s="8">
        <f>Table3[[#This Row],[PrimaTécnica]]*Table3[[#This Row],[Marketing]]</f>
        <v>34.125613608000002</v>
      </c>
      <c r="M1062" s="8">
        <f>Table3[[#This Row],[PrimaTécnica]]*Table3[[#This Row],[Cobranza]]</f>
        <v>34.125613608000002</v>
      </c>
      <c r="N106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062">
        <v>21.84</v>
      </c>
      <c r="P1062">
        <v>54.6</v>
      </c>
      <c r="Q1062">
        <v>80.64</v>
      </c>
      <c r="R1062">
        <v>44.377200000000002</v>
      </c>
      <c r="S1062">
        <v>0.2</v>
      </c>
      <c r="T1062">
        <v>0.02</v>
      </c>
      <c r="U1062" s="8">
        <f>Table3[[#This Row],[PrimaNeta]]*Table3[[#This Row],[Comisión]]</f>
        <v>903.50464020000004</v>
      </c>
      <c r="V1062" s="15">
        <f>Table3[[#This Row],[PrimaComercial Anual]]-Table3[[#This Row],[PrimaComercial Anual]]*SUM(Table3[[#This Row],[APS]:[IVA]])</f>
        <v>4517.523201</v>
      </c>
      <c r="W1062" s="2">
        <v>1.4800000000000001E-2</v>
      </c>
      <c r="X1062" s="2">
        <v>8.4501000000000007E-2</v>
      </c>
      <c r="Y1062">
        <v>0.03</v>
      </c>
      <c r="Z1062">
        <v>0.13</v>
      </c>
      <c r="AA1062" s="20">
        <f>Table3[[#This Row],[APS]]*Table3[[#This Row],[PrimaComercial Anual]]</f>
        <v>90.265200000000007</v>
      </c>
      <c r="AB1062" s="8">
        <f>Table3[[#This Row],[PrimaComercial Anual]]*Table3[[#This Row],[Recargo adicional]]</f>
        <v>515.37159900000006</v>
      </c>
      <c r="AC1062" s="8">
        <f>Table3[[#This Row],[PrimaComercial Anual]]*Table3[[#This Row],[IT]]</f>
        <v>182.97</v>
      </c>
      <c r="AD1062" s="8">
        <f>Table3[[#This Row],[PrimaComercial Anual]]*Table3[[#This Row],[IVA]]</f>
        <v>792.87</v>
      </c>
      <c r="AE1062" s="15">
        <f>Table3[[#This Row],[PrimaComercial Anual Asistencia]]</f>
        <v>6099</v>
      </c>
      <c r="AG1062">
        <v>6099</v>
      </c>
    </row>
    <row r="1063" spans="1:33" x14ac:dyDescent="0.25">
      <c r="A1063" t="s">
        <v>18</v>
      </c>
      <c r="B1063">
        <v>700002</v>
      </c>
      <c r="C1063">
        <v>37</v>
      </c>
      <c r="D1063" s="2">
        <f>Table3[[#This Row],[PrimaTécnica]]-Table3[[#This Row],[PrimaTécnica]]*SUM(Table3[[#This Row],[Gastos Adm]:[Cobranza]])</f>
        <v>2661.7978614240001</v>
      </c>
      <c r="E1063">
        <v>0</v>
      </c>
      <c r="F1063">
        <v>0.15</v>
      </c>
      <c r="G1063">
        <v>0.05</v>
      </c>
      <c r="H1063">
        <v>0.01</v>
      </c>
      <c r="I1063">
        <v>0.01</v>
      </c>
      <c r="J1063" s="8">
        <f>Table3[[#This Row],[PrimaTécnica]]*Table3[[#This Row],[Gastos Adm]]</f>
        <v>511.88420412000005</v>
      </c>
      <c r="K1063" s="8">
        <f>Table3[[#This Row],[PrimaTécnica]]*Table3[[#This Row],[Utilidad]]</f>
        <v>170.62806804000002</v>
      </c>
      <c r="L1063" s="8">
        <f>Table3[[#This Row],[PrimaTécnica]]*Table3[[#This Row],[Marketing]]</f>
        <v>34.125613608000002</v>
      </c>
      <c r="M1063" s="8">
        <f>Table3[[#This Row],[PrimaTécnica]]*Table3[[#This Row],[Cobranza]]</f>
        <v>34.125613608000002</v>
      </c>
      <c r="N106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063">
        <v>21.84</v>
      </c>
      <c r="P1063">
        <v>54.6</v>
      </c>
      <c r="Q1063">
        <v>80.64</v>
      </c>
      <c r="R1063">
        <v>44.377200000000002</v>
      </c>
      <c r="S1063">
        <v>0.2</v>
      </c>
      <c r="T1063">
        <v>0.02</v>
      </c>
      <c r="U1063" s="8">
        <f>Table3[[#This Row],[PrimaNeta]]*Table3[[#This Row],[Comisión]]</f>
        <v>903.50464020000004</v>
      </c>
      <c r="V1063" s="15">
        <f>Table3[[#This Row],[PrimaComercial Anual]]-Table3[[#This Row],[PrimaComercial Anual]]*SUM(Table3[[#This Row],[APS]:[IVA]])</f>
        <v>4517.523201</v>
      </c>
      <c r="W1063" s="2">
        <v>1.4800000000000001E-2</v>
      </c>
      <c r="X1063" s="2">
        <v>8.4501000000000007E-2</v>
      </c>
      <c r="Y1063">
        <v>0.03</v>
      </c>
      <c r="Z1063">
        <v>0.13</v>
      </c>
      <c r="AA1063" s="20">
        <f>Table3[[#This Row],[APS]]*Table3[[#This Row],[PrimaComercial Anual]]</f>
        <v>90.265200000000007</v>
      </c>
      <c r="AB1063" s="8">
        <f>Table3[[#This Row],[PrimaComercial Anual]]*Table3[[#This Row],[Recargo adicional]]</f>
        <v>515.37159900000006</v>
      </c>
      <c r="AC1063" s="8">
        <f>Table3[[#This Row],[PrimaComercial Anual]]*Table3[[#This Row],[IT]]</f>
        <v>182.97</v>
      </c>
      <c r="AD1063" s="8">
        <f>Table3[[#This Row],[PrimaComercial Anual]]*Table3[[#This Row],[IVA]]</f>
        <v>792.87</v>
      </c>
      <c r="AE1063" s="15">
        <f>Table3[[#This Row],[PrimaComercial Anual Asistencia]]</f>
        <v>6099</v>
      </c>
      <c r="AG1063">
        <v>6099</v>
      </c>
    </row>
    <row r="1064" spans="1:33" x14ac:dyDescent="0.25">
      <c r="A1064" t="s">
        <v>18</v>
      </c>
      <c r="B1064">
        <v>700002</v>
      </c>
      <c r="C1064">
        <v>38</v>
      </c>
      <c r="D1064" s="2">
        <f>Table3[[#This Row],[PrimaTécnica]]-Table3[[#This Row],[PrimaTécnica]]*SUM(Table3[[#This Row],[Gastos Adm]:[Cobranza]])</f>
        <v>2661.7978614240001</v>
      </c>
      <c r="E1064">
        <v>0</v>
      </c>
      <c r="F1064">
        <v>0.15</v>
      </c>
      <c r="G1064">
        <v>0.05</v>
      </c>
      <c r="H1064">
        <v>0.01</v>
      </c>
      <c r="I1064">
        <v>0.01</v>
      </c>
      <c r="J1064" s="8">
        <f>Table3[[#This Row],[PrimaTécnica]]*Table3[[#This Row],[Gastos Adm]]</f>
        <v>511.88420412000005</v>
      </c>
      <c r="K1064" s="8">
        <f>Table3[[#This Row],[PrimaTécnica]]*Table3[[#This Row],[Utilidad]]</f>
        <v>170.62806804000002</v>
      </c>
      <c r="L1064" s="8">
        <f>Table3[[#This Row],[PrimaTécnica]]*Table3[[#This Row],[Marketing]]</f>
        <v>34.125613608000002</v>
      </c>
      <c r="M1064" s="8">
        <f>Table3[[#This Row],[PrimaTécnica]]*Table3[[#This Row],[Cobranza]]</f>
        <v>34.125613608000002</v>
      </c>
      <c r="N106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064">
        <v>21.84</v>
      </c>
      <c r="P1064">
        <v>54.6</v>
      </c>
      <c r="Q1064">
        <v>80.64</v>
      </c>
      <c r="R1064">
        <v>44.377200000000002</v>
      </c>
      <c r="S1064">
        <v>0.2</v>
      </c>
      <c r="T1064">
        <v>0.02</v>
      </c>
      <c r="U1064" s="8">
        <f>Table3[[#This Row],[PrimaNeta]]*Table3[[#This Row],[Comisión]]</f>
        <v>903.50464020000004</v>
      </c>
      <c r="V1064" s="15">
        <f>Table3[[#This Row],[PrimaComercial Anual]]-Table3[[#This Row],[PrimaComercial Anual]]*SUM(Table3[[#This Row],[APS]:[IVA]])</f>
        <v>4517.523201</v>
      </c>
      <c r="W1064" s="2">
        <v>1.4800000000000001E-2</v>
      </c>
      <c r="X1064" s="2">
        <v>8.4501000000000007E-2</v>
      </c>
      <c r="Y1064">
        <v>0.03</v>
      </c>
      <c r="Z1064">
        <v>0.13</v>
      </c>
      <c r="AA1064" s="20">
        <f>Table3[[#This Row],[APS]]*Table3[[#This Row],[PrimaComercial Anual]]</f>
        <v>90.265200000000007</v>
      </c>
      <c r="AB1064" s="8">
        <f>Table3[[#This Row],[PrimaComercial Anual]]*Table3[[#This Row],[Recargo adicional]]</f>
        <v>515.37159900000006</v>
      </c>
      <c r="AC1064" s="8">
        <f>Table3[[#This Row],[PrimaComercial Anual]]*Table3[[#This Row],[IT]]</f>
        <v>182.97</v>
      </c>
      <c r="AD1064" s="8">
        <f>Table3[[#This Row],[PrimaComercial Anual]]*Table3[[#This Row],[IVA]]</f>
        <v>792.87</v>
      </c>
      <c r="AE1064" s="15">
        <f>Table3[[#This Row],[PrimaComercial Anual Asistencia]]</f>
        <v>6099</v>
      </c>
      <c r="AG1064">
        <v>6099</v>
      </c>
    </row>
    <row r="1065" spans="1:33" x14ac:dyDescent="0.25">
      <c r="A1065" t="s">
        <v>18</v>
      </c>
      <c r="B1065">
        <v>700002</v>
      </c>
      <c r="C1065">
        <v>39</v>
      </c>
      <c r="D1065" s="2">
        <f>Table3[[#This Row],[PrimaTécnica]]-Table3[[#This Row],[PrimaTécnica]]*SUM(Table3[[#This Row],[Gastos Adm]:[Cobranza]])</f>
        <v>2661.7978614240001</v>
      </c>
      <c r="E1065">
        <v>0</v>
      </c>
      <c r="F1065">
        <v>0.15</v>
      </c>
      <c r="G1065">
        <v>0.05</v>
      </c>
      <c r="H1065">
        <v>0.01</v>
      </c>
      <c r="I1065">
        <v>0.01</v>
      </c>
      <c r="J1065" s="8">
        <f>Table3[[#This Row],[PrimaTécnica]]*Table3[[#This Row],[Gastos Adm]]</f>
        <v>511.88420412000005</v>
      </c>
      <c r="K1065" s="8">
        <f>Table3[[#This Row],[PrimaTécnica]]*Table3[[#This Row],[Utilidad]]</f>
        <v>170.62806804000002</v>
      </c>
      <c r="L1065" s="8">
        <f>Table3[[#This Row],[PrimaTécnica]]*Table3[[#This Row],[Marketing]]</f>
        <v>34.125613608000002</v>
      </c>
      <c r="M1065" s="8">
        <f>Table3[[#This Row],[PrimaTécnica]]*Table3[[#This Row],[Cobranza]]</f>
        <v>34.125613608000002</v>
      </c>
      <c r="N106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065">
        <v>21.84</v>
      </c>
      <c r="P1065">
        <v>54.6</v>
      </c>
      <c r="Q1065">
        <v>80.64</v>
      </c>
      <c r="R1065">
        <v>44.377200000000002</v>
      </c>
      <c r="S1065">
        <v>0.2</v>
      </c>
      <c r="T1065">
        <v>0.02</v>
      </c>
      <c r="U1065" s="8">
        <f>Table3[[#This Row],[PrimaNeta]]*Table3[[#This Row],[Comisión]]</f>
        <v>903.50464020000004</v>
      </c>
      <c r="V1065" s="15">
        <f>Table3[[#This Row],[PrimaComercial Anual]]-Table3[[#This Row],[PrimaComercial Anual]]*SUM(Table3[[#This Row],[APS]:[IVA]])</f>
        <v>4517.523201</v>
      </c>
      <c r="W1065" s="2">
        <v>1.4800000000000001E-2</v>
      </c>
      <c r="X1065" s="2">
        <v>8.4501000000000007E-2</v>
      </c>
      <c r="Y1065">
        <v>0.03</v>
      </c>
      <c r="Z1065">
        <v>0.13</v>
      </c>
      <c r="AA1065" s="20">
        <f>Table3[[#This Row],[APS]]*Table3[[#This Row],[PrimaComercial Anual]]</f>
        <v>90.265200000000007</v>
      </c>
      <c r="AB1065" s="8">
        <f>Table3[[#This Row],[PrimaComercial Anual]]*Table3[[#This Row],[Recargo adicional]]</f>
        <v>515.37159900000006</v>
      </c>
      <c r="AC1065" s="8">
        <f>Table3[[#This Row],[PrimaComercial Anual]]*Table3[[#This Row],[IT]]</f>
        <v>182.97</v>
      </c>
      <c r="AD1065" s="8">
        <f>Table3[[#This Row],[PrimaComercial Anual]]*Table3[[#This Row],[IVA]]</f>
        <v>792.87</v>
      </c>
      <c r="AE1065" s="15">
        <f>Table3[[#This Row],[PrimaComercial Anual Asistencia]]</f>
        <v>6099</v>
      </c>
      <c r="AG1065">
        <v>6099</v>
      </c>
    </row>
    <row r="1066" spans="1:33" x14ac:dyDescent="0.25">
      <c r="A1066" t="s">
        <v>18</v>
      </c>
      <c r="B1066">
        <v>700002</v>
      </c>
      <c r="C1066">
        <v>40</v>
      </c>
      <c r="D1066" s="2">
        <f>Table3[[#This Row],[PrimaTécnica]]-Table3[[#This Row],[PrimaTécnica]]*SUM(Table3[[#This Row],[Gastos Adm]:[Cobranza]])</f>
        <v>3694.5289970783988</v>
      </c>
      <c r="E1066">
        <v>0</v>
      </c>
      <c r="F1066">
        <v>0.15</v>
      </c>
      <c r="G1066">
        <v>0.05</v>
      </c>
      <c r="H1066">
        <v>0.01</v>
      </c>
      <c r="I1066">
        <v>0.01</v>
      </c>
      <c r="J1066" s="8">
        <f>Table3[[#This Row],[PrimaTécnica]]*Table3[[#This Row],[Gastos Adm]]</f>
        <v>710.48634559199979</v>
      </c>
      <c r="K1066" s="8">
        <f>Table3[[#This Row],[PrimaTécnica]]*Table3[[#This Row],[Utilidad]]</f>
        <v>236.82878186399995</v>
      </c>
      <c r="L1066" s="8">
        <f>Table3[[#This Row],[PrimaTécnica]]*Table3[[#This Row],[Marketing]]</f>
        <v>47.365756372799986</v>
      </c>
      <c r="M1066" s="8">
        <f>Table3[[#This Row],[PrimaTécnica]]*Table3[[#This Row],[Cobranza]]</f>
        <v>47.365756372799986</v>
      </c>
      <c r="N106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4736.5756372799988</v>
      </c>
      <c r="O1066">
        <v>21.84</v>
      </c>
      <c r="P1066">
        <v>54.6</v>
      </c>
      <c r="Q1066">
        <v>80.64</v>
      </c>
      <c r="R1066">
        <v>44.377200000000002</v>
      </c>
      <c r="S1066">
        <v>0.2</v>
      </c>
      <c r="T1066">
        <v>0.02</v>
      </c>
      <c r="U1066" s="8">
        <f>Table3[[#This Row],[PrimaNeta]]*Table3[[#This Row],[Comisión]]</f>
        <v>1234.5082093199999</v>
      </c>
      <c r="V1066" s="15">
        <f>Table3[[#This Row],[PrimaComercial Anual]]-Table3[[#This Row],[PrimaComercial Anual]]*SUM(Table3[[#This Row],[APS]:[IVA]])</f>
        <v>6172.5410465999994</v>
      </c>
      <c r="W1066" s="2">
        <v>1.4800000000000001E-2</v>
      </c>
      <c r="X1066" s="2">
        <v>8.4501000000000007E-2</v>
      </c>
      <c r="Y1066">
        <v>0.03</v>
      </c>
      <c r="Z1066">
        <v>0.13</v>
      </c>
      <c r="AA1066" s="20">
        <f>Table3[[#This Row],[APS]]*Table3[[#This Row],[PrimaComercial Anual]]</f>
        <v>123.33432000000001</v>
      </c>
      <c r="AB1066" s="8">
        <f>Table3[[#This Row],[PrimaComercial Anual]]*Table3[[#This Row],[Recargo adicional]]</f>
        <v>704.18063340000003</v>
      </c>
      <c r="AC1066" s="8">
        <f>Table3[[#This Row],[PrimaComercial Anual]]*Table3[[#This Row],[IT]]</f>
        <v>250.00199999999998</v>
      </c>
      <c r="AD1066" s="8">
        <f>Table3[[#This Row],[PrimaComercial Anual]]*Table3[[#This Row],[IVA]]</f>
        <v>1083.3420000000001</v>
      </c>
      <c r="AE1066" s="15">
        <f>Table3[[#This Row],[PrimaComercial Anual Asistencia]]</f>
        <v>8333.4</v>
      </c>
      <c r="AG1066">
        <v>8333.4</v>
      </c>
    </row>
    <row r="1067" spans="1:33" x14ac:dyDescent="0.25">
      <c r="A1067" t="s">
        <v>18</v>
      </c>
      <c r="B1067">
        <v>700002</v>
      </c>
      <c r="C1067">
        <v>41</v>
      </c>
      <c r="D1067" s="2">
        <f>Table3[[#This Row],[PrimaTécnica]]-Table3[[#This Row],[PrimaTécnica]]*SUM(Table3[[#This Row],[Gastos Adm]:[Cobranza]])</f>
        <v>3694.5289970783988</v>
      </c>
      <c r="E1067">
        <v>0</v>
      </c>
      <c r="F1067">
        <v>0.15</v>
      </c>
      <c r="G1067">
        <v>0.05</v>
      </c>
      <c r="H1067">
        <v>0.01</v>
      </c>
      <c r="I1067">
        <v>0.01</v>
      </c>
      <c r="J1067" s="8">
        <f>Table3[[#This Row],[PrimaTécnica]]*Table3[[#This Row],[Gastos Adm]]</f>
        <v>710.48634559199979</v>
      </c>
      <c r="K1067" s="8">
        <f>Table3[[#This Row],[PrimaTécnica]]*Table3[[#This Row],[Utilidad]]</f>
        <v>236.82878186399995</v>
      </c>
      <c r="L1067" s="8">
        <f>Table3[[#This Row],[PrimaTécnica]]*Table3[[#This Row],[Marketing]]</f>
        <v>47.365756372799986</v>
      </c>
      <c r="M1067" s="8">
        <f>Table3[[#This Row],[PrimaTécnica]]*Table3[[#This Row],[Cobranza]]</f>
        <v>47.365756372799986</v>
      </c>
      <c r="N106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4736.5756372799988</v>
      </c>
      <c r="O1067">
        <v>21.84</v>
      </c>
      <c r="P1067">
        <v>54.6</v>
      </c>
      <c r="Q1067">
        <v>80.64</v>
      </c>
      <c r="R1067">
        <v>44.377200000000002</v>
      </c>
      <c r="S1067">
        <v>0.2</v>
      </c>
      <c r="T1067">
        <v>0.02</v>
      </c>
      <c r="U1067" s="8">
        <f>Table3[[#This Row],[PrimaNeta]]*Table3[[#This Row],[Comisión]]</f>
        <v>1234.5082093199999</v>
      </c>
      <c r="V1067" s="15">
        <f>Table3[[#This Row],[PrimaComercial Anual]]-Table3[[#This Row],[PrimaComercial Anual]]*SUM(Table3[[#This Row],[APS]:[IVA]])</f>
        <v>6172.5410465999994</v>
      </c>
      <c r="W1067" s="2">
        <v>1.4800000000000001E-2</v>
      </c>
      <c r="X1067" s="2">
        <v>8.4501000000000007E-2</v>
      </c>
      <c r="Y1067">
        <v>0.03</v>
      </c>
      <c r="Z1067">
        <v>0.13</v>
      </c>
      <c r="AA1067" s="20">
        <f>Table3[[#This Row],[APS]]*Table3[[#This Row],[PrimaComercial Anual]]</f>
        <v>123.33432000000001</v>
      </c>
      <c r="AB1067" s="8">
        <f>Table3[[#This Row],[PrimaComercial Anual]]*Table3[[#This Row],[Recargo adicional]]</f>
        <v>704.18063340000003</v>
      </c>
      <c r="AC1067" s="8">
        <f>Table3[[#This Row],[PrimaComercial Anual]]*Table3[[#This Row],[IT]]</f>
        <v>250.00199999999998</v>
      </c>
      <c r="AD1067" s="8">
        <f>Table3[[#This Row],[PrimaComercial Anual]]*Table3[[#This Row],[IVA]]</f>
        <v>1083.3420000000001</v>
      </c>
      <c r="AE1067" s="15">
        <f>Table3[[#This Row],[PrimaComercial Anual Asistencia]]</f>
        <v>8333.4</v>
      </c>
      <c r="AG1067">
        <v>8333.4</v>
      </c>
    </row>
    <row r="1068" spans="1:33" x14ac:dyDescent="0.25">
      <c r="A1068" t="s">
        <v>18</v>
      </c>
      <c r="B1068">
        <v>700002</v>
      </c>
      <c r="C1068">
        <v>42</v>
      </c>
      <c r="D1068" s="2">
        <f>Table3[[#This Row],[PrimaTécnica]]-Table3[[#This Row],[PrimaTécnica]]*SUM(Table3[[#This Row],[Gastos Adm]:[Cobranza]])</f>
        <v>3694.5289970783988</v>
      </c>
      <c r="E1068">
        <v>0</v>
      </c>
      <c r="F1068">
        <v>0.15</v>
      </c>
      <c r="G1068">
        <v>0.05</v>
      </c>
      <c r="H1068">
        <v>0.01</v>
      </c>
      <c r="I1068">
        <v>0.01</v>
      </c>
      <c r="J1068" s="8">
        <f>Table3[[#This Row],[PrimaTécnica]]*Table3[[#This Row],[Gastos Adm]]</f>
        <v>710.48634559199979</v>
      </c>
      <c r="K1068" s="8">
        <f>Table3[[#This Row],[PrimaTécnica]]*Table3[[#This Row],[Utilidad]]</f>
        <v>236.82878186399995</v>
      </c>
      <c r="L1068" s="8">
        <f>Table3[[#This Row],[PrimaTécnica]]*Table3[[#This Row],[Marketing]]</f>
        <v>47.365756372799986</v>
      </c>
      <c r="M1068" s="8">
        <f>Table3[[#This Row],[PrimaTécnica]]*Table3[[#This Row],[Cobranza]]</f>
        <v>47.365756372799986</v>
      </c>
      <c r="N106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4736.5756372799988</v>
      </c>
      <c r="O1068">
        <v>21.84</v>
      </c>
      <c r="P1068">
        <v>54.6</v>
      </c>
      <c r="Q1068">
        <v>80.64</v>
      </c>
      <c r="R1068">
        <v>44.377200000000002</v>
      </c>
      <c r="S1068">
        <v>0.2</v>
      </c>
      <c r="T1068">
        <v>0.02</v>
      </c>
      <c r="U1068" s="8">
        <f>Table3[[#This Row],[PrimaNeta]]*Table3[[#This Row],[Comisión]]</f>
        <v>1234.5082093199999</v>
      </c>
      <c r="V1068" s="15">
        <f>Table3[[#This Row],[PrimaComercial Anual]]-Table3[[#This Row],[PrimaComercial Anual]]*SUM(Table3[[#This Row],[APS]:[IVA]])</f>
        <v>6172.5410465999994</v>
      </c>
      <c r="W1068" s="2">
        <v>1.4800000000000001E-2</v>
      </c>
      <c r="X1068" s="2">
        <v>8.4501000000000007E-2</v>
      </c>
      <c r="Y1068">
        <v>0.03</v>
      </c>
      <c r="Z1068">
        <v>0.13</v>
      </c>
      <c r="AA1068" s="20">
        <f>Table3[[#This Row],[APS]]*Table3[[#This Row],[PrimaComercial Anual]]</f>
        <v>123.33432000000001</v>
      </c>
      <c r="AB1068" s="8">
        <f>Table3[[#This Row],[PrimaComercial Anual]]*Table3[[#This Row],[Recargo adicional]]</f>
        <v>704.18063340000003</v>
      </c>
      <c r="AC1068" s="8">
        <f>Table3[[#This Row],[PrimaComercial Anual]]*Table3[[#This Row],[IT]]</f>
        <v>250.00199999999998</v>
      </c>
      <c r="AD1068" s="8">
        <f>Table3[[#This Row],[PrimaComercial Anual]]*Table3[[#This Row],[IVA]]</f>
        <v>1083.3420000000001</v>
      </c>
      <c r="AE1068" s="15">
        <f>Table3[[#This Row],[PrimaComercial Anual Asistencia]]</f>
        <v>8333.4</v>
      </c>
      <c r="AG1068">
        <v>8333.4</v>
      </c>
    </row>
    <row r="1069" spans="1:33" x14ac:dyDescent="0.25">
      <c r="A1069" t="s">
        <v>18</v>
      </c>
      <c r="B1069">
        <v>700002</v>
      </c>
      <c r="C1069">
        <v>43</v>
      </c>
      <c r="D1069" s="2">
        <f>Table3[[#This Row],[PrimaTécnica]]-Table3[[#This Row],[PrimaTécnica]]*SUM(Table3[[#This Row],[Gastos Adm]:[Cobranza]])</f>
        <v>3694.5289970783988</v>
      </c>
      <c r="E1069">
        <v>0</v>
      </c>
      <c r="F1069">
        <v>0.15</v>
      </c>
      <c r="G1069">
        <v>0.05</v>
      </c>
      <c r="H1069">
        <v>0.01</v>
      </c>
      <c r="I1069">
        <v>0.01</v>
      </c>
      <c r="J1069" s="8">
        <f>Table3[[#This Row],[PrimaTécnica]]*Table3[[#This Row],[Gastos Adm]]</f>
        <v>710.48634559199979</v>
      </c>
      <c r="K1069" s="8">
        <f>Table3[[#This Row],[PrimaTécnica]]*Table3[[#This Row],[Utilidad]]</f>
        <v>236.82878186399995</v>
      </c>
      <c r="L1069" s="8">
        <f>Table3[[#This Row],[PrimaTécnica]]*Table3[[#This Row],[Marketing]]</f>
        <v>47.365756372799986</v>
      </c>
      <c r="M1069" s="8">
        <f>Table3[[#This Row],[PrimaTécnica]]*Table3[[#This Row],[Cobranza]]</f>
        <v>47.365756372799986</v>
      </c>
      <c r="N106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4736.5756372799988</v>
      </c>
      <c r="O1069">
        <v>21.84</v>
      </c>
      <c r="P1069">
        <v>54.6</v>
      </c>
      <c r="Q1069">
        <v>80.64</v>
      </c>
      <c r="R1069">
        <v>44.377200000000002</v>
      </c>
      <c r="S1069">
        <v>0.2</v>
      </c>
      <c r="T1069">
        <v>0.02</v>
      </c>
      <c r="U1069" s="8">
        <f>Table3[[#This Row],[PrimaNeta]]*Table3[[#This Row],[Comisión]]</f>
        <v>1234.5082093199999</v>
      </c>
      <c r="V1069" s="15">
        <f>Table3[[#This Row],[PrimaComercial Anual]]-Table3[[#This Row],[PrimaComercial Anual]]*SUM(Table3[[#This Row],[APS]:[IVA]])</f>
        <v>6172.5410465999994</v>
      </c>
      <c r="W1069" s="2">
        <v>1.4800000000000001E-2</v>
      </c>
      <c r="X1069" s="2">
        <v>8.4501000000000007E-2</v>
      </c>
      <c r="Y1069">
        <v>0.03</v>
      </c>
      <c r="Z1069">
        <v>0.13</v>
      </c>
      <c r="AA1069" s="20">
        <f>Table3[[#This Row],[APS]]*Table3[[#This Row],[PrimaComercial Anual]]</f>
        <v>123.33432000000001</v>
      </c>
      <c r="AB1069" s="8">
        <f>Table3[[#This Row],[PrimaComercial Anual]]*Table3[[#This Row],[Recargo adicional]]</f>
        <v>704.18063340000003</v>
      </c>
      <c r="AC1069" s="8">
        <f>Table3[[#This Row],[PrimaComercial Anual]]*Table3[[#This Row],[IT]]</f>
        <v>250.00199999999998</v>
      </c>
      <c r="AD1069" s="8">
        <f>Table3[[#This Row],[PrimaComercial Anual]]*Table3[[#This Row],[IVA]]</f>
        <v>1083.3420000000001</v>
      </c>
      <c r="AE1069" s="15">
        <f>Table3[[#This Row],[PrimaComercial Anual Asistencia]]</f>
        <v>8333.4</v>
      </c>
      <c r="AG1069">
        <v>8333.4</v>
      </c>
    </row>
    <row r="1070" spans="1:33" x14ac:dyDescent="0.25">
      <c r="A1070" t="s">
        <v>18</v>
      </c>
      <c r="B1070">
        <v>700002</v>
      </c>
      <c r="C1070">
        <v>44</v>
      </c>
      <c r="D1070" s="2">
        <f>Table3[[#This Row],[PrimaTécnica]]-Table3[[#This Row],[PrimaTécnica]]*SUM(Table3[[#This Row],[Gastos Adm]:[Cobranza]])</f>
        <v>3694.5289970783988</v>
      </c>
      <c r="E1070">
        <v>0</v>
      </c>
      <c r="F1070">
        <v>0.15</v>
      </c>
      <c r="G1070">
        <v>0.05</v>
      </c>
      <c r="H1070">
        <v>0.01</v>
      </c>
      <c r="I1070">
        <v>0.01</v>
      </c>
      <c r="J1070" s="8">
        <f>Table3[[#This Row],[PrimaTécnica]]*Table3[[#This Row],[Gastos Adm]]</f>
        <v>710.48634559199979</v>
      </c>
      <c r="K1070" s="8">
        <f>Table3[[#This Row],[PrimaTécnica]]*Table3[[#This Row],[Utilidad]]</f>
        <v>236.82878186399995</v>
      </c>
      <c r="L1070" s="8">
        <f>Table3[[#This Row],[PrimaTécnica]]*Table3[[#This Row],[Marketing]]</f>
        <v>47.365756372799986</v>
      </c>
      <c r="M1070" s="8">
        <f>Table3[[#This Row],[PrimaTécnica]]*Table3[[#This Row],[Cobranza]]</f>
        <v>47.365756372799986</v>
      </c>
      <c r="N107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4736.5756372799988</v>
      </c>
      <c r="O1070">
        <v>21.84</v>
      </c>
      <c r="P1070">
        <v>54.6</v>
      </c>
      <c r="Q1070">
        <v>80.64</v>
      </c>
      <c r="R1070">
        <v>44.377200000000002</v>
      </c>
      <c r="S1070">
        <v>0.2</v>
      </c>
      <c r="T1070">
        <v>0.02</v>
      </c>
      <c r="U1070" s="8">
        <f>Table3[[#This Row],[PrimaNeta]]*Table3[[#This Row],[Comisión]]</f>
        <v>1234.5082093199999</v>
      </c>
      <c r="V1070" s="15">
        <f>Table3[[#This Row],[PrimaComercial Anual]]-Table3[[#This Row],[PrimaComercial Anual]]*SUM(Table3[[#This Row],[APS]:[IVA]])</f>
        <v>6172.5410465999994</v>
      </c>
      <c r="W1070" s="2">
        <v>1.4800000000000001E-2</v>
      </c>
      <c r="X1070" s="2">
        <v>8.4501000000000007E-2</v>
      </c>
      <c r="Y1070">
        <v>0.03</v>
      </c>
      <c r="Z1070">
        <v>0.13</v>
      </c>
      <c r="AA1070" s="20">
        <f>Table3[[#This Row],[APS]]*Table3[[#This Row],[PrimaComercial Anual]]</f>
        <v>123.33432000000001</v>
      </c>
      <c r="AB1070" s="8">
        <f>Table3[[#This Row],[PrimaComercial Anual]]*Table3[[#This Row],[Recargo adicional]]</f>
        <v>704.18063340000003</v>
      </c>
      <c r="AC1070" s="8">
        <f>Table3[[#This Row],[PrimaComercial Anual]]*Table3[[#This Row],[IT]]</f>
        <v>250.00199999999998</v>
      </c>
      <c r="AD1070" s="8">
        <f>Table3[[#This Row],[PrimaComercial Anual]]*Table3[[#This Row],[IVA]]</f>
        <v>1083.3420000000001</v>
      </c>
      <c r="AE1070" s="15">
        <f>Table3[[#This Row],[PrimaComercial Anual Asistencia]]</f>
        <v>8333.4</v>
      </c>
      <c r="AG1070">
        <v>8333.4</v>
      </c>
    </row>
    <row r="1071" spans="1:33" x14ac:dyDescent="0.25">
      <c r="A1071" t="s">
        <v>18</v>
      </c>
      <c r="B1071">
        <v>700002</v>
      </c>
      <c r="C1071">
        <v>45</v>
      </c>
      <c r="D1071" s="2">
        <f>Table3[[#This Row],[PrimaTécnica]]-Table3[[#This Row],[PrimaTécnica]]*SUM(Table3[[#This Row],[Gastos Adm]:[Cobranza]])</f>
        <v>3694.5289970783988</v>
      </c>
      <c r="E1071">
        <v>0</v>
      </c>
      <c r="F1071">
        <v>0.15</v>
      </c>
      <c r="G1071">
        <v>0.05</v>
      </c>
      <c r="H1071">
        <v>0.01</v>
      </c>
      <c r="I1071">
        <v>0.01</v>
      </c>
      <c r="J1071" s="8">
        <f>Table3[[#This Row],[PrimaTécnica]]*Table3[[#This Row],[Gastos Adm]]</f>
        <v>710.48634559199979</v>
      </c>
      <c r="K1071" s="8">
        <f>Table3[[#This Row],[PrimaTécnica]]*Table3[[#This Row],[Utilidad]]</f>
        <v>236.82878186399995</v>
      </c>
      <c r="L1071" s="8">
        <f>Table3[[#This Row],[PrimaTécnica]]*Table3[[#This Row],[Marketing]]</f>
        <v>47.365756372799986</v>
      </c>
      <c r="M1071" s="8">
        <f>Table3[[#This Row],[PrimaTécnica]]*Table3[[#This Row],[Cobranza]]</f>
        <v>47.365756372799986</v>
      </c>
      <c r="N107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4736.5756372799988</v>
      </c>
      <c r="O1071">
        <v>21.84</v>
      </c>
      <c r="P1071">
        <v>54.6</v>
      </c>
      <c r="Q1071">
        <v>80.64</v>
      </c>
      <c r="R1071">
        <v>44.377200000000002</v>
      </c>
      <c r="S1071">
        <v>0.2</v>
      </c>
      <c r="T1071">
        <v>0.02</v>
      </c>
      <c r="U1071" s="8">
        <f>Table3[[#This Row],[PrimaNeta]]*Table3[[#This Row],[Comisión]]</f>
        <v>1234.5082093199999</v>
      </c>
      <c r="V1071" s="15">
        <f>Table3[[#This Row],[PrimaComercial Anual]]-Table3[[#This Row],[PrimaComercial Anual]]*SUM(Table3[[#This Row],[APS]:[IVA]])</f>
        <v>6172.5410465999994</v>
      </c>
      <c r="W1071" s="2">
        <v>1.4800000000000001E-2</v>
      </c>
      <c r="X1071" s="2">
        <v>8.4501000000000007E-2</v>
      </c>
      <c r="Y1071">
        <v>0.03</v>
      </c>
      <c r="Z1071">
        <v>0.13</v>
      </c>
      <c r="AA1071" s="20">
        <f>Table3[[#This Row],[APS]]*Table3[[#This Row],[PrimaComercial Anual]]</f>
        <v>123.33432000000001</v>
      </c>
      <c r="AB1071" s="8">
        <f>Table3[[#This Row],[PrimaComercial Anual]]*Table3[[#This Row],[Recargo adicional]]</f>
        <v>704.18063340000003</v>
      </c>
      <c r="AC1071" s="8">
        <f>Table3[[#This Row],[PrimaComercial Anual]]*Table3[[#This Row],[IT]]</f>
        <v>250.00199999999998</v>
      </c>
      <c r="AD1071" s="8">
        <f>Table3[[#This Row],[PrimaComercial Anual]]*Table3[[#This Row],[IVA]]</f>
        <v>1083.3420000000001</v>
      </c>
      <c r="AE1071" s="15">
        <f>Table3[[#This Row],[PrimaComercial Anual Asistencia]]</f>
        <v>8333.4</v>
      </c>
      <c r="AG1071">
        <v>8333.4</v>
      </c>
    </row>
    <row r="1072" spans="1:33" x14ac:dyDescent="0.25">
      <c r="A1072" t="s">
        <v>18</v>
      </c>
      <c r="B1072">
        <v>700002</v>
      </c>
      <c r="C1072">
        <v>46</v>
      </c>
      <c r="D1072" s="2">
        <f>Table3[[#This Row],[PrimaTécnica]]-Table3[[#This Row],[PrimaTécnica]]*SUM(Table3[[#This Row],[Gastos Adm]:[Cobranza]])</f>
        <v>3694.5289970783988</v>
      </c>
      <c r="E1072">
        <v>0</v>
      </c>
      <c r="F1072">
        <v>0.15</v>
      </c>
      <c r="G1072">
        <v>0.05</v>
      </c>
      <c r="H1072">
        <v>0.01</v>
      </c>
      <c r="I1072">
        <v>0.01</v>
      </c>
      <c r="J1072" s="8">
        <f>Table3[[#This Row],[PrimaTécnica]]*Table3[[#This Row],[Gastos Adm]]</f>
        <v>710.48634559199979</v>
      </c>
      <c r="K1072" s="8">
        <f>Table3[[#This Row],[PrimaTécnica]]*Table3[[#This Row],[Utilidad]]</f>
        <v>236.82878186399995</v>
      </c>
      <c r="L1072" s="8">
        <f>Table3[[#This Row],[PrimaTécnica]]*Table3[[#This Row],[Marketing]]</f>
        <v>47.365756372799986</v>
      </c>
      <c r="M1072" s="8">
        <f>Table3[[#This Row],[PrimaTécnica]]*Table3[[#This Row],[Cobranza]]</f>
        <v>47.365756372799986</v>
      </c>
      <c r="N107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4736.5756372799988</v>
      </c>
      <c r="O1072">
        <v>21.84</v>
      </c>
      <c r="P1072">
        <v>54.6</v>
      </c>
      <c r="Q1072">
        <v>80.64</v>
      </c>
      <c r="R1072">
        <v>44.377200000000002</v>
      </c>
      <c r="S1072">
        <v>0.2</v>
      </c>
      <c r="T1072">
        <v>0.02</v>
      </c>
      <c r="U1072" s="8">
        <f>Table3[[#This Row],[PrimaNeta]]*Table3[[#This Row],[Comisión]]</f>
        <v>1234.5082093199999</v>
      </c>
      <c r="V1072" s="15">
        <f>Table3[[#This Row],[PrimaComercial Anual]]-Table3[[#This Row],[PrimaComercial Anual]]*SUM(Table3[[#This Row],[APS]:[IVA]])</f>
        <v>6172.5410465999994</v>
      </c>
      <c r="W1072" s="2">
        <v>1.4800000000000001E-2</v>
      </c>
      <c r="X1072" s="2">
        <v>8.4501000000000007E-2</v>
      </c>
      <c r="Y1072">
        <v>0.03</v>
      </c>
      <c r="Z1072">
        <v>0.13</v>
      </c>
      <c r="AA1072" s="20">
        <f>Table3[[#This Row],[APS]]*Table3[[#This Row],[PrimaComercial Anual]]</f>
        <v>123.33432000000001</v>
      </c>
      <c r="AB1072" s="8">
        <f>Table3[[#This Row],[PrimaComercial Anual]]*Table3[[#This Row],[Recargo adicional]]</f>
        <v>704.18063340000003</v>
      </c>
      <c r="AC1072" s="8">
        <f>Table3[[#This Row],[PrimaComercial Anual]]*Table3[[#This Row],[IT]]</f>
        <v>250.00199999999998</v>
      </c>
      <c r="AD1072" s="8">
        <f>Table3[[#This Row],[PrimaComercial Anual]]*Table3[[#This Row],[IVA]]</f>
        <v>1083.3420000000001</v>
      </c>
      <c r="AE1072" s="15">
        <f>Table3[[#This Row],[PrimaComercial Anual Asistencia]]</f>
        <v>8333.4</v>
      </c>
      <c r="AG1072">
        <v>8333.4</v>
      </c>
    </row>
    <row r="1073" spans="1:33" x14ac:dyDescent="0.25">
      <c r="A1073" t="s">
        <v>18</v>
      </c>
      <c r="B1073">
        <v>700002</v>
      </c>
      <c r="C1073">
        <v>47</v>
      </c>
      <c r="D1073" s="2">
        <f>Table3[[#This Row],[PrimaTécnica]]-Table3[[#This Row],[PrimaTécnica]]*SUM(Table3[[#This Row],[Gastos Adm]:[Cobranza]])</f>
        <v>3694.5289970783988</v>
      </c>
      <c r="E1073">
        <v>0</v>
      </c>
      <c r="F1073">
        <v>0.15</v>
      </c>
      <c r="G1073">
        <v>0.05</v>
      </c>
      <c r="H1073">
        <v>0.01</v>
      </c>
      <c r="I1073">
        <v>0.01</v>
      </c>
      <c r="J1073" s="8">
        <f>Table3[[#This Row],[PrimaTécnica]]*Table3[[#This Row],[Gastos Adm]]</f>
        <v>710.48634559199979</v>
      </c>
      <c r="K1073" s="8">
        <f>Table3[[#This Row],[PrimaTécnica]]*Table3[[#This Row],[Utilidad]]</f>
        <v>236.82878186399995</v>
      </c>
      <c r="L1073" s="8">
        <f>Table3[[#This Row],[PrimaTécnica]]*Table3[[#This Row],[Marketing]]</f>
        <v>47.365756372799986</v>
      </c>
      <c r="M1073" s="8">
        <f>Table3[[#This Row],[PrimaTécnica]]*Table3[[#This Row],[Cobranza]]</f>
        <v>47.365756372799986</v>
      </c>
      <c r="N107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4736.5756372799988</v>
      </c>
      <c r="O1073">
        <v>21.84</v>
      </c>
      <c r="P1073">
        <v>54.6</v>
      </c>
      <c r="Q1073">
        <v>80.64</v>
      </c>
      <c r="R1073">
        <v>44.377200000000002</v>
      </c>
      <c r="S1073">
        <v>0.2</v>
      </c>
      <c r="T1073">
        <v>0.02</v>
      </c>
      <c r="U1073" s="8">
        <f>Table3[[#This Row],[PrimaNeta]]*Table3[[#This Row],[Comisión]]</f>
        <v>1234.5082093199999</v>
      </c>
      <c r="V1073" s="15">
        <f>Table3[[#This Row],[PrimaComercial Anual]]-Table3[[#This Row],[PrimaComercial Anual]]*SUM(Table3[[#This Row],[APS]:[IVA]])</f>
        <v>6172.5410465999994</v>
      </c>
      <c r="W1073" s="2">
        <v>1.4800000000000001E-2</v>
      </c>
      <c r="X1073" s="2">
        <v>8.4501000000000007E-2</v>
      </c>
      <c r="Y1073">
        <v>0.03</v>
      </c>
      <c r="Z1073">
        <v>0.13</v>
      </c>
      <c r="AA1073" s="20">
        <f>Table3[[#This Row],[APS]]*Table3[[#This Row],[PrimaComercial Anual]]</f>
        <v>123.33432000000001</v>
      </c>
      <c r="AB1073" s="8">
        <f>Table3[[#This Row],[PrimaComercial Anual]]*Table3[[#This Row],[Recargo adicional]]</f>
        <v>704.18063340000003</v>
      </c>
      <c r="AC1073" s="8">
        <f>Table3[[#This Row],[PrimaComercial Anual]]*Table3[[#This Row],[IT]]</f>
        <v>250.00199999999998</v>
      </c>
      <c r="AD1073" s="8">
        <f>Table3[[#This Row],[PrimaComercial Anual]]*Table3[[#This Row],[IVA]]</f>
        <v>1083.3420000000001</v>
      </c>
      <c r="AE1073" s="15">
        <f>Table3[[#This Row],[PrimaComercial Anual Asistencia]]</f>
        <v>8333.4</v>
      </c>
      <c r="AG1073">
        <v>8333.4</v>
      </c>
    </row>
    <row r="1074" spans="1:33" x14ac:dyDescent="0.25">
      <c r="A1074" t="s">
        <v>18</v>
      </c>
      <c r="B1074">
        <v>700002</v>
      </c>
      <c r="C1074">
        <v>48</v>
      </c>
      <c r="D1074" s="2">
        <f>Table3[[#This Row],[PrimaTécnica]]-Table3[[#This Row],[PrimaTécnica]]*SUM(Table3[[#This Row],[Gastos Adm]:[Cobranza]])</f>
        <v>3694.5289970783988</v>
      </c>
      <c r="E1074">
        <v>0</v>
      </c>
      <c r="F1074">
        <v>0.15</v>
      </c>
      <c r="G1074">
        <v>0.05</v>
      </c>
      <c r="H1074">
        <v>0.01</v>
      </c>
      <c r="I1074">
        <v>0.01</v>
      </c>
      <c r="J1074" s="8">
        <f>Table3[[#This Row],[PrimaTécnica]]*Table3[[#This Row],[Gastos Adm]]</f>
        <v>710.48634559199979</v>
      </c>
      <c r="K1074" s="8">
        <f>Table3[[#This Row],[PrimaTécnica]]*Table3[[#This Row],[Utilidad]]</f>
        <v>236.82878186399995</v>
      </c>
      <c r="L1074" s="8">
        <f>Table3[[#This Row],[PrimaTécnica]]*Table3[[#This Row],[Marketing]]</f>
        <v>47.365756372799986</v>
      </c>
      <c r="M1074" s="8">
        <f>Table3[[#This Row],[PrimaTécnica]]*Table3[[#This Row],[Cobranza]]</f>
        <v>47.365756372799986</v>
      </c>
      <c r="N107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4736.5756372799988</v>
      </c>
      <c r="O1074">
        <v>21.84</v>
      </c>
      <c r="P1074">
        <v>54.6</v>
      </c>
      <c r="Q1074">
        <v>80.64</v>
      </c>
      <c r="R1074">
        <v>44.377200000000002</v>
      </c>
      <c r="S1074">
        <v>0.2</v>
      </c>
      <c r="T1074">
        <v>0.02</v>
      </c>
      <c r="U1074" s="8">
        <f>Table3[[#This Row],[PrimaNeta]]*Table3[[#This Row],[Comisión]]</f>
        <v>1234.5082093199999</v>
      </c>
      <c r="V1074" s="15">
        <f>Table3[[#This Row],[PrimaComercial Anual]]-Table3[[#This Row],[PrimaComercial Anual]]*SUM(Table3[[#This Row],[APS]:[IVA]])</f>
        <v>6172.5410465999994</v>
      </c>
      <c r="W1074" s="2">
        <v>1.4800000000000001E-2</v>
      </c>
      <c r="X1074" s="2">
        <v>8.4501000000000007E-2</v>
      </c>
      <c r="Y1074">
        <v>0.03</v>
      </c>
      <c r="Z1074">
        <v>0.13</v>
      </c>
      <c r="AA1074" s="20">
        <f>Table3[[#This Row],[APS]]*Table3[[#This Row],[PrimaComercial Anual]]</f>
        <v>123.33432000000001</v>
      </c>
      <c r="AB1074" s="8">
        <f>Table3[[#This Row],[PrimaComercial Anual]]*Table3[[#This Row],[Recargo adicional]]</f>
        <v>704.18063340000003</v>
      </c>
      <c r="AC1074" s="8">
        <f>Table3[[#This Row],[PrimaComercial Anual]]*Table3[[#This Row],[IT]]</f>
        <v>250.00199999999998</v>
      </c>
      <c r="AD1074" s="8">
        <f>Table3[[#This Row],[PrimaComercial Anual]]*Table3[[#This Row],[IVA]]</f>
        <v>1083.3420000000001</v>
      </c>
      <c r="AE1074" s="15">
        <f>Table3[[#This Row],[PrimaComercial Anual Asistencia]]</f>
        <v>8333.4</v>
      </c>
      <c r="AG1074">
        <v>8333.4</v>
      </c>
    </row>
    <row r="1075" spans="1:33" x14ac:dyDescent="0.25">
      <c r="A1075" t="s">
        <v>18</v>
      </c>
      <c r="B1075">
        <v>700002</v>
      </c>
      <c r="C1075">
        <v>49</v>
      </c>
      <c r="D1075" s="2">
        <f>Table3[[#This Row],[PrimaTécnica]]-Table3[[#This Row],[PrimaTécnica]]*SUM(Table3[[#This Row],[Gastos Adm]:[Cobranza]])</f>
        <v>3694.5289970783988</v>
      </c>
      <c r="E1075">
        <v>0</v>
      </c>
      <c r="F1075">
        <v>0.15</v>
      </c>
      <c r="G1075">
        <v>0.05</v>
      </c>
      <c r="H1075">
        <v>0.01</v>
      </c>
      <c r="I1075">
        <v>0.01</v>
      </c>
      <c r="J1075" s="8">
        <f>Table3[[#This Row],[PrimaTécnica]]*Table3[[#This Row],[Gastos Adm]]</f>
        <v>710.48634559199979</v>
      </c>
      <c r="K1075" s="8">
        <f>Table3[[#This Row],[PrimaTécnica]]*Table3[[#This Row],[Utilidad]]</f>
        <v>236.82878186399995</v>
      </c>
      <c r="L1075" s="8">
        <f>Table3[[#This Row],[PrimaTécnica]]*Table3[[#This Row],[Marketing]]</f>
        <v>47.365756372799986</v>
      </c>
      <c r="M1075" s="8">
        <f>Table3[[#This Row],[PrimaTécnica]]*Table3[[#This Row],[Cobranza]]</f>
        <v>47.365756372799986</v>
      </c>
      <c r="N107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4736.5756372799988</v>
      </c>
      <c r="O1075">
        <v>21.84</v>
      </c>
      <c r="P1075">
        <v>54.6</v>
      </c>
      <c r="Q1075">
        <v>80.64</v>
      </c>
      <c r="R1075">
        <v>44.377200000000002</v>
      </c>
      <c r="S1075">
        <v>0.2</v>
      </c>
      <c r="T1075">
        <v>0.02</v>
      </c>
      <c r="U1075" s="8">
        <f>Table3[[#This Row],[PrimaNeta]]*Table3[[#This Row],[Comisión]]</f>
        <v>1234.5082093199999</v>
      </c>
      <c r="V1075" s="15">
        <f>Table3[[#This Row],[PrimaComercial Anual]]-Table3[[#This Row],[PrimaComercial Anual]]*SUM(Table3[[#This Row],[APS]:[IVA]])</f>
        <v>6172.5410465999994</v>
      </c>
      <c r="W1075" s="2">
        <v>1.4800000000000001E-2</v>
      </c>
      <c r="X1075" s="2">
        <v>8.4501000000000007E-2</v>
      </c>
      <c r="Y1075">
        <v>0.03</v>
      </c>
      <c r="Z1075">
        <v>0.13</v>
      </c>
      <c r="AA1075" s="20">
        <f>Table3[[#This Row],[APS]]*Table3[[#This Row],[PrimaComercial Anual]]</f>
        <v>123.33432000000001</v>
      </c>
      <c r="AB1075" s="8">
        <f>Table3[[#This Row],[PrimaComercial Anual]]*Table3[[#This Row],[Recargo adicional]]</f>
        <v>704.18063340000003</v>
      </c>
      <c r="AC1075" s="8">
        <f>Table3[[#This Row],[PrimaComercial Anual]]*Table3[[#This Row],[IT]]</f>
        <v>250.00199999999998</v>
      </c>
      <c r="AD1075" s="8">
        <f>Table3[[#This Row],[PrimaComercial Anual]]*Table3[[#This Row],[IVA]]</f>
        <v>1083.3420000000001</v>
      </c>
      <c r="AE1075" s="15">
        <f>Table3[[#This Row],[PrimaComercial Anual Asistencia]]</f>
        <v>8333.4</v>
      </c>
      <c r="AG1075">
        <v>8333.4</v>
      </c>
    </row>
    <row r="1076" spans="1:33" x14ac:dyDescent="0.25">
      <c r="A1076" t="s">
        <v>18</v>
      </c>
      <c r="B1076">
        <v>700002</v>
      </c>
      <c r="C1076">
        <v>50</v>
      </c>
      <c r="D1076" s="2">
        <f>Table3[[#This Row],[PrimaTécnica]]-Table3[[#This Row],[PrimaTécnica]]*SUM(Table3[[#This Row],[Gastos Adm]:[Cobranza]])</f>
        <v>3989.5950358367986</v>
      </c>
      <c r="E1076">
        <v>0</v>
      </c>
      <c r="F1076">
        <v>0.15</v>
      </c>
      <c r="G1076">
        <v>0.05</v>
      </c>
      <c r="H1076">
        <v>0.01</v>
      </c>
      <c r="I1076">
        <v>0.01</v>
      </c>
      <c r="J1076" s="8">
        <f>Table3[[#This Row],[PrimaTécnica]]*Table3[[#This Row],[Gastos Adm]]</f>
        <v>767.22981458399977</v>
      </c>
      <c r="K1076" s="8">
        <f>Table3[[#This Row],[PrimaTécnica]]*Table3[[#This Row],[Utilidad]]</f>
        <v>255.74327152799992</v>
      </c>
      <c r="L1076" s="8">
        <f>Table3[[#This Row],[PrimaTécnica]]*Table3[[#This Row],[Marketing]]</f>
        <v>51.148654305599983</v>
      </c>
      <c r="M1076" s="8">
        <f>Table3[[#This Row],[PrimaTécnica]]*Table3[[#This Row],[Cobranza]]</f>
        <v>51.148654305599983</v>
      </c>
      <c r="N107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5114.8654305599985</v>
      </c>
      <c r="O1076">
        <v>21.84</v>
      </c>
      <c r="P1076">
        <v>54.6</v>
      </c>
      <c r="Q1076">
        <v>80.64</v>
      </c>
      <c r="R1076">
        <v>44.377200000000002</v>
      </c>
      <c r="S1076">
        <v>0.2</v>
      </c>
      <c r="T1076">
        <v>0.02</v>
      </c>
      <c r="U1076" s="8">
        <f>Table3[[#This Row],[PrimaNeta]]*Table3[[#This Row],[Comisión]]</f>
        <v>1329.08065764</v>
      </c>
      <c r="V1076" s="15">
        <f>Table3[[#This Row],[PrimaComercial Anual]]-Table3[[#This Row],[PrimaComercial Anual]]*SUM(Table3[[#This Row],[APS]:[IVA]])</f>
        <v>6645.4032881999992</v>
      </c>
      <c r="W1076" s="2">
        <v>1.4800000000000001E-2</v>
      </c>
      <c r="X1076" s="2">
        <v>8.4501000000000007E-2</v>
      </c>
      <c r="Y1076">
        <v>0.03</v>
      </c>
      <c r="Z1076">
        <v>0.13</v>
      </c>
      <c r="AA1076" s="20">
        <f>Table3[[#This Row],[APS]]*Table3[[#This Row],[PrimaComercial Anual]]</f>
        <v>132.78263999999999</v>
      </c>
      <c r="AB1076" s="8">
        <f>Table3[[#This Row],[PrimaComercial Anual]]*Table3[[#This Row],[Recargo adicional]]</f>
        <v>758.12607179999998</v>
      </c>
      <c r="AC1076" s="8">
        <f>Table3[[#This Row],[PrimaComercial Anual]]*Table3[[#This Row],[IT]]</f>
        <v>269.154</v>
      </c>
      <c r="AD1076" s="8">
        <f>Table3[[#This Row],[PrimaComercial Anual]]*Table3[[#This Row],[IVA]]</f>
        <v>1166.3339999999998</v>
      </c>
      <c r="AE1076" s="15">
        <f>Table3[[#This Row],[PrimaComercial Anual Asistencia]]</f>
        <v>8971.7999999999993</v>
      </c>
      <c r="AG1076">
        <v>8971.7999999999993</v>
      </c>
    </row>
    <row r="1077" spans="1:33" x14ac:dyDescent="0.25">
      <c r="A1077" t="s">
        <v>18</v>
      </c>
      <c r="B1077">
        <v>700002</v>
      </c>
      <c r="C1077">
        <v>51</v>
      </c>
      <c r="D1077" s="2">
        <f>Table3[[#This Row],[PrimaTécnica]]-Table3[[#This Row],[PrimaTécnica]]*SUM(Table3[[#This Row],[Gastos Adm]:[Cobranza]])</f>
        <v>3989.5950358367986</v>
      </c>
      <c r="E1077">
        <v>0</v>
      </c>
      <c r="F1077">
        <v>0.15</v>
      </c>
      <c r="G1077">
        <v>0.05</v>
      </c>
      <c r="H1077">
        <v>0.01</v>
      </c>
      <c r="I1077">
        <v>0.01</v>
      </c>
      <c r="J1077" s="8">
        <f>Table3[[#This Row],[PrimaTécnica]]*Table3[[#This Row],[Gastos Adm]]</f>
        <v>767.22981458399977</v>
      </c>
      <c r="K1077" s="8">
        <f>Table3[[#This Row],[PrimaTécnica]]*Table3[[#This Row],[Utilidad]]</f>
        <v>255.74327152799992</v>
      </c>
      <c r="L1077" s="8">
        <f>Table3[[#This Row],[PrimaTécnica]]*Table3[[#This Row],[Marketing]]</f>
        <v>51.148654305599983</v>
      </c>
      <c r="M1077" s="8">
        <f>Table3[[#This Row],[PrimaTécnica]]*Table3[[#This Row],[Cobranza]]</f>
        <v>51.148654305599983</v>
      </c>
      <c r="N107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5114.8654305599985</v>
      </c>
      <c r="O1077">
        <v>21.84</v>
      </c>
      <c r="P1077">
        <v>54.6</v>
      </c>
      <c r="Q1077">
        <v>80.64</v>
      </c>
      <c r="R1077">
        <v>44.377200000000002</v>
      </c>
      <c r="S1077">
        <v>0.2</v>
      </c>
      <c r="T1077">
        <v>0.02</v>
      </c>
      <c r="U1077" s="8">
        <f>Table3[[#This Row],[PrimaNeta]]*Table3[[#This Row],[Comisión]]</f>
        <v>1329.08065764</v>
      </c>
      <c r="V1077" s="15">
        <f>Table3[[#This Row],[PrimaComercial Anual]]-Table3[[#This Row],[PrimaComercial Anual]]*SUM(Table3[[#This Row],[APS]:[IVA]])</f>
        <v>6645.4032881999992</v>
      </c>
      <c r="W1077" s="2">
        <v>1.4800000000000001E-2</v>
      </c>
      <c r="X1077" s="2">
        <v>8.4501000000000007E-2</v>
      </c>
      <c r="Y1077">
        <v>0.03</v>
      </c>
      <c r="Z1077">
        <v>0.13</v>
      </c>
      <c r="AA1077" s="20">
        <f>Table3[[#This Row],[APS]]*Table3[[#This Row],[PrimaComercial Anual]]</f>
        <v>132.78263999999999</v>
      </c>
      <c r="AB1077" s="8">
        <f>Table3[[#This Row],[PrimaComercial Anual]]*Table3[[#This Row],[Recargo adicional]]</f>
        <v>758.12607179999998</v>
      </c>
      <c r="AC1077" s="8">
        <f>Table3[[#This Row],[PrimaComercial Anual]]*Table3[[#This Row],[IT]]</f>
        <v>269.154</v>
      </c>
      <c r="AD1077" s="8">
        <f>Table3[[#This Row],[PrimaComercial Anual]]*Table3[[#This Row],[IVA]]</f>
        <v>1166.3339999999998</v>
      </c>
      <c r="AE1077" s="15">
        <f>Table3[[#This Row],[PrimaComercial Anual Asistencia]]</f>
        <v>8971.7999999999993</v>
      </c>
      <c r="AG1077">
        <v>8971.7999999999993</v>
      </c>
    </row>
    <row r="1078" spans="1:33" x14ac:dyDescent="0.25">
      <c r="A1078" t="s">
        <v>18</v>
      </c>
      <c r="B1078">
        <v>700002</v>
      </c>
      <c r="C1078">
        <v>52</v>
      </c>
      <c r="D1078" s="2">
        <f>Table3[[#This Row],[PrimaTécnica]]-Table3[[#This Row],[PrimaTécnica]]*SUM(Table3[[#This Row],[Gastos Adm]:[Cobranza]])</f>
        <v>3989.5950358367986</v>
      </c>
      <c r="E1078">
        <v>0</v>
      </c>
      <c r="F1078">
        <v>0.15</v>
      </c>
      <c r="G1078">
        <v>0.05</v>
      </c>
      <c r="H1078">
        <v>0.01</v>
      </c>
      <c r="I1078">
        <v>0.01</v>
      </c>
      <c r="J1078" s="8">
        <f>Table3[[#This Row],[PrimaTécnica]]*Table3[[#This Row],[Gastos Adm]]</f>
        <v>767.22981458399977</v>
      </c>
      <c r="K1078" s="8">
        <f>Table3[[#This Row],[PrimaTécnica]]*Table3[[#This Row],[Utilidad]]</f>
        <v>255.74327152799992</v>
      </c>
      <c r="L1078" s="8">
        <f>Table3[[#This Row],[PrimaTécnica]]*Table3[[#This Row],[Marketing]]</f>
        <v>51.148654305599983</v>
      </c>
      <c r="M1078" s="8">
        <f>Table3[[#This Row],[PrimaTécnica]]*Table3[[#This Row],[Cobranza]]</f>
        <v>51.148654305599983</v>
      </c>
      <c r="N107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5114.8654305599985</v>
      </c>
      <c r="O1078">
        <v>21.84</v>
      </c>
      <c r="P1078">
        <v>54.6</v>
      </c>
      <c r="Q1078">
        <v>80.64</v>
      </c>
      <c r="R1078">
        <v>44.377200000000002</v>
      </c>
      <c r="S1078">
        <v>0.2</v>
      </c>
      <c r="T1078">
        <v>0.02</v>
      </c>
      <c r="U1078" s="8">
        <f>Table3[[#This Row],[PrimaNeta]]*Table3[[#This Row],[Comisión]]</f>
        <v>1329.08065764</v>
      </c>
      <c r="V1078" s="15">
        <f>Table3[[#This Row],[PrimaComercial Anual]]-Table3[[#This Row],[PrimaComercial Anual]]*SUM(Table3[[#This Row],[APS]:[IVA]])</f>
        <v>6645.4032881999992</v>
      </c>
      <c r="W1078" s="2">
        <v>1.4800000000000001E-2</v>
      </c>
      <c r="X1078" s="2">
        <v>8.4501000000000007E-2</v>
      </c>
      <c r="Y1078">
        <v>0.03</v>
      </c>
      <c r="Z1078">
        <v>0.13</v>
      </c>
      <c r="AA1078" s="20">
        <f>Table3[[#This Row],[APS]]*Table3[[#This Row],[PrimaComercial Anual]]</f>
        <v>132.78263999999999</v>
      </c>
      <c r="AB1078" s="8">
        <f>Table3[[#This Row],[PrimaComercial Anual]]*Table3[[#This Row],[Recargo adicional]]</f>
        <v>758.12607179999998</v>
      </c>
      <c r="AC1078" s="8">
        <f>Table3[[#This Row],[PrimaComercial Anual]]*Table3[[#This Row],[IT]]</f>
        <v>269.154</v>
      </c>
      <c r="AD1078" s="8">
        <f>Table3[[#This Row],[PrimaComercial Anual]]*Table3[[#This Row],[IVA]]</f>
        <v>1166.3339999999998</v>
      </c>
      <c r="AE1078" s="15">
        <f>Table3[[#This Row],[PrimaComercial Anual Asistencia]]</f>
        <v>8971.7999999999993</v>
      </c>
      <c r="AG1078">
        <v>8971.7999999999993</v>
      </c>
    </row>
    <row r="1079" spans="1:33" x14ac:dyDescent="0.25">
      <c r="A1079" t="s">
        <v>18</v>
      </c>
      <c r="B1079">
        <v>700002</v>
      </c>
      <c r="C1079">
        <v>53</v>
      </c>
      <c r="D1079" s="2">
        <f>Table3[[#This Row],[PrimaTécnica]]-Table3[[#This Row],[PrimaTécnica]]*SUM(Table3[[#This Row],[Gastos Adm]:[Cobranza]])</f>
        <v>3989.5950358367986</v>
      </c>
      <c r="E1079">
        <v>0</v>
      </c>
      <c r="F1079">
        <v>0.15</v>
      </c>
      <c r="G1079">
        <v>0.05</v>
      </c>
      <c r="H1079">
        <v>0.01</v>
      </c>
      <c r="I1079">
        <v>0.01</v>
      </c>
      <c r="J1079" s="8">
        <f>Table3[[#This Row],[PrimaTécnica]]*Table3[[#This Row],[Gastos Adm]]</f>
        <v>767.22981458399977</v>
      </c>
      <c r="K1079" s="8">
        <f>Table3[[#This Row],[PrimaTécnica]]*Table3[[#This Row],[Utilidad]]</f>
        <v>255.74327152799992</v>
      </c>
      <c r="L1079" s="8">
        <f>Table3[[#This Row],[PrimaTécnica]]*Table3[[#This Row],[Marketing]]</f>
        <v>51.148654305599983</v>
      </c>
      <c r="M1079" s="8">
        <f>Table3[[#This Row],[PrimaTécnica]]*Table3[[#This Row],[Cobranza]]</f>
        <v>51.148654305599983</v>
      </c>
      <c r="N107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5114.8654305599985</v>
      </c>
      <c r="O1079">
        <v>21.84</v>
      </c>
      <c r="P1079">
        <v>54.6</v>
      </c>
      <c r="Q1079">
        <v>80.64</v>
      </c>
      <c r="R1079">
        <v>44.377200000000002</v>
      </c>
      <c r="S1079">
        <v>0.2</v>
      </c>
      <c r="T1079">
        <v>0.02</v>
      </c>
      <c r="U1079" s="8">
        <f>Table3[[#This Row],[PrimaNeta]]*Table3[[#This Row],[Comisión]]</f>
        <v>1329.08065764</v>
      </c>
      <c r="V1079" s="15">
        <f>Table3[[#This Row],[PrimaComercial Anual]]-Table3[[#This Row],[PrimaComercial Anual]]*SUM(Table3[[#This Row],[APS]:[IVA]])</f>
        <v>6645.4032881999992</v>
      </c>
      <c r="W1079" s="2">
        <v>1.4800000000000001E-2</v>
      </c>
      <c r="X1079" s="2">
        <v>8.4501000000000007E-2</v>
      </c>
      <c r="Y1079">
        <v>0.03</v>
      </c>
      <c r="Z1079">
        <v>0.13</v>
      </c>
      <c r="AA1079" s="20">
        <f>Table3[[#This Row],[APS]]*Table3[[#This Row],[PrimaComercial Anual]]</f>
        <v>132.78263999999999</v>
      </c>
      <c r="AB1079" s="8">
        <f>Table3[[#This Row],[PrimaComercial Anual]]*Table3[[#This Row],[Recargo adicional]]</f>
        <v>758.12607179999998</v>
      </c>
      <c r="AC1079" s="8">
        <f>Table3[[#This Row],[PrimaComercial Anual]]*Table3[[#This Row],[IT]]</f>
        <v>269.154</v>
      </c>
      <c r="AD1079" s="8">
        <f>Table3[[#This Row],[PrimaComercial Anual]]*Table3[[#This Row],[IVA]]</f>
        <v>1166.3339999999998</v>
      </c>
      <c r="AE1079" s="15">
        <f>Table3[[#This Row],[PrimaComercial Anual Asistencia]]</f>
        <v>8971.7999999999993</v>
      </c>
      <c r="AG1079">
        <v>8971.7999999999993</v>
      </c>
    </row>
    <row r="1080" spans="1:33" x14ac:dyDescent="0.25">
      <c r="A1080" t="s">
        <v>18</v>
      </c>
      <c r="B1080">
        <v>700002</v>
      </c>
      <c r="C1080">
        <v>54</v>
      </c>
      <c r="D1080" s="2">
        <f>Table3[[#This Row],[PrimaTécnica]]-Table3[[#This Row],[PrimaTécnica]]*SUM(Table3[[#This Row],[Gastos Adm]:[Cobranza]])</f>
        <v>3989.5950358367986</v>
      </c>
      <c r="E1080">
        <v>0</v>
      </c>
      <c r="F1080">
        <v>0.15</v>
      </c>
      <c r="G1080">
        <v>0.05</v>
      </c>
      <c r="H1080">
        <v>0.01</v>
      </c>
      <c r="I1080">
        <v>0.01</v>
      </c>
      <c r="J1080" s="8">
        <f>Table3[[#This Row],[PrimaTécnica]]*Table3[[#This Row],[Gastos Adm]]</f>
        <v>767.22981458399977</v>
      </c>
      <c r="K1080" s="8">
        <f>Table3[[#This Row],[PrimaTécnica]]*Table3[[#This Row],[Utilidad]]</f>
        <v>255.74327152799992</v>
      </c>
      <c r="L1080" s="8">
        <f>Table3[[#This Row],[PrimaTécnica]]*Table3[[#This Row],[Marketing]]</f>
        <v>51.148654305599983</v>
      </c>
      <c r="M1080" s="8">
        <f>Table3[[#This Row],[PrimaTécnica]]*Table3[[#This Row],[Cobranza]]</f>
        <v>51.148654305599983</v>
      </c>
      <c r="N108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5114.8654305599985</v>
      </c>
      <c r="O1080">
        <v>21.84</v>
      </c>
      <c r="P1080">
        <v>54.6</v>
      </c>
      <c r="Q1080">
        <v>80.64</v>
      </c>
      <c r="R1080">
        <v>44.377200000000002</v>
      </c>
      <c r="S1080">
        <v>0.2</v>
      </c>
      <c r="T1080">
        <v>0.02</v>
      </c>
      <c r="U1080" s="8">
        <f>Table3[[#This Row],[PrimaNeta]]*Table3[[#This Row],[Comisión]]</f>
        <v>1329.08065764</v>
      </c>
      <c r="V1080" s="15">
        <f>Table3[[#This Row],[PrimaComercial Anual]]-Table3[[#This Row],[PrimaComercial Anual]]*SUM(Table3[[#This Row],[APS]:[IVA]])</f>
        <v>6645.4032881999992</v>
      </c>
      <c r="W1080" s="2">
        <v>1.4800000000000001E-2</v>
      </c>
      <c r="X1080" s="2">
        <v>8.4501000000000007E-2</v>
      </c>
      <c r="Y1080">
        <v>0.03</v>
      </c>
      <c r="Z1080">
        <v>0.13</v>
      </c>
      <c r="AA1080" s="20">
        <f>Table3[[#This Row],[APS]]*Table3[[#This Row],[PrimaComercial Anual]]</f>
        <v>132.78263999999999</v>
      </c>
      <c r="AB1080" s="8">
        <f>Table3[[#This Row],[PrimaComercial Anual]]*Table3[[#This Row],[Recargo adicional]]</f>
        <v>758.12607179999998</v>
      </c>
      <c r="AC1080" s="8">
        <f>Table3[[#This Row],[PrimaComercial Anual]]*Table3[[#This Row],[IT]]</f>
        <v>269.154</v>
      </c>
      <c r="AD1080" s="8">
        <f>Table3[[#This Row],[PrimaComercial Anual]]*Table3[[#This Row],[IVA]]</f>
        <v>1166.3339999999998</v>
      </c>
      <c r="AE1080" s="15">
        <f>Table3[[#This Row],[PrimaComercial Anual Asistencia]]</f>
        <v>8971.7999999999993</v>
      </c>
      <c r="AG1080">
        <v>8971.7999999999993</v>
      </c>
    </row>
    <row r="1081" spans="1:33" x14ac:dyDescent="0.25">
      <c r="A1081" t="s">
        <v>18</v>
      </c>
      <c r="B1081">
        <v>700002</v>
      </c>
      <c r="C1081">
        <v>55</v>
      </c>
      <c r="D1081" s="2">
        <f>Table3[[#This Row],[PrimaTécnica]]-Table3[[#This Row],[PrimaTécnica]]*SUM(Table3[[#This Row],[Gastos Adm]:[Cobranza]])</f>
        <v>3989.5950358367986</v>
      </c>
      <c r="E1081">
        <v>0</v>
      </c>
      <c r="F1081">
        <v>0.15</v>
      </c>
      <c r="G1081">
        <v>0.05</v>
      </c>
      <c r="H1081">
        <v>0.01</v>
      </c>
      <c r="I1081">
        <v>0.01</v>
      </c>
      <c r="J1081" s="8">
        <f>Table3[[#This Row],[PrimaTécnica]]*Table3[[#This Row],[Gastos Adm]]</f>
        <v>767.22981458399977</v>
      </c>
      <c r="K1081" s="8">
        <f>Table3[[#This Row],[PrimaTécnica]]*Table3[[#This Row],[Utilidad]]</f>
        <v>255.74327152799992</v>
      </c>
      <c r="L1081" s="8">
        <f>Table3[[#This Row],[PrimaTécnica]]*Table3[[#This Row],[Marketing]]</f>
        <v>51.148654305599983</v>
      </c>
      <c r="M1081" s="8">
        <f>Table3[[#This Row],[PrimaTécnica]]*Table3[[#This Row],[Cobranza]]</f>
        <v>51.148654305599983</v>
      </c>
      <c r="N108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5114.8654305599985</v>
      </c>
      <c r="O1081">
        <v>21.84</v>
      </c>
      <c r="P1081">
        <v>54.6</v>
      </c>
      <c r="Q1081">
        <v>80.64</v>
      </c>
      <c r="R1081">
        <v>44.377200000000002</v>
      </c>
      <c r="S1081">
        <v>0.2</v>
      </c>
      <c r="T1081">
        <v>0.02</v>
      </c>
      <c r="U1081" s="8">
        <f>Table3[[#This Row],[PrimaNeta]]*Table3[[#This Row],[Comisión]]</f>
        <v>1329.08065764</v>
      </c>
      <c r="V1081" s="15">
        <f>Table3[[#This Row],[PrimaComercial Anual]]-Table3[[#This Row],[PrimaComercial Anual]]*SUM(Table3[[#This Row],[APS]:[IVA]])</f>
        <v>6645.4032881999992</v>
      </c>
      <c r="W1081" s="2">
        <v>1.4800000000000001E-2</v>
      </c>
      <c r="X1081" s="2">
        <v>8.4501000000000007E-2</v>
      </c>
      <c r="Y1081">
        <v>0.03</v>
      </c>
      <c r="Z1081">
        <v>0.13</v>
      </c>
      <c r="AA1081" s="20">
        <f>Table3[[#This Row],[APS]]*Table3[[#This Row],[PrimaComercial Anual]]</f>
        <v>132.78263999999999</v>
      </c>
      <c r="AB1081" s="8">
        <f>Table3[[#This Row],[PrimaComercial Anual]]*Table3[[#This Row],[Recargo adicional]]</f>
        <v>758.12607179999998</v>
      </c>
      <c r="AC1081" s="8">
        <f>Table3[[#This Row],[PrimaComercial Anual]]*Table3[[#This Row],[IT]]</f>
        <v>269.154</v>
      </c>
      <c r="AD1081" s="8">
        <f>Table3[[#This Row],[PrimaComercial Anual]]*Table3[[#This Row],[IVA]]</f>
        <v>1166.3339999999998</v>
      </c>
      <c r="AE1081" s="15">
        <f>Table3[[#This Row],[PrimaComercial Anual Asistencia]]</f>
        <v>8971.7999999999993</v>
      </c>
      <c r="AG1081">
        <v>8971.7999999999993</v>
      </c>
    </row>
    <row r="1082" spans="1:33" x14ac:dyDescent="0.25">
      <c r="A1082" t="s">
        <v>18</v>
      </c>
      <c r="B1082">
        <v>700002</v>
      </c>
      <c r="C1082">
        <v>56</v>
      </c>
      <c r="D1082" s="2">
        <f>Table3[[#This Row],[PrimaTécnica]]-Table3[[#This Row],[PrimaTécnica]]*SUM(Table3[[#This Row],[Gastos Adm]:[Cobranza]])</f>
        <v>4505.9606036639998</v>
      </c>
      <c r="E1082">
        <v>0</v>
      </c>
      <c r="F1082">
        <v>0.15</v>
      </c>
      <c r="G1082">
        <v>0.05</v>
      </c>
      <c r="H1082">
        <v>0.01</v>
      </c>
      <c r="I1082">
        <v>0.01</v>
      </c>
      <c r="J1082" s="8">
        <f>Table3[[#This Row],[PrimaTécnica]]*Table3[[#This Row],[Gastos Adm]]</f>
        <v>866.53088531999992</v>
      </c>
      <c r="K1082" s="8">
        <f>Table3[[#This Row],[PrimaTécnica]]*Table3[[#This Row],[Utilidad]]</f>
        <v>288.84362843999997</v>
      </c>
      <c r="L1082" s="8">
        <f>Table3[[#This Row],[PrimaTécnica]]*Table3[[#This Row],[Marketing]]</f>
        <v>57.768725687999996</v>
      </c>
      <c r="M1082" s="8">
        <f>Table3[[#This Row],[PrimaTécnica]]*Table3[[#This Row],[Cobranza]]</f>
        <v>57.768725687999996</v>
      </c>
      <c r="N108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5776.8725687999995</v>
      </c>
      <c r="O1082">
        <v>21.84</v>
      </c>
      <c r="P1082">
        <v>54.6</v>
      </c>
      <c r="Q1082">
        <v>80.64</v>
      </c>
      <c r="R1082">
        <v>44.377200000000002</v>
      </c>
      <c r="S1082">
        <v>0.2</v>
      </c>
      <c r="T1082">
        <v>0.02</v>
      </c>
      <c r="U1082" s="8">
        <f>Table3[[#This Row],[PrimaNeta]]*Table3[[#This Row],[Comisión]]</f>
        <v>1494.5824422000001</v>
      </c>
      <c r="V1082" s="15">
        <f>Table3[[#This Row],[PrimaComercial Anual]]-Table3[[#This Row],[PrimaComercial Anual]]*SUM(Table3[[#This Row],[APS]:[IVA]])</f>
        <v>7472.9122109999998</v>
      </c>
      <c r="W1082" s="2">
        <v>1.4800000000000001E-2</v>
      </c>
      <c r="X1082" s="2">
        <v>8.4501000000000007E-2</v>
      </c>
      <c r="Y1082">
        <v>0.03</v>
      </c>
      <c r="Z1082">
        <v>0.13</v>
      </c>
      <c r="AA1082" s="20">
        <f>Table3[[#This Row],[APS]]*Table3[[#This Row],[PrimaComercial Anual]]</f>
        <v>149.31720000000001</v>
      </c>
      <c r="AB1082" s="8">
        <f>Table3[[#This Row],[PrimaComercial Anual]]*Table3[[#This Row],[Recargo adicional]]</f>
        <v>852.53058900000008</v>
      </c>
      <c r="AC1082" s="8">
        <f>Table3[[#This Row],[PrimaComercial Anual]]*Table3[[#This Row],[IT]]</f>
        <v>302.67</v>
      </c>
      <c r="AD1082" s="8">
        <f>Table3[[#This Row],[PrimaComercial Anual]]*Table3[[#This Row],[IVA]]</f>
        <v>1311.57</v>
      </c>
      <c r="AE1082" s="15">
        <f>Table3[[#This Row],[PrimaComercial Anual Asistencia]]</f>
        <v>10089</v>
      </c>
      <c r="AG1082">
        <v>10089</v>
      </c>
    </row>
    <row r="1083" spans="1:33" x14ac:dyDescent="0.25">
      <c r="A1083" t="s">
        <v>18</v>
      </c>
      <c r="B1083">
        <v>700002</v>
      </c>
      <c r="C1083">
        <v>57</v>
      </c>
      <c r="D1083" s="2">
        <f>Table3[[#This Row],[PrimaTécnica]]-Table3[[#This Row],[PrimaTécnica]]*SUM(Table3[[#This Row],[Gastos Adm]:[Cobranza]])</f>
        <v>4505.9606036639998</v>
      </c>
      <c r="E1083">
        <v>0</v>
      </c>
      <c r="F1083">
        <v>0.15</v>
      </c>
      <c r="G1083">
        <v>0.05</v>
      </c>
      <c r="H1083">
        <v>0.01</v>
      </c>
      <c r="I1083">
        <v>0.01</v>
      </c>
      <c r="J1083" s="8">
        <f>Table3[[#This Row],[PrimaTécnica]]*Table3[[#This Row],[Gastos Adm]]</f>
        <v>866.53088531999992</v>
      </c>
      <c r="K1083" s="8">
        <f>Table3[[#This Row],[PrimaTécnica]]*Table3[[#This Row],[Utilidad]]</f>
        <v>288.84362843999997</v>
      </c>
      <c r="L1083" s="8">
        <f>Table3[[#This Row],[PrimaTécnica]]*Table3[[#This Row],[Marketing]]</f>
        <v>57.768725687999996</v>
      </c>
      <c r="M1083" s="8">
        <f>Table3[[#This Row],[PrimaTécnica]]*Table3[[#This Row],[Cobranza]]</f>
        <v>57.768725687999996</v>
      </c>
      <c r="N108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5776.8725687999995</v>
      </c>
      <c r="O1083">
        <v>21.84</v>
      </c>
      <c r="P1083">
        <v>54.6</v>
      </c>
      <c r="Q1083">
        <v>80.64</v>
      </c>
      <c r="R1083">
        <v>44.377200000000002</v>
      </c>
      <c r="S1083">
        <v>0.2</v>
      </c>
      <c r="T1083">
        <v>0.02</v>
      </c>
      <c r="U1083" s="8">
        <f>Table3[[#This Row],[PrimaNeta]]*Table3[[#This Row],[Comisión]]</f>
        <v>1494.5824422000001</v>
      </c>
      <c r="V1083" s="15">
        <f>Table3[[#This Row],[PrimaComercial Anual]]-Table3[[#This Row],[PrimaComercial Anual]]*SUM(Table3[[#This Row],[APS]:[IVA]])</f>
        <v>7472.9122109999998</v>
      </c>
      <c r="W1083" s="2">
        <v>1.4800000000000001E-2</v>
      </c>
      <c r="X1083" s="2">
        <v>8.4501000000000007E-2</v>
      </c>
      <c r="Y1083">
        <v>0.03</v>
      </c>
      <c r="Z1083">
        <v>0.13</v>
      </c>
      <c r="AA1083" s="20">
        <f>Table3[[#This Row],[APS]]*Table3[[#This Row],[PrimaComercial Anual]]</f>
        <v>149.31720000000001</v>
      </c>
      <c r="AB1083" s="8">
        <f>Table3[[#This Row],[PrimaComercial Anual]]*Table3[[#This Row],[Recargo adicional]]</f>
        <v>852.53058900000008</v>
      </c>
      <c r="AC1083" s="8">
        <f>Table3[[#This Row],[PrimaComercial Anual]]*Table3[[#This Row],[IT]]</f>
        <v>302.67</v>
      </c>
      <c r="AD1083" s="8">
        <f>Table3[[#This Row],[PrimaComercial Anual]]*Table3[[#This Row],[IVA]]</f>
        <v>1311.57</v>
      </c>
      <c r="AE1083" s="15">
        <f>Table3[[#This Row],[PrimaComercial Anual Asistencia]]</f>
        <v>10089</v>
      </c>
      <c r="AG1083">
        <v>10089</v>
      </c>
    </row>
    <row r="1084" spans="1:33" x14ac:dyDescent="0.25">
      <c r="A1084" t="s">
        <v>18</v>
      </c>
      <c r="B1084">
        <v>700002</v>
      </c>
      <c r="C1084">
        <v>58</v>
      </c>
      <c r="D1084" s="2">
        <f>Table3[[#This Row],[PrimaTécnica]]-Table3[[#This Row],[PrimaTécnica]]*SUM(Table3[[#This Row],[Gastos Adm]:[Cobranza]])</f>
        <v>4505.9606036639998</v>
      </c>
      <c r="E1084">
        <v>0</v>
      </c>
      <c r="F1084">
        <v>0.15</v>
      </c>
      <c r="G1084">
        <v>0.05</v>
      </c>
      <c r="H1084">
        <v>0.01</v>
      </c>
      <c r="I1084">
        <v>0.01</v>
      </c>
      <c r="J1084" s="8">
        <f>Table3[[#This Row],[PrimaTécnica]]*Table3[[#This Row],[Gastos Adm]]</f>
        <v>866.53088531999992</v>
      </c>
      <c r="K1084" s="8">
        <f>Table3[[#This Row],[PrimaTécnica]]*Table3[[#This Row],[Utilidad]]</f>
        <v>288.84362843999997</v>
      </c>
      <c r="L1084" s="8">
        <f>Table3[[#This Row],[PrimaTécnica]]*Table3[[#This Row],[Marketing]]</f>
        <v>57.768725687999996</v>
      </c>
      <c r="M1084" s="8">
        <f>Table3[[#This Row],[PrimaTécnica]]*Table3[[#This Row],[Cobranza]]</f>
        <v>57.768725687999996</v>
      </c>
      <c r="N108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5776.8725687999995</v>
      </c>
      <c r="O1084">
        <v>21.84</v>
      </c>
      <c r="P1084">
        <v>54.6</v>
      </c>
      <c r="Q1084">
        <v>80.64</v>
      </c>
      <c r="R1084">
        <v>44.377200000000002</v>
      </c>
      <c r="S1084">
        <v>0.2</v>
      </c>
      <c r="T1084">
        <v>0.02</v>
      </c>
      <c r="U1084" s="8">
        <f>Table3[[#This Row],[PrimaNeta]]*Table3[[#This Row],[Comisión]]</f>
        <v>1494.5824422000001</v>
      </c>
      <c r="V1084" s="15">
        <f>Table3[[#This Row],[PrimaComercial Anual]]-Table3[[#This Row],[PrimaComercial Anual]]*SUM(Table3[[#This Row],[APS]:[IVA]])</f>
        <v>7472.9122109999998</v>
      </c>
      <c r="W1084" s="2">
        <v>1.4800000000000001E-2</v>
      </c>
      <c r="X1084" s="2">
        <v>8.4501000000000007E-2</v>
      </c>
      <c r="Y1084">
        <v>0.03</v>
      </c>
      <c r="Z1084">
        <v>0.13</v>
      </c>
      <c r="AA1084" s="20">
        <f>Table3[[#This Row],[APS]]*Table3[[#This Row],[PrimaComercial Anual]]</f>
        <v>149.31720000000001</v>
      </c>
      <c r="AB1084" s="8">
        <f>Table3[[#This Row],[PrimaComercial Anual]]*Table3[[#This Row],[Recargo adicional]]</f>
        <v>852.53058900000008</v>
      </c>
      <c r="AC1084" s="8">
        <f>Table3[[#This Row],[PrimaComercial Anual]]*Table3[[#This Row],[IT]]</f>
        <v>302.67</v>
      </c>
      <c r="AD1084" s="8">
        <f>Table3[[#This Row],[PrimaComercial Anual]]*Table3[[#This Row],[IVA]]</f>
        <v>1311.57</v>
      </c>
      <c r="AE1084" s="15">
        <f>Table3[[#This Row],[PrimaComercial Anual Asistencia]]</f>
        <v>10089</v>
      </c>
      <c r="AG1084">
        <v>10089</v>
      </c>
    </row>
    <row r="1085" spans="1:33" x14ac:dyDescent="0.25">
      <c r="A1085" t="s">
        <v>18</v>
      </c>
      <c r="B1085">
        <v>700002</v>
      </c>
      <c r="C1085">
        <v>59</v>
      </c>
      <c r="D1085" s="2">
        <f>Table3[[#This Row],[PrimaTécnica]]-Table3[[#This Row],[PrimaTécnica]]*SUM(Table3[[#This Row],[Gastos Adm]:[Cobranza]])</f>
        <v>4505.9606036639998</v>
      </c>
      <c r="E1085">
        <v>0</v>
      </c>
      <c r="F1085">
        <v>0.15</v>
      </c>
      <c r="G1085">
        <v>0.05</v>
      </c>
      <c r="H1085">
        <v>0.01</v>
      </c>
      <c r="I1085">
        <v>0.01</v>
      </c>
      <c r="J1085" s="8">
        <f>Table3[[#This Row],[PrimaTécnica]]*Table3[[#This Row],[Gastos Adm]]</f>
        <v>866.53088531999992</v>
      </c>
      <c r="K1085" s="8">
        <f>Table3[[#This Row],[PrimaTécnica]]*Table3[[#This Row],[Utilidad]]</f>
        <v>288.84362843999997</v>
      </c>
      <c r="L1085" s="8">
        <f>Table3[[#This Row],[PrimaTécnica]]*Table3[[#This Row],[Marketing]]</f>
        <v>57.768725687999996</v>
      </c>
      <c r="M1085" s="8">
        <f>Table3[[#This Row],[PrimaTécnica]]*Table3[[#This Row],[Cobranza]]</f>
        <v>57.768725687999996</v>
      </c>
      <c r="N108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5776.8725687999995</v>
      </c>
      <c r="O1085">
        <v>21.84</v>
      </c>
      <c r="P1085">
        <v>54.6</v>
      </c>
      <c r="Q1085">
        <v>80.64</v>
      </c>
      <c r="R1085">
        <v>44.377200000000002</v>
      </c>
      <c r="S1085">
        <v>0.2</v>
      </c>
      <c r="T1085">
        <v>0.02</v>
      </c>
      <c r="U1085" s="8">
        <f>Table3[[#This Row],[PrimaNeta]]*Table3[[#This Row],[Comisión]]</f>
        <v>1494.5824422000001</v>
      </c>
      <c r="V1085" s="15">
        <f>Table3[[#This Row],[PrimaComercial Anual]]-Table3[[#This Row],[PrimaComercial Anual]]*SUM(Table3[[#This Row],[APS]:[IVA]])</f>
        <v>7472.9122109999998</v>
      </c>
      <c r="W1085" s="2">
        <v>1.4800000000000001E-2</v>
      </c>
      <c r="X1085" s="2">
        <v>8.4501000000000007E-2</v>
      </c>
      <c r="Y1085">
        <v>0.03</v>
      </c>
      <c r="Z1085">
        <v>0.13</v>
      </c>
      <c r="AA1085" s="20">
        <f>Table3[[#This Row],[APS]]*Table3[[#This Row],[PrimaComercial Anual]]</f>
        <v>149.31720000000001</v>
      </c>
      <c r="AB1085" s="8">
        <f>Table3[[#This Row],[PrimaComercial Anual]]*Table3[[#This Row],[Recargo adicional]]</f>
        <v>852.53058900000008</v>
      </c>
      <c r="AC1085" s="8">
        <f>Table3[[#This Row],[PrimaComercial Anual]]*Table3[[#This Row],[IT]]</f>
        <v>302.67</v>
      </c>
      <c r="AD1085" s="8">
        <f>Table3[[#This Row],[PrimaComercial Anual]]*Table3[[#This Row],[IVA]]</f>
        <v>1311.57</v>
      </c>
      <c r="AE1085" s="15">
        <f>Table3[[#This Row],[PrimaComercial Anual Asistencia]]</f>
        <v>10089</v>
      </c>
      <c r="AG1085">
        <v>10089</v>
      </c>
    </row>
    <row r="1086" spans="1:33" x14ac:dyDescent="0.25">
      <c r="A1086" t="s">
        <v>18</v>
      </c>
      <c r="B1086">
        <v>700002</v>
      </c>
      <c r="C1086">
        <v>60</v>
      </c>
      <c r="D1086" s="2">
        <f>Table3[[#This Row],[PrimaTécnica]]-Table3[[#This Row],[PrimaTécnica]]*SUM(Table3[[#This Row],[Gastos Adm]:[Cobranza]])</f>
        <v>7419.7377364032</v>
      </c>
      <c r="E1086">
        <v>0</v>
      </c>
      <c r="F1086">
        <v>0.15</v>
      </c>
      <c r="G1086">
        <v>0.05</v>
      </c>
      <c r="H1086">
        <v>0.01</v>
      </c>
      <c r="I1086">
        <v>0.01</v>
      </c>
      <c r="J1086" s="8">
        <f>Table3[[#This Row],[PrimaTécnica]]*Table3[[#This Row],[Gastos Adm]]</f>
        <v>1426.872641616</v>
      </c>
      <c r="K1086" s="8">
        <f>Table3[[#This Row],[PrimaTécnica]]*Table3[[#This Row],[Utilidad]]</f>
        <v>475.62421387200004</v>
      </c>
      <c r="L1086" s="8">
        <f>Table3[[#This Row],[PrimaTécnica]]*Table3[[#This Row],[Marketing]]</f>
        <v>95.124842774400008</v>
      </c>
      <c r="M1086" s="8">
        <f>Table3[[#This Row],[PrimaTécnica]]*Table3[[#This Row],[Cobranza]]</f>
        <v>95.124842774400008</v>
      </c>
      <c r="N108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9512.4842774400004</v>
      </c>
      <c r="O1086">
        <v>21.84</v>
      </c>
      <c r="P1086">
        <v>54.6</v>
      </c>
      <c r="Q1086">
        <v>80.64</v>
      </c>
      <c r="R1086">
        <v>44.377200000000002</v>
      </c>
      <c r="S1086">
        <v>0.2</v>
      </c>
      <c r="T1086">
        <v>0.02</v>
      </c>
      <c r="U1086" s="8">
        <f>Table3[[#This Row],[PrimaNeta]]*Table3[[#This Row],[Comisión]]</f>
        <v>2428.4853693600003</v>
      </c>
      <c r="V1086" s="15">
        <f>Table3[[#This Row],[PrimaComercial Anual]]-Table3[[#This Row],[PrimaComercial Anual]]*SUM(Table3[[#This Row],[APS]:[IVA]])</f>
        <v>12142.426846800001</v>
      </c>
      <c r="W1086" s="2">
        <v>1.4800000000000001E-2</v>
      </c>
      <c r="X1086" s="2">
        <v>8.4501000000000007E-2</v>
      </c>
      <c r="Y1086">
        <v>0.03</v>
      </c>
      <c r="Z1086">
        <v>0.13</v>
      </c>
      <c r="AA1086" s="20">
        <f>Table3[[#This Row],[APS]]*Table3[[#This Row],[PrimaComercial Anual]]</f>
        <v>242.61936000000003</v>
      </c>
      <c r="AB1086" s="8">
        <f>Table3[[#This Row],[PrimaComercial Anual]]*Table3[[#This Row],[Recargo adicional]]</f>
        <v>1385.2417932000001</v>
      </c>
      <c r="AC1086" s="8">
        <f>Table3[[#This Row],[PrimaComercial Anual]]*Table3[[#This Row],[IT]]</f>
        <v>491.79599999999999</v>
      </c>
      <c r="AD1086" s="8">
        <f>Table3[[#This Row],[PrimaComercial Anual]]*Table3[[#This Row],[IVA]]</f>
        <v>2131.116</v>
      </c>
      <c r="AE1086" s="15">
        <f>Table3[[#This Row],[PrimaComercial Anual Asistencia]]</f>
        <v>16393.2</v>
      </c>
      <c r="AG1086">
        <v>16393.2</v>
      </c>
    </row>
    <row r="1087" spans="1:33" x14ac:dyDescent="0.25">
      <c r="A1087" t="s">
        <v>18</v>
      </c>
      <c r="B1087">
        <v>700002</v>
      </c>
      <c r="C1087">
        <v>61</v>
      </c>
      <c r="D1087" s="2">
        <f>Table3[[#This Row],[PrimaTécnica]]-Table3[[#This Row],[PrimaTécnica]]*SUM(Table3[[#This Row],[Gastos Adm]:[Cobranza]])</f>
        <v>7419.7377364032</v>
      </c>
      <c r="E1087">
        <v>0</v>
      </c>
      <c r="F1087">
        <v>0.15</v>
      </c>
      <c r="G1087">
        <v>0.05</v>
      </c>
      <c r="H1087">
        <v>0.01</v>
      </c>
      <c r="I1087">
        <v>0.01</v>
      </c>
      <c r="J1087" s="8">
        <f>Table3[[#This Row],[PrimaTécnica]]*Table3[[#This Row],[Gastos Adm]]</f>
        <v>1426.872641616</v>
      </c>
      <c r="K1087" s="8">
        <f>Table3[[#This Row],[PrimaTécnica]]*Table3[[#This Row],[Utilidad]]</f>
        <v>475.62421387200004</v>
      </c>
      <c r="L1087" s="8">
        <f>Table3[[#This Row],[PrimaTécnica]]*Table3[[#This Row],[Marketing]]</f>
        <v>95.124842774400008</v>
      </c>
      <c r="M1087" s="8">
        <f>Table3[[#This Row],[PrimaTécnica]]*Table3[[#This Row],[Cobranza]]</f>
        <v>95.124842774400008</v>
      </c>
      <c r="N108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9512.4842774400004</v>
      </c>
      <c r="O1087">
        <v>21.84</v>
      </c>
      <c r="P1087">
        <v>54.6</v>
      </c>
      <c r="Q1087">
        <v>80.64</v>
      </c>
      <c r="R1087">
        <v>44.377200000000002</v>
      </c>
      <c r="S1087">
        <v>0.2</v>
      </c>
      <c r="T1087">
        <v>0.02</v>
      </c>
      <c r="U1087" s="8">
        <f>Table3[[#This Row],[PrimaNeta]]*Table3[[#This Row],[Comisión]]</f>
        <v>2428.4853693600003</v>
      </c>
      <c r="V1087" s="15">
        <f>Table3[[#This Row],[PrimaComercial Anual]]-Table3[[#This Row],[PrimaComercial Anual]]*SUM(Table3[[#This Row],[APS]:[IVA]])</f>
        <v>12142.426846800001</v>
      </c>
      <c r="W1087" s="2">
        <v>1.4800000000000001E-2</v>
      </c>
      <c r="X1087" s="2">
        <v>8.4501000000000007E-2</v>
      </c>
      <c r="Y1087">
        <v>0.03</v>
      </c>
      <c r="Z1087">
        <v>0.13</v>
      </c>
      <c r="AA1087" s="20">
        <f>Table3[[#This Row],[APS]]*Table3[[#This Row],[PrimaComercial Anual]]</f>
        <v>242.61936000000003</v>
      </c>
      <c r="AB1087" s="8">
        <f>Table3[[#This Row],[PrimaComercial Anual]]*Table3[[#This Row],[Recargo adicional]]</f>
        <v>1385.2417932000001</v>
      </c>
      <c r="AC1087" s="8">
        <f>Table3[[#This Row],[PrimaComercial Anual]]*Table3[[#This Row],[IT]]</f>
        <v>491.79599999999999</v>
      </c>
      <c r="AD1087" s="8">
        <f>Table3[[#This Row],[PrimaComercial Anual]]*Table3[[#This Row],[IVA]]</f>
        <v>2131.116</v>
      </c>
      <c r="AE1087" s="15">
        <f>Table3[[#This Row],[PrimaComercial Anual Asistencia]]</f>
        <v>16393.2</v>
      </c>
      <c r="AG1087">
        <v>16393.2</v>
      </c>
    </row>
    <row r="1088" spans="1:33" x14ac:dyDescent="0.25">
      <c r="A1088" t="s">
        <v>18</v>
      </c>
      <c r="B1088">
        <v>700002</v>
      </c>
      <c r="C1088">
        <v>62</v>
      </c>
      <c r="D1088" s="2">
        <f>Table3[[#This Row],[PrimaTécnica]]-Table3[[#This Row],[PrimaTécnica]]*SUM(Table3[[#This Row],[Gastos Adm]:[Cobranza]])</f>
        <v>7419.7377364032</v>
      </c>
      <c r="E1088">
        <v>0</v>
      </c>
      <c r="F1088">
        <v>0.15</v>
      </c>
      <c r="G1088">
        <v>0.05</v>
      </c>
      <c r="H1088">
        <v>0.01</v>
      </c>
      <c r="I1088">
        <v>0.01</v>
      </c>
      <c r="J1088" s="8">
        <f>Table3[[#This Row],[PrimaTécnica]]*Table3[[#This Row],[Gastos Adm]]</f>
        <v>1426.872641616</v>
      </c>
      <c r="K1088" s="8">
        <f>Table3[[#This Row],[PrimaTécnica]]*Table3[[#This Row],[Utilidad]]</f>
        <v>475.62421387200004</v>
      </c>
      <c r="L1088" s="8">
        <f>Table3[[#This Row],[PrimaTécnica]]*Table3[[#This Row],[Marketing]]</f>
        <v>95.124842774400008</v>
      </c>
      <c r="M1088" s="8">
        <f>Table3[[#This Row],[PrimaTécnica]]*Table3[[#This Row],[Cobranza]]</f>
        <v>95.124842774400008</v>
      </c>
      <c r="N108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9512.4842774400004</v>
      </c>
      <c r="O1088">
        <v>21.84</v>
      </c>
      <c r="P1088">
        <v>54.6</v>
      </c>
      <c r="Q1088">
        <v>80.64</v>
      </c>
      <c r="R1088">
        <v>44.377200000000002</v>
      </c>
      <c r="S1088">
        <v>0.2</v>
      </c>
      <c r="T1088">
        <v>0.02</v>
      </c>
      <c r="U1088" s="8">
        <f>Table3[[#This Row],[PrimaNeta]]*Table3[[#This Row],[Comisión]]</f>
        <v>2428.4853693600003</v>
      </c>
      <c r="V1088" s="15">
        <f>Table3[[#This Row],[PrimaComercial Anual]]-Table3[[#This Row],[PrimaComercial Anual]]*SUM(Table3[[#This Row],[APS]:[IVA]])</f>
        <v>12142.426846800001</v>
      </c>
      <c r="W1088" s="2">
        <v>1.4800000000000001E-2</v>
      </c>
      <c r="X1088" s="2">
        <v>8.4501000000000007E-2</v>
      </c>
      <c r="Y1088">
        <v>0.03</v>
      </c>
      <c r="Z1088">
        <v>0.13</v>
      </c>
      <c r="AA1088" s="20">
        <f>Table3[[#This Row],[APS]]*Table3[[#This Row],[PrimaComercial Anual]]</f>
        <v>242.61936000000003</v>
      </c>
      <c r="AB1088" s="8">
        <f>Table3[[#This Row],[PrimaComercial Anual]]*Table3[[#This Row],[Recargo adicional]]</f>
        <v>1385.2417932000001</v>
      </c>
      <c r="AC1088" s="8">
        <f>Table3[[#This Row],[PrimaComercial Anual]]*Table3[[#This Row],[IT]]</f>
        <v>491.79599999999999</v>
      </c>
      <c r="AD1088" s="8">
        <f>Table3[[#This Row],[PrimaComercial Anual]]*Table3[[#This Row],[IVA]]</f>
        <v>2131.116</v>
      </c>
      <c r="AE1088" s="15">
        <f>Table3[[#This Row],[PrimaComercial Anual Asistencia]]</f>
        <v>16393.2</v>
      </c>
      <c r="AG1088">
        <v>16393.2</v>
      </c>
    </row>
    <row r="1089" spans="1:33" x14ac:dyDescent="0.25">
      <c r="A1089" t="s">
        <v>18</v>
      </c>
      <c r="B1089">
        <v>700002</v>
      </c>
      <c r="C1089">
        <v>63</v>
      </c>
      <c r="D1089" s="2">
        <f>Table3[[#This Row],[PrimaTécnica]]-Table3[[#This Row],[PrimaTécnica]]*SUM(Table3[[#This Row],[Gastos Adm]:[Cobranza]])</f>
        <v>7419.7377364032</v>
      </c>
      <c r="E1089">
        <v>0</v>
      </c>
      <c r="F1089">
        <v>0.15</v>
      </c>
      <c r="G1089">
        <v>0.05</v>
      </c>
      <c r="H1089">
        <v>0.01</v>
      </c>
      <c r="I1089">
        <v>0.01</v>
      </c>
      <c r="J1089" s="8">
        <f>Table3[[#This Row],[PrimaTécnica]]*Table3[[#This Row],[Gastos Adm]]</f>
        <v>1426.872641616</v>
      </c>
      <c r="K1089" s="8">
        <f>Table3[[#This Row],[PrimaTécnica]]*Table3[[#This Row],[Utilidad]]</f>
        <v>475.62421387200004</v>
      </c>
      <c r="L1089" s="8">
        <f>Table3[[#This Row],[PrimaTécnica]]*Table3[[#This Row],[Marketing]]</f>
        <v>95.124842774400008</v>
      </c>
      <c r="M1089" s="8">
        <f>Table3[[#This Row],[PrimaTécnica]]*Table3[[#This Row],[Cobranza]]</f>
        <v>95.124842774400008</v>
      </c>
      <c r="N108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9512.4842774400004</v>
      </c>
      <c r="O1089">
        <v>21.84</v>
      </c>
      <c r="P1089">
        <v>54.6</v>
      </c>
      <c r="Q1089">
        <v>80.64</v>
      </c>
      <c r="R1089">
        <v>44.377200000000002</v>
      </c>
      <c r="S1089">
        <v>0.2</v>
      </c>
      <c r="T1089">
        <v>0.02</v>
      </c>
      <c r="U1089" s="8">
        <f>Table3[[#This Row],[PrimaNeta]]*Table3[[#This Row],[Comisión]]</f>
        <v>2428.4853693600003</v>
      </c>
      <c r="V1089" s="15">
        <f>Table3[[#This Row],[PrimaComercial Anual]]-Table3[[#This Row],[PrimaComercial Anual]]*SUM(Table3[[#This Row],[APS]:[IVA]])</f>
        <v>12142.426846800001</v>
      </c>
      <c r="W1089" s="2">
        <v>1.4800000000000001E-2</v>
      </c>
      <c r="X1089" s="2">
        <v>8.4501000000000007E-2</v>
      </c>
      <c r="Y1089">
        <v>0.03</v>
      </c>
      <c r="Z1089">
        <v>0.13</v>
      </c>
      <c r="AA1089" s="20">
        <f>Table3[[#This Row],[APS]]*Table3[[#This Row],[PrimaComercial Anual]]</f>
        <v>242.61936000000003</v>
      </c>
      <c r="AB1089" s="8">
        <f>Table3[[#This Row],[PrimaComercial Anual]]*Table3[[#This Row],[Recargo adicional]]</f>
        <v>1385.2417932000001</v>
      </c>
      <c r="AC1089" s="8">
        <f>Table3[[#This Row],[PrimaComercial Anual]]*Table3[[#This Row],[IT]]</f>
        <v>491.79599999999999</v>
      </c>
      <c r="AD1089" s="8">
        <f>Table3[[#This Row],[PrimaComercial Anual]]*Table3[[#This Row],[IVA]]</f>
        <v>2131.116</v>
      </c>
      <c r="AE1089" s="15">
        <f>Table3[[#This Row],[PrimaComercial Anual Asistencia]]</f>
        <v>16393.2</v>
      </c>
      <c r="AG1089">
        <v>16393.2</v>
      </c>
    </row>
    <row r="1090" spans="1:33" x14ac:dyDescent="0.25">
      <c r="A1090" t="s">
        <v>18</v>
      </c>
      <c r="B1090">
        <v>700002</v>
      </c>
      <c r="C1090">
        <v>64</v>
      </c>
      <c r="D1090" s="2">
        <f>Table3[[#This Row],[PrimaTécnica]]-Table3[[#This Row],[PrimaTécnica]]*SUM(Table3[[#This Row],[Gastos Adm]:[Cobranza]])</f>
        <v>7419.7377364032</v>
      </c>
      <c r="E1090">
        <v>0</v>
      </c>
      <c r="F1090">
        <v>0.15</v>
      </c>
      <c r="G1090">
        <v>0.05</v>
      </c>
      <c r="H1090">
        <v>0.01</v>
      </c>
      <c r="I1090">
        <v>0.01</v>
      </c>
      <c r="J1090" s="8">
        <f>Table3[[#This Row],[PrimaTécnica]]*Table3[[#This Row],[Gastos Adm]]</f>
        <v>1426.872641616</v>
      </c>
      <c r="K1090" s="8">
        <f>Table3[[#This Row],[PrimaTécnica]]*Table3[[#This Row],[Utilidad]]</f>
        <v>475.62421387200004</v>
      </c>
      <c r="L1090" s="8">
        <f>Table3[[#This Row],[PrimaTécnica]]*Table3[[#This Row],[Marketing]]</f>
        <v>95.124842774400008</v>
      </c>
      <c r="M1090" s="8">
        <f>Table3[[#This Row],[PrimaTécnica]]*Table3[[#This Row],[Cobranza]]</f>
        <v>95.124842774400008</v>
      </c>
      <c r="N109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9512.4842774400004</v>
      </c>
      <c r="O1090">
        <v>21.84</v>
      </c>
      <c r="P1090">
        <v>54.6</v>
      </c>
      <c r="Q1090">
        <v>80.64</v>
      </c>
      <c r="R1090">
        <v>44.377200000000002</v>
      </c>
      <c r="S1090">
        <v>0.2</v>
      </c>
      <c r="T1090">
        <v>0.02</v>
      </c>
      <c r="U1090" s="8">
        <f>Table3[[#This Row],[PrimaNeta]]*Table3[[#This Row],[Comisión]]</f>
        <v>2428.4853693600003</v>
      </c>
      <c r="V1090" s="15">
        <f>Table3[[#This Row],[PrimaComercial Anual]]-Table3[[#This Row],[PrimaComercial Anual]]*SUM(Table3[[#This Row],[APS]:[IVA]])</f>
        <v>12142.426846800001</v>
      </c>
      <c r="W1090" s="2">
        <v>1.4800000000000001E-2</v>
      </c>
      <c r="X1090" s="2">
        <v>8.4501000000000007E-2</v>
      </c>
      <c r="Y1090">
        <v>0.03</v>
      </c>
      <c r="Z1090">
        <v>0.13</v>
      </c>
      <c r="AA1090" s="20">
        <f>Table3[[#This Row],[APS]]*Table3[[#This Row],[PrimaComercial Anual]]</f>
        <v>242.61936000000003</v>
      </c>
      <c r="AB1090" s="8">
        <f>Table3[[#This Row],[PrimaComercial Anual]]*Table3[[#This Row],[Recargo adicional]]</f>
        <v>1385.2417932000001</v>
      </c>
      <c r="AC1090" s="8">
        <f>Table3[[#This Row],[PrimaComercial Anual]]*Table3[[#This Row],[IT]]</f>
        <v>491.79599999999999</v>
      </c>
      <c r="AD1090" s="8">
        <f>Table3[[#This Row],[PrimaComercial Anual]]*Table3[[#This Row],[IVA]]</f>
        <v>2131.116</v>
      </c>
      <c r="AE1090" s="15">
        <f>Table3[[#This Row],[PrimaComercial Anual Asistencia]]</f>
        <v>16393.2</v>
      </c>
      <c r="AG1090">
        <v>16393.2</v>
      </c>
    </row>
    <row r="1091" spans="1:33" x14ac:dyDescent="0.25">
      <c r="A1091" t="s">
        <v>18</v>
      </c>
      <c r="B1091">
        <v>700002</v>
      </c>
      <c r="C1091">
        <v>65</v>
      </c>
      <c r="D1091" s="2">
        <f>Table3[[#This Row],[PrimaTécnica]]-Table3[[#This Row],[PrimaTécnica]]*SUM(Table3[[#This Row],[Gastos Adm]:[Cobranza]])</f>
        <v>10444.164633676799</v>
      </c>
      <c r="E1091">
        <v>0</v>
      </c>
      <c r="F1091">
        <v>0.15</v>
      </c>
      <c r="G1091">
        <v>0.05</v>
      </c>
      <c r="H1091">
        <v>0.01</v>
      </c>
      <c r="I1091">
        <v>0.01</v>
      </c>
      <c r="J1091" s="8">
        <f>Table3[[#This Row],[PrimaTécnica]]*Table3[[#This Row],[Gastos Adm]]</f>
        <v>2008.4931987839996</v>
      </c>
      <c r="K1091" s="8">
        <f>Table3[[#This Row],[PrimaTécnica]]*Table3[[#This Row],[Utilidad]]</f>
        <v>669.497732928</v>
      </c>
      <c r="L1091" s="8">
        <f>Table3[[#This Row],[PrimaTécnica]]*Table3[[#This Row],[Marketing]]</f>
        <v>133.89954658559998</v>
      </c>
      <c r="M1091" s="8">
        <f>Table3[[#This Row],[PrimaTécnica]]*Table3[[#This Row],[Cobranza]]</f>
        <v>133.89954658559998</v>
      </c>
      <c r="N109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13389.954658559998</v>
      </c>
      <c r="O1091">
        <v>21.84</v>
      </c>
      <c r="P1091">
        <v>54.6</v>
      </c>
      <c r="Q1091">
        <v>80.64</v>
      </c>
      <c r="R1091">
        <v>44.377200000000002</v>
      </c>
      <c r="S1091">
        <v>0.2</v>
      </c>
      <c r="T1091">
        <v>0.02</v>
      </c>
      <c r="U1091" s="8">
        <f>Table3[[#This Row],[PrimaNeta]]*Table3[[#This Row],[Comisión]]</f>
        <v>3397.8529646400002</v>
      </c>
      <c r="V1091" s="15">
        <f>Table3[[#This Row],[PrimaComercial Anual]]-Table3[[#This Row],[PrimaComercial Anual]]*SUM(Table3[[#This Row],[APS]:[IVA]])</f>
        <v>16989.264823199999</v>
      </c>
      <c r="W1091" s="2">
        <v>1.4800000000000001E-2</v>
      </c>
      <c r="X1091" s="2">
        <v>8.4501000000000007E-2</v>
      </c>
      <c r="Y1091">
        <v>0.03</v>
      </c>
      <c r="Z1091">
        <v>0.13</v>
      </c>
      <c r="AA1091" s="20">
        <f>Table3[[#This Row],[APS]]*Table3[[#This Row],[PrimaComercial Anual]]</f>
        <v>339.46464000000003</v>
      </c>
      <c r="AB1091" s="8">
        <f>Table3[[#This Row],[PrimaComercial Anual]]*Table3[[#This Row],[Recargo adicional]]</f>
        <v>1938.1825368</v>
      </c>
      <c r="AC1091" s="8">
        <f>Table3[[#This Row],[PrimaComercial Anual]]*Table3[[#This Row],[IT]]</f>
        <v>688.10399999999993</v>
      </c>
      <c r="AD1091" s="8">
        <f>Table3[[#This Row],[PrimaComercial Anual]]*Table3[[#This Row],[IVA]]</f>
        <v>2981.7840000000001</v>
      </c>
      <c r="AE1091" s="15">
        <f>Table3[[#This Row],[PrimaComercial Anual Asistencia]]</f>
        <v>22936.799999999999</v>
      </c>
      <c r="AG1091">
        <v>22936.799999999999</v>
      </c>
    </row>
    <row r="1092" spans="1:33" x14ac:dyDescent="0.25">
      <c r="A1092" t="s">
        <v>18</v>
      </c>
      <c r="B1092">
        <v>700002</v>
      </c>
      <c r="C1092">
        <v>66</v>
      </c>
      <c r="D1092" s="2">
        <f>Table3[[#This Row],[PrimaTécnica]]-Table3[[#This Row],[PrimaTécnica]]*SUM(Table3[[#This Row],[Gastos Adm]:[Cobranza]])</f>
        <v>10444.164633676799</v>
      </c>
      <c r="E1092">
        <v>0</v>
      </c>
      <c r="F1092">
        <v>0.15</v>
      </c>
      <c r="G1092">
        <v>0.05</v>
      </c>
      <c r="H1092">
        <v>0.01</v>
      </c>
      <c r="I1092">
        <v>0.01</v>
      </c>
      <c r="J1092" s="8">
        <f>Table3[[#This Row],[PrimaTécnica]]*Table3[[#This Row],[Gastos Adm]]</f>
        <v>2008.4931987839996</v>
      </c>
      <c r="K1092" s="8">
        <f>Table3[[#This Row],[PrimaTécnica]]*Table3[[#This Row],[Utilidad]]</f>
        <v>669.497732928</v>
      </c>
      <c r="L1092" s="8">
        <f>Table3[[#This Row],[PrimaTécnica]]*Table3[[#This Row],[Marketing]]</f>
        <v>133.89954658559998</v>
      </c>
      <c r="M1092" s="8">
        <f>Table3[[#This Row],[PrimaTécnica]]*Table3[[#This Row],[Cobranza]]</f>
        <v>133.89954658559998</v>
      </c>
      <c r="N109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13389.954658559998</v>
      </c>
      <c r="O1092">
        <v>21.84</v>
      </c>
      <c r="P1092">
        <v>54.6</v>
      </c>
      <c r="Q1092">
        <v>80.64</v>
      </c>
      <c r="R1092">
        <v>44.377200000000002</v>
      </c>
      <c r="S1092">
        <v>0.2</v>
      </c>
      <c r="T1092">
        <v>0.02</v>
      </c>
      <c r="U1092" s="8">
        <f>Table3[[#This Row],[PrimaNeta]]*Table3[[#This Row],[Comisión]]</f>
        <v>3397.8529646400002</v>
      </c>
      <c r="V1092" s="15">
        <f>Table3[[#This Row],[PrimaComercial Anual]]-Table3[[#This Row],[PrimaComercial Anual]]*SUM(Table3[[#This Row],[APS]:[IVA]])</f>
        <v>16989.264823199999</v>
      </c>
      <c r="W1092" s="2">
        <v>1.4800000000000001E-2</v>
      </c>
      <c r="X1092" s="2">
        <v>8.4501000000000007E-2</v>
      </c>
      <c r="Y1092">
        <v>0.03</v>
      </c>
      <c r="Z1092">
        <v>0.13</v>
      </c>
      <c r="AA1092" s="20">
        <f>Table3[[#This Row],[APS]]*Table3[[#This Row],[PrimaComercial Anual]]</f>
        <v>339.46464000000003</v>
      </c>
      <c r="AB1092" s="8">
        <f>Table3[[#This Row],[PrimaComercial Anual]]*Table3[[#This Row],[Recargo adicional]]</f>
        <v>1938.1825368</v>
      </c>
      <c r="AC1092" s="8">
        <f>Table3[[#This Row],[PrimaComercial Anual]]*Table3[[#This Row],[IT]]</f>
        <v>688.10399999999993</v>
      </c>
      <c r="AD1092" s="8">
        <f>Table3[[#This Row],[PrimaComercial Anual]]*Table3[[#This Row],[IVA]]</f>
        <v>2981.7840000000001</v>
      </c>
      <c r="AE1092" s="15">
        <f>Table3[[#This Row],[PrimaComercial Anual Asistencia]]</f>
        <v>22936.799999999999</v>
      </c>
      <c r="AG1092">
        <v>22936.799999999999</v>
      </c>
    </row>
    <row r="1093" spans="1:33" x14ac:dyDescent="0.25">
      <c r="A1093" t="s">
        <v>18</v>
      </c>
      <c r="B1093">
        <v>700002</v>
      </c>
      <c r="C1093">
        <v>67</v>
      </c>
      <c r="D1093" s="2">
        <f>Table3[[#This Row],[PrimaTécnica]]-Table3[[#This Row],[PrimaTécnica]]*SUM(Table3[[#This Row],[Gastos Adm]:[Cobranza]])</f>
        <v>10444.164633676799</v>
      </c>
      <c r="E1093">
        <v>0</v>
      </c>
      <c r="F1093">
        <v>0.15</v>
      </c>
      <c r="G1093">
        <v>0.05</v>
      </c>
      <c r="H1093">
        <v>0.01</v>
      </c>
      <c r="I1093">
        <v>0.01</v>
      </c>
      <c r="J1093" s="8">
        <f>Table3[[#This Row],[PrimaTécnica]]*Table3[[#This Row],[Gastos Adm]]</f>
        <v>2008.4931987839996</v>
      </c>
      <c r="K1093" s="8">
        <f>Table3[[#This Row],[PrimaTécnica]]*Table3[[#This Row],[Utilidad]]</f>
        <v>669.497732928</v>
      </c>
      <c r="L1093" s="8">
        <f>Table3[[#This Row],[PrimaTécnica]]*Table3[[#This Row],[Marketing]]</f>
        <v>133.89954658559998</v>
      </c>
      <c r="M1093" s="8">
        <f>Table3[[#This Row],[PrimaTécnica]]*Table3[[#This Row],[Cobranza]]</f>
        <v>133.89954658559998</v>
      </c>
      <c r="N109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13389.954658559998</v>
      </c>
      <c r="O1093">
        <v>21.84</v>
      </c>
      <c r="P1093">
        <v>54.6</v>
      </c>
      <c r="Q1093">
        <v>80.64</v>
      </c>
      <c r="R1093">
        <v>44.377200000000002</v>
      </c>
      <c r="S1093">
        <v>0.2</v>
      </c>
      <c r="T1093">
        <v>0.02</v>
      </c>
      <c r="U1093" s="8">
        <f>Table3[[#This Row],[PrimaNeta]]*Table3[[#This Row],[Comisión]]</f>
        <v>3397.8529646400002</v>
      </c>
      <c r="V1093" s="15">
        <f>Table3[[#This Row],[PrimaComercial Anual]]-Table3[[#This Row],[PrimaComercial Anual]]*SUM(Table3[[#This Row],[APS]:[IVA]])</f>
        <v>16989.264823199999</v>
      </c>
      <c r="W1093" s="2">
        <v>1.4800000000000001E-2</v>
      </c>
      <c r="X1093" s="2">
        <v>8.4501000000000007E-2</v>
      </c>
      <c r="Y1093">
        <v>0.03</v>
      </c>
      <c r="Z1093">
        <v>0.13</v>
      </c>
      <c r="AA1093" s="20">
        <f>Table3[[#This Row],[APS]]*Table3[[#This Row],[PrimaComercial Anual]]</f>
        <v>339.46464000000003</v>
      </c>
      <c r="AB1093" s="8">
        <f>Table3[[#This Row],[PrimaComercial Anual]]*Table3[[#This Row],[Recargo adicional]]</f>
        <v>1938.1825368</v>
      </c>
      <c r="AC1093" s="8">
        <f>Table3[[#This Row],[PrimaComercial Anual]]*Table3[[#This Row],[IT]]</f>
        <v>688.10399999999993</v>
      </c>
      <c r="AD1093" s="8">
        <f>Table3[[#This Row],[PrimaComercial Anual]]*Table3[[#This Row],[IVA]]</f>
        <v>2981.7840000000001</v>
      </c>
      <c r="AE1093" s="15">
        <f>Table3[[#This Row],[PrimaComercial Anual Asistencia]]</f>
        <v>22936.799999999999</v>
      </c>
      <c r="AG1093">
        <v>22936.799999999999</v>
      </c>
    </row>
    <row r="1094" spans="1:33" x14ac:dyDescent="0.25">
      <c r="A1094" t="s">
        <v>18</v>
      </c>
      <c r="B1094">
        <v>700002</v>
      </c>
      <c r="C1094">
        <v>68</v>
      </c>
      <c r="D1094" s="2">
        <f>Table3[[#This Row],[PrimaTécnica]]-Table3[[#This Row],[PrimaTécnica]]*SUM(Table3[[#This Row],[Gastos Adm]:[Cobranza]])</f>
        <v>10444.164633676799</v>
      </c>
      <c r="E1094">
        <v>0</v>
      </c>
      <c r="F1094">
        <v>0.15</v>
      </c>
      <c r="G1094">
        <v>0.05</v>
      </c>
      <c r="H1094">
        <v>0.01</v>
      </c>
      <c r="I1094">
        <v>0.01</v>
      </c>
      <c r="J1094" s="8">
        <f>Table3[[#This Row],[PrimaTécnica]]*Table3[[#This Row],[Gastos Adm]]</f>
        <v>2008.4931987839996</v>
      </c>
      <c r="K1094" s="8">
        <f>Table3[[#This Row],[PrimaTécnica]]*Table3[[#This Row],[Utilidad]]</f>
        <v>669.497732928</v>
      </c>
      <c r="L1094" s="8">
        <f>Table3[[#This Row],[PrimaTécnica]]*Table3[[#This Row],[Marketing]]</f>
        <v>133.89954658559998</v>
      </c>
      <c r="M1094" s="8">
        <f>Table3[[#This Row],[PrimaTécnica]]*Table3[[#This Row],[Cobranza]]</f>
        <v>133.89954658559998</v>
      </c>
      <c r="N109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13389.954658559998</v>
      </c>
      <c r="O1094">
        <v>21.84</v>
      </c>
      <c r="P1094">
        <v>54.6</v>
      </c>
      <c r="Q1094">
        <v>80.64</v>
      </c>
      <c r="R1094">
        <v>44.377200000000002</v>
      </c>
      <c r="S1094">
        <v>0.2</v>
      </c>
      <c r="T1094">
        <v>0.02</v>
      </c>
      <c r="U1094" s="8">
        <f>Table3[[#This Row],[PrimaNeta]]*Table3[[#This Row],[Comisión]]</f>
        <v>3397.8529646400002</v>
      </c>
      <c r="V1094" s="15">
        <f>Table3[[#This Row],[PrimaComercial Anual]]-Table3[[#This Row],[PrimaComercial Anual]]*SUM(Table3[[#This Row],[APS]:[IVA]])</f>
        <v>16989.264823199999</v>
      </c>
      <c r="W1094" s="2">
        <v>1.4800000000000001E-2</v>
      </c>
      <c r="X1094" s="2">
        <v>8.4501000000000007E-2</v>
      </c>
      <c r="Y1094">
        <v>0.03</v>
      </c>
      <c r="Z1094">
        <v>0.13</v>
      </c>
      <c r="AA1094" s="20">
        <f>Table3[[#This Row],[APS]]*Table3[[#This Row],[PrimaComercial Anual]]</f>
        <v>339.46464000000003</v>
      </c>
      <c r="AB1094" s="8">
        <f>Table3[[#This Row],[PrimaComercial Anual]]*Table3[[#This Row],[Recargo adicional]]</f>
        <v>1938.1825368</v>
      </c>
      <c r="AC1094" s="8">
        <f>Table3[[#This Row],[PrimaComercial Anual]]*Table3[[#This Row],[IT]]</f>
        <v>688.10399999999993</v>
      </c>
      <c r="AD1094" s="8">
        <f>Table3[[#This Row],[PrimaComercial Anual]]*Table3[[#This Row],[IVA]]</f>
        <v>2981.7840000000001</v>
      </c>
      <c r="AE1094" s="15">
        <f>Table3[[#This Row],[PrimaComercial Anual Asistencia]]</f>
        <v>22936.799999999999</v>
      </c>
      <c r="AG1094">
        <v>22936.799999999999</v>
      </c>
    </row>
    <row r="1095" spans="1:33" x14ac:dyDescent="0.25">
      <c r="A1095" t="s">
        <v>18</v>
      </c>
      <c r="B1095">
        <v>700002</v>
      </c>
      <c r="C1095">
        <v>69</v>
      </c>
      <c r="D1095" s="2">
        <f>Table3[[#This Row],[PrimaTécnica]]-Table3[[#This Row],[PrimaTécnica]]*SUM(Table3[[#This Row],[Gastos Adm]:[Cobranza]])</f>
        <v>10444.164633676799</v>
      </c>
      <c r="E1095">
        <v>0</v>
      </c>
      <c r="F1095">
        <v>0.15</v>
      </c>
      <c r="G1095">
        <v>0.05</v>
      </c>
      <c r="H1095">
        <v>0.01</v>
      </c>
      <c r="I1095">
        <v>0.01</v>
      </c>
      <c r="J1095" s="8">
        <f>Table3[[#This Row],[PrimaTécnica]]*Table3[[#This Row],[Gastos Adm]]</f>
        <v>2008.4931987839996</v>
      </c>
      <c r="K1095" s="8">
        <f>Table3[[#This Row],[PrimaTécnica]]*Table3[[#This Row],[Utilidad]]</f>
        <v>669.497732928</v>
      </c>
      <c r="L1095" s="8">
        <f>Table3[[#This Row],[PrimaTécnica]]*Table3[[#This Row],[Marketing]]</f>
        <v>133.89954658559998</v>
      </c>
      <c r="M1095" s="8">
        <f>Table3[[#This Row],[PrimaTécnica]]*Table3[[#This Row],[Cobranza]]</f>
        <v>133.89954658559998</v>
      </c>
      <c r="N109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13389.954658559998</v>
      </c>
      <c r="O1095">
        <v>21.84</v>
      </c>
      <c r="P1095">
        <v>54.6</v>
      </c>
      <c r="Q1095">
        <v>80.64</v>
      </c>
      <c r="R1095">
        <v>44.377200000000002</v>
      </c>
      <c r="S1095">
        <v>0.2</v>
      </c>
      <c r="T1095">
        <v>0.02</v>
      </c>
      <c r="U1095" s="8">
        <f>Table3[[#This Row],[PrimaNeta]]*Table3[[#This Row],[Comisión]]</f>
        <v>3397.8529646400002</v>
      </c>
      <c r="V1095" s="15">
        <f>Table3[[#This Row],[PrimaComercial Anual]]-Table3[[#This Row],[PrimaComercial Anual]]*SUM(Table3[[#This Row],[APS]:[IVA]])</f>
        <v>16989.264823199999</v>
      </c>
      <c r="W1095" s="2">
        <v>1.4800000000000001E-2</v>
      </c>
      <c r="X1095" s="2">
        <v>8.4501000000000007E-2</v>
      </c>
      <c r="Y1095">
        <v>0.03</v>
      </c>
      <c r="Z1095">
        <v>0.13</v>
      </c>
      <c r="AA1095" s="20">
        <f>Table3[[#This Row],[APS]]*Table3[[#This Row],[PrimaComercial Anual]]</f>
        <v>339.46464000000003</v>
      </c>
      <c r="AB1095" s="8">
        <f>Table3[[#This Row],[PrimaComercial Anual]]*Table3[[#This Row],[Recargo adicional]]</f>
        <v>1938.1825368</v>
      </c>
      <c r="AC1095" s="8">
        <f>Table3[[#This Row],[PrimaComercial Anual]]*Table3[[#This Row],[IT]]</f>
        <v>688.10399999999993</v>
      </c>
      <c r="AD1095" s="8">
        <f>Table3[[#This Row],[PrimaComercial Anual]]*Table3[[#This Row],[IVA]]</f>
        <v>2981.7840000000001</v>
      </c>
      <c r="AE1095" s="15">
        <f>Table3[[#This Row],[PrimaComercial Anual Asistencia]]</f>
        <v>22936.799999999999</v>
      </c>
      <c r="AG1095">
        <v>22936.799999999999</v>
      </c>
    </row>
    <row r="1096" spans="1:33" x14ac:dyDescent="0.25">
      <c r="A1096" t="s">
        <v>18</v>
      </c>
      <c r="B1096">
        <v>700002</v>
      </c>
      <c r="C1096">
        <v>70</v>
      </c>
      <c r="D1096" s="2">
        <f>Table3[[#This Row],[PrimaTécnica]]-Table3[[#This Row],[PrimaTécnica]]*SUM(Table3[[#This Row],[Gastos Adm]:[Cobranza]])</f>
        <v>10444.164633676799</v>
      </c>
      <c r="E1096">
        <v>0</v>
      </c>
      <c r="F1096">
        <v>0.15</v>
      </c>
      <c r="G1096">
        <v>0.05</v>
      </c>
      <c r="H1096">
        <v>0.01</v>
      </c>
      <c r="I1096">
        <v>0.01</v>
      </c>
      <c r="J1096" s="8">
        <f>Table3[[#This Row],[PrimaTécnica]]*Table3[[#This Row],[Gastos Adm]]</f>
        <v>2008.4931987839996</v>
      </c>
      <c r="K1096" s="8">
        <f>Table3[[#This Row],[PrimaTécnica]]*Table3[[#This Row],[Utilidad]]</f>
        <v>669.497732928</v>
      </c>
      <c r="L1096" s="8">
        <f>Table3[[#This Row],[PrimaTécnica]]*Table3[[#This Row],[Marketing]]</f>
        <v>133.89954658559998</v>
      </c>
      <c r="M1096" s="8">
        <f>Table3[[#This Row],[PrimaTécnica]]*Table3[[#This Row],[Cobranza]]</f>
        <v>133.89954658559998</v>
      </c>
      <c r="N109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13389.954658559998</v>
      </c>
      <c r="O1096">
        <v>21.84</v>
      </c>
      <c r="P1096">
        <v>54.6</v>
      </c>
      <c r="Q1096">
        <v>80.64</v>
      </c>
      <c r="R1096">
        <v>44.377200000000002</v>
      </c>
      <c r="S1096">
        <v>0.2</v>
      </c>
      <c r="T1096">
        <v>0.02</v>
      </c>
      <c r="U1096" s="8">
        <f>Table3[[#This Row],[PrimaNeta]]*Table3[[#This Row],[Comisión]]</f>
        <v>3397.8529646400002</v>
      </c>
      <c r="V1096" s="15">
        <f>Table3[[#This Row],[PrimaComercial Anual]]-Table3[[#This Row],[PrimaComercial Anual]]*SUM(Table3[[#This Row],[APS]:[IVA]])</f>
        <v>16989.264823199999</v>
      </c>
      <c r="W1096" s="2">
        <v>1.4800000000000001E-2</v>
      </c>
      <c r="X1096" s="2">
        <v>8.4501000000000007E-2</v>
      </c>
      <c r="Y1096">
        <v>0.03</v>
      </c>
      <c r="Z1096">
        <v>0.13</v>
      </c>
      <c r="AA1096" s="20">
        <f>Table3[[#This Row],[APS]]*Table3[[#This Row],[PrimaComercial Anual]]</f>
        <v>339.46464000000003</v>
      </c>
      <c r="AB1096" s="8">
        <f>Table3[[#This Row],[PrimaComercial Anual]]*Table3[[#This Row],[Recargo adicional]]</f>
        <v>1938.1825368</v>
      </c>
      <c r="AC1096" s="8">
        <f>Table3[[#This Row],[PrimaComercial Anual]]*Table3[[#This Row],[IT]]</f>
        <v>688.10399999999993</v>
      </c>
      <c r="AD1096" s="8">
        <f>Table3[[#This Row],[PrimaComercial Anual]]*Table3[[#This Row],[IVA]]</f>
        <v>2981.7840000000001</v>
      </c>
      <c r="AE1096" s="15">
        <f>Table3[[#This Row],[PrimaComercial Anual Asistencia]]</f>
        <v>22936.799999999999</v>
      </c>
      <c r="AG1096">
        <v>22936.799999999999</v>
      </c>
    </row>
    <row r="1097" spans="1:33" x14ac:dyDescent="0.25">
      <c r="A1097" t="s">
        <v>18</v>
      </c>
      <c r="B1097">
        <v>700002</v>
      </c>
      <c r="C1097">
        <v>71</v>
      </c>
      <c r="D1097" s="2">
        <f>Table3[[#This Row],[PrimaTécnica]]-Table3[[#This Row],[PrimaTécnica]]*SUM(Table3[[#This Row],[Gastos Adm]:[Cobranza]])</f>
        <v>12288.327375916797</v>
      </c>
      <c r="E1097">
        <v>0</v>
      </c>
      <c r="F1097">
        <v>0.15</v>
      </c>
      <c r="G1097">
        <v>0.05</v>
      </c>
      <c r="H1097">
        <v>0.01</v>
      </c>
      <c r="I1097">
        <v>0.01</v>
      </c>
      <c r="J1097" s="8">
        <f>Table3[[#This Row],[PrimaTécnica]]*Table3[[#This Row],[Gastos Adm]]</f>
        <v>2363.1398799839994</v>
      </c>
      <c r="K1097" s="8">
        <f>Table3[[#This Row],[PrimaTécnica]]*Table3[[#This Row],[Utilidad]]</f>
        <v>787.71329332799996</v>
      </c>
      <c r="L1097" s="8">
        <f>Table3[[#This Row],[PrimaTécnica]]*Table3[[#This Row],[Marketing]]</f>
        <v>157.54265866559999</v>
      </c>
      <c r="M1097" s="8">
        <f>Table3[[#This Row],[PrimaTécnica]]*Table3[[#This Row],[Cobranza]]</f>
        <v>157.54265866559999</v>
      </c>
      <c r="N109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97">
        <v>21.84</v>
      </c>
      <c r="P1097">
        <v>54.6</v>
      </c>
      <c r="Q1097">
        <v>80.64</v>
      </c>
      <c r="R1097">
        <v>44.377200000000002</v>
      </c>
      <c r="S1097">
        <v>0.2</v>
      </c>
      <c r="T1097">
        <v>0.02</v>
      </c>
      <c r="U1097" s="8">
        <f>Table3[[#This Row],[PrimaNeta]]*Table3[[#This Row],[Comisión]]</f>
        <v>3988.93076664</v>
      </c>
      <c r="V1097" s="15">
        <f>Table3[[#This Row],[PrimaComercial Anual]]-Table3[[#This Row],[PrimaComercial Anual]]*SUM(Table3[[#This Row],[APS]:[IVA]])</f>
        <v>19944.653833199998</v>
      </c>
      <c r="W1097" s="2">
        <v>1.4800000000000001E-2</v>
      </c>
      <c r="X1097" s="2">
        <v>8.4501000000000007E-2</v>
      </c>
      <c r="Y1097">
        <v>0.03</v>
      </c>
      <c r="Z1097">
        <v>0.13</v>
      </c>
      <c r="AA1097" s="20">
        <f>Table3[[#This Row],[APS]]*Table3[[#This Row],[PrimaComercial Anual]]</f>
        <v>398.51664</v>
      </c>
      <c r="AB1097" s="8">
        <f>Table3[[#This Row],[PrimaComercial Anual]]*Table3[[#This Row],[Recargo adicional]]</f>
        <v>2275.3415268000003</v>
      </c>
      <c r="AC1097" s="8">
        <f>Table3[[#This Row],[PrimaComercial Anual]]*Table3[[#This Row],[IT]]</f>
        <v>807.80399999999997</v>
      </c>
      <c r="AD1097" s="8">
        <f>Table3[[#This Row],[PrimaComercial Anual]]*Table3[[#This Row],[IVA]]</f>
        <v>3500.4839999999999</v>
      </c>
      <c r="AE1097" s="15">
        <f>Table3[[#This Row],[PrimaComercial Anual Asistencia]]</f>
        <v>26926.799999999999</v>
      </c>
      <c r="AG1097">
        <v>26926.799999999999</v>
      </c>
    </row>
    <row r="1098" spans="1:33" x14ac:dyDescent="0.25">
      <c r="A1098" t="s">
        <v>18</v>
      </c>
      <c r="B1098">
        <v>700002</v>
      </c>
      <c r="C1098">
        <v>72</v>
      </c>
      <c r="D1098" s="2">
        <f>Table3[[#This Row],[PrimaTécnica]]-Table3[[#This Row],[PrimaTécnica]]*SUM(Table3[[#This Row],[Gastos Adm]:[Cobranza]])</f>
        <v>12288.327375916797</v>
      </c>
      <c r="E1098">
        <v>0</v>
      </c>
      <c r="F1098">
        <v>0.15</v>
      </c>
      <c r="G1098">
        <v>0.05</v>
      </c>
      <c r="H1098">
        <v>0.01</v>
      </c>
      <c r="I1098">
        <v>0.01</v>
      </c>
      <c r="J1098" s="8">
        <f>Table3[[#This Row],[PrimaTécnica]]*Table3[[#This Row],[Gastos Adm]]</f>
        <v>2363.1398799839994</v>
      </c>
      <c r="K1098" s="8">
        <f>Table3[[#This Row],[PrimaTécnica]]*Table3[[#This Row],[Utilidad]]</f>
        <v>787.71329332799996</v>
      </c>
      <c r="L1098" s="8">
        <f>Table3[[#This Row],[PrimaTécnica]]*Table3[[#This Row],[Marketing]]</f>
        <v>157.54265866559999</v>
      </c>
      <c r="M1098" s="8">
        <f>Table3[[#This Row],[PrimaTécnica]]*Table3[[#This Row],[Cobranza]]</f>
        <v>157.54265866559999</v>
      </c>
      <c r="N109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98">
        <v>21.84</v>
      </c>
      <c r="P1098">
        <v>54.6</v>
      </c>
      <c r="Q1098">
        <v>80.64</v>
      </c>
      <c r="R1098">
        <v>44.377200000000002</v>
      </c>
      <c r="S1098">
        <v>0.2</v>
      </c>
      <c r="T1098">
        <v>0.02</v>
      </c>
      <c r="U1098" s="8">
        <f>Table3[[#This Row],[PrimaNeta]]*Table3[[#This Row],[Comisión]]</f>
        <v>3988.93076664</v>
      </c>
      <c r="V1098" s="15">
        <f>Table3[[#This Row],[PrimaComercial Anual]]-Table3[[#This Row],[PrimaComercial Anual]]*SUM(Table3[[#This Row],[APS]:[IVA]])</f>
        <v>19944.653833199998</v>
      </c>
      <c r="W1098" s="2">
        <v>1.4800000000000001E-2</v>
      </c>
      <c r="X1098" s="2">
        <v>8.4501000000000007E-2</v>
      </c>
      <c r="Y1098">
        <v>0.03</v>
      </c>
      <c r="Z1098">
        <v>0.13</v>
      </c>
      <c r="AA1098" s="20">
        <f>Table3[[#This Row],[APS]]*Table3[[#This Row],[PrimaComercial Anual]]</f>
        <v>398.51664</v>
      </c>
      <c r="AB1098" s="8">
        <f>Table3[[#This Row],[PrimaComercial Anual]]*Table3[[#This Row],[Recargo adicional]]</f>
        <v>2275.3415268000003</v>
      </c>
      <c r="AC1098" s="8">
        <f>Table3[[#This Row],[PrimaComercial Anual]]*Table3[[#This Row],[IT]]</f>
        <v>807.80399999999997</v>
      </c>
      <c r="AD1098" s="8">
        <f>Table3[[#This Row],[PrimaComercial Anual]]*Table3[[#This Row],[IVA]]</f>
        <v>3500.4839999999999</v>
      </c>
      <c r="AE1098" s="15">
        <f>Table3[[#This Row],[PrimaComercial Anual Asistencia]]</f>
        <v>26926.799999999999</v>
      </c>
      <c r="AG1098">
        <v>26926.799999999999</v>
      </c>
    </row>
    <row r="1099" spans="1:33" x14ac:dyDescent="0.25">
      <c r="A1099" t="s">
        <v>18</v>
      </c>
      <c r="B1099">
        <v>700002</v>
      </c>
      <c r="C1099">
        <v>73</v>
      </c>
      <c r="D1099" s="2">
        <f>Table3[[#This Row],[PrimaTécnica]]-Table3[[#This Row],[PrimaTécnica]]*SUM(Table3[[#This Row],[Gastos Adm]:[Cobranza]])</f>
        <v>12288.327375916797</v>
      </c>
      <c r="E1099">
        <v>0</v>
      </c>
      <c r="F1099">
        <v>0.15</v>
      </c>
      <c r="G1099">
        <v>0.05</v>
      </c>
      <c r="H1099">
        <v>0.01</v>
      </c>
      <c r="I1099">
        <v>0.01</v>
      </c>
      <c r="J1099" s="8">
        <f>Table3[[#This Row],[PrimaTécnica]]*Table3[[#This Row],[Gastos Adm]]</f>
        <v>2363.1398799839994</v>
      </c>
      <c r="K1099" s="8">
        <f>Table3[[#This Row],[PrimaTécnica]]*Table3[[#This Row],[Utilidad]]</f>
        <v>787.71329332799996</v>
      </c>
      <c r="L1099" s="8">
        <f>Table3[[#This Row],[PrimaTécnica]]*Table3[[#This Row],[Marketing]]</f>
        <v>157.54265866559999</v>
      </c>
      <c r="M1099" s="8">
        <f>Table3[[#This Row],[PrimaTécnica]]*Table3[[#This Row],[Cobranza]]</f>
        <v>157.54265866559999</v>
      </c>
      <c r="N109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099">
        <v>21.84</v>
      </c>
      <c r="P1099">
        <v>54.6</v>
      </c>
      <c r="Q1099">
        <v>80.64</v>
      </c>
      <c r="R1099">
        <v>44.377200000000002</v>
      </c>
      <c r="S1099">
        <v>0.2</v>
      </c>
      <c r="T1099">
        <v>0.02</v>
      </c>
      <c r="U1099" s="8">
        <f>Table3[[#This Row],[PrimaNeta]]*Table3[[#This Row],[Comisión]]</f>
        <v>3988.93076664</v>
      </c>
      <c r="V1099" s="15">
        <f>Table3[[#This Row],[PrimaComercial Anual]]-Table3[[#This Row],[PrimaComercial Anual]]*SUM(Table3[[#This Row],[APS]:[IVA]])</f>
        <v>19944.653833199998</v>
      </c>
      <c r="W1099" s="2">
        <v>1.4800000000000001E-2</v>
      </c>
      <c r="X1099" s="2">
        <v>8.4501000000000007E-2</v>
      </c>
      <c r="Y1099">
        <v>0.03</v>
      </c>
      <c r="Z1099">
        <v>0.13</v>
      </c>
      <c r="AA1099" s="20">
        <f>Table3[[#This Row],[APS]]*Table3[[#This Row],[PrimaComercial Anual]]</f>
        <v>398.51664</v>
      </c>
      <c r="AB1099" s="8">
        <f>Table3[[#This Row],[PrimaComercial Anual]]*Table3[[#This Row],[Recargo adicional]]</f>
        <v>2275.3415268000003</v>
      </c>
      <c r="AC1099" s="8">
        <f>Table3[[#This Row],[PrimaComercial Anual]]*Table3[[#This Row],[IT]]</f>
        <v>807.80399999999997</v>
      </c>
      <c r="AD1099" s="8">
        <f>Table3[[#This Row],[PrimaComercial Anual]]*Table3[[#This Row],[IVA]]</f>
        <v>3500.4839999999999</v>
      </c>
      <c r="AE1099" s="15">
        <f>Table3[[#This Row],[PrimaComercial Anual Asistencia]]</f>
        <v>26926.799999999999</v>
      </c>
      <c r="AG1099">
        <v>26926.799999999999</v>
      </c>
    </row>
    <row r="1100" spans="1:33" x14ac:dyDescent="0.25">
      <c r="A1100" t="s">
        <v>18</v>
      </c>
      <c r="B1100">
        <v>700002</v>
      </c>
      <c r="C1100">
        <v>74</v>
      </c>
      <c r="D1100" s="2">
        <f>Table3[[#This Row],[PrimaTécnica]]-Table3[[#This Row],[PrimaTécnica]]*SUM(Table3[[#This Row],[Gastos Adm]:[Cobranza]])</f>
        <v>12288.327375916797</v>
      </c>
      <c r="E1100">
        <v>0</v>
      </c>
      <c r="F1100">
        <v>0.15</v>
      </c>
      <c r="G1100">
        <v>0.05</v>
      </c>
      <c r="H1100">
        <v>0.01</v>
      </c>
      <c r="I1100">
        <v>0.01</v>
      </c>
      <c r="J1100" s="8">
        <f>Table3[[#This Row],[PrimaTécnica]]*Table3[[#This Row],[Gastos Adm]]</f>
        <v>2363.1398799839994</v>
      </c>
      <c r="K1100" s="8">
        <f>Table3[[#This Row],[PrimaTécnica]]*Table3[[#This Row],[Utilidad]]</f>
        <v>787.71329332799996</v>
      </c>
      <c r="L1100" s="8">
        <f>Table3[[#This Row],[PrimaTécnica]]*Table3[[#This Row],[Marketing]]</f>
        <v>157.54265866559999</v>
      </c>
      <c r="M1100" s="8">
        <f>Table3[[#This Row],[PrimaTécnica]]*Table3[[#This Row],[Cobranza]]</f>
        <v>157.54265866559999</v>
      </c>
      <c r="N110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100">
        <v>21.84</v>
      </c>
      <c r="P1100">
        <v>54.6</v>
      </c>
      <c r="Q1100">
        <v>80.64</v>
      </c>
      <c r="R1100">
        <v>44.377200000000002</v>
      </c>
      <c r="S1100">
        <v>0.2</v>
      </c>
      <c r="T1100">
        <v>0.02</v>
      </c>
      <c r="U1100" s="8">
        <f>Table3[[#This Row],[PrimaNeta]]*Table3[[#This Row],[Comisión]]</f>
        <v>3988.93076664</v>
      </c>
      <c r="V1100" s="15">
        <f>Table3[[#This Row],[PrimaComercial Anual]]-Table3[[#This Row],[PrimaComercial Anual]]*SUM(Table3[[#This Row],[APS]:[IVA]])</f>
        <v>19944.653833199998</v>
      </c>
      <c r="W1100" s="2">
        <v>1.4800000000000001E-2</v>
      </c>
      <c r="X1100" s="2">
        <v>8.4501000000000007E-2</v>
      </c>
      <c r="Y1100">
        <v>0.03</v>
      </c>
      <c r="Z1100">
        <v>0.13</v>
      </c>
      <c r="AA1100" s="20">
        <f>Table3[[#This Row],[APS]]*Table3[[#This Row],[PrimaComercial Anual]]</f>
        <v>398.51664</v>
      </c>
      <c r="AB1100" s="8">
        <f>Table3[[#This Row],[PrimaComercial Anual]]*Table3[[#This Row],[Recargo adicional]]</f>
        <v>2275.3415268000003</v>
      </c>
      <c r="AC1100" s="8">
        <f>Table3[[#This Row],[PrimaComercial Anual]]*Table3[[#This Row],[IT]]</f>
        <v>807.80399999999997</v>
      </c>
      <c r="AD1100" s="8">
        <f>Table3[[#This Row],[PrimaComercial Anual]]*Table3[[#This Row],[IVA]]</f>
        <v>3500.4839999999999</v>
      </c>
      <c r="AE1100" s="15">
        <f>Table3[[#This Row],[PrimaComercial Anual Asistencia]]</f>
        <v>26926.799999999999</v>
      </c>
      <c r="AG1100">
        <v>26926.799999999999</v>
      </c>
    </row>
    <row r="1101" spans="1:33" x14ac:dyDescent="0.25">
      <c r="A1101" t="s">
        <v>18</v>
      </c>
      <c r="B1101">
        <v>700002</v>
      </c>
      <c r="C1101">
        <v>75</v>
      </c>
      <c r="D1101" s="2">
        <f>Table3[[#This Row],[PrimaTécnica]]-Table3[[#This Row],[PrimaTécnica]]*SUM(Table3[[#This Row],[Gastos Adm]:[Cobranza]])</f>
        <v>12288.327375916797</v>
      </c>
      <c r="E1101">
        <v>0</v>
      </c>
      <c r="F1101">
        <v>0.15</v>
      </c>
      <c r="G1101">
        <v>0.05</v>
      </c>
      <c r="H1101">
        <v>0.01</v>
      </c>
      <c r="I1101">
        <v>0.01</v>
      </c>
      <c r="J1101" s="8">
        <f>Table3[[#This Row],[PrimaTécnica]]*Table3[[#This Row],[Gastos Adm]]</f>
        <v>2363.1398799839994</v>
      </c>
      <c r="K1101" s="8">
        <f>Table3[[#This Row],[PrimaTécnica]]*Table3[[#This Row],[Utilidad]]</f>
        <v>787.71329332799996</v>
      </c>
      <c r="L1101" s="8">
        <f>Table3[[#This Row],[PrimaTécnica]]*Table3[[#This Row],[Marketing]]</f>
        <v>157.54265866559999</v>
      </c>
      <c r="M1101" s="8">
        <f>Table3[[#This Row],[PrimaTécnica]]*Table3[[#This Row],[Cobranza]]</f>
        <v>157.54265866559999</v>
      </c>
      <c r="N110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101">
        <v>21.84</v>
      </c>
      <c r="P1101">
        <v>54.6</v>
      </c>
      <c r="Q1101">
        <v>80.64</v>
      </c>
      <c r="R1101">
        <v>44.377200000000002</v>
      </c>
      <c r="S1101">
        <v>0.2</v>
      </c>
      <c r="T1101">
        <v>0.02</v>
      </c>
      <c r="U1101" s="8">
        <f>Table3[[#This Row],[PrimaNeta]]*Table3[[#This Row],[Comisión]]</f>
        <v>3988.93076664</v>
      </c>
      <c r="V1101" s="15">
        <f>Table3[[#This Row],[PrimaComercial Anual]]-Table3[[#This Row],[PrimaComercial Anual]]*SUM(Table3[[#This Row],[APS]:[IVA]])</f>
        <v>19944.653833199998</v>
      </c>
      <c r="W1101" s="2">
        <v>1.4800000000000001E-2</v>
      </c>
      <c r="X1101" s="2">
        <v>8.4501000000000007E-2</v>
      </c>
      <c r="Y1101">
        <v>0.03</v>
      </c>
      <c r="Z1101">
        <v>0.13</v>
      </c>
      <c r="AA1101" s="20">
        <f>Table3[[#This Row],[APS]]*Table3[[#This Row],[PrimaComercial Anual]]</f>
        <v>398.51664</v>
      </c>
      <c r="AB1101" s="8">
        <f>Table3[[#This Row],[PrimaComercial Anual]]*Table3[[#This Row],[Recargo adicional]]</f>
        <v>2275.3415268000003</v>
      </c>
      <c r="AC1101" s="8">
        <f>Table3[[#This Row],[PrimaComercial Anual]]*Table3[[#This Row],[IT]]</f>
        <v>807.80399999999997</v>
      </c>
      <c r="AD1101" s="8">
        <f>Table3[[#This Row],[PrimaComercial Anual]]*Table3[[#This Row],[IVA]]</f>
        <v>3500.4839999999999</v>
      </c>
      <c r="AE1101" s="15">
        <f>Table3[[#This Row],[PrimaComercial Anual Asistencia]]</f>
        <v>26926.799999999999</v>
      </c>
      <c r="AG1101">
        <v>26926.799999999999</v>
      </c>
    </row>
    <row r="1102" spans="1:33" x14ac:dyDescent="0.25">
      <c r="A1102" t="s">
        <v>18</v>
      </c>
      <c r="B1102">
        <v>700002</v>
      </c>
      <c r="C1102">
        <v>76</v>
      </c>
      <c r="D1102" s="2">
        <f>Table3[[#This Row],[PrimaTécnica]]-Table3[[#This Row],[PrimaTécnica]]*SUM(Table3[[#This Row],[Gastos Adm]:[Cobranza]])</f>
        <v>12288.327375916797</v>
      </c>
      <c r="E1102">
        <v>0</v>
      </c>
      <c r="F1102">
        <v>0.15</v>
      </c>
      <c r="G1102">
        <v>0.05</v>
      </c>
      <c r="H1102">
        <v>0.01</v>
      </c>
      <c r="I1102">
        <v>0.01</v>
      </c>
      <c r="J1102" s="8">
        <f>Table3[[#This Row],[PrimaTécnica]]*Table3[[#This Row],[Gastos Adm]]</f>
        <v>2363.1398799839994</v>
      </c>
      <c r="K1102" s="8">
        <f>Table3[[#This Row],[PrimaTécnica]]*Table3[[#This Row],[Utilidad]]</f>
        <v>787.71329332799996</v>
      </c>
      <c r="L1102" s="8">
        <f>Table3[[#This Row],[PrimaTécnica]]*Table3[[#This Row],[Marketing]]</f>
        <v>157.54265866559999</v>
      </c>
      <c r="M1102" s="8">
        <f>Table3[[#This Row],[PrimaTécnica]]*Table3[[#This Row],[Cobranza]]</f>
        <v>157.54265866559999</v>
      </c>
      <c r="N110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102">
        <v>21.84</v>
      </c>
      <c r="P1102">
        <v>54.6</v>
      </c>
      <c r="Q1102">
        <v>80.64</v>
      </c>
      <c r="R1102">
        <v>44.377200000000002</v>
      </c>
      <c r="S1102">
        <v>0.2</v>
      </c>
      <c r="T1102">
        <v>0.02</v>
      </c>
      <c r="U1102" s="8">
        <f>Table3[[#This Row],[PrimaNeta]]*Table3[[#This Row],[Comisión]]</f>
        <v>3988.93076664</v>
      </c>
      <c r="V1102" s="15">
        <f>Table3[[#This Row],[PrimaComercial Anual]]-Table3[[#This Row],[PrimaComercial Anual]]*SUM(Table3[[#This Row],[APS]:[IVA]])</f>
        <v>19944.653833199998</v>
      </c>
      <c r="W1102" s="2">
        <v>1.4800000000000001E-2</v>
      </c>
      <c r="X1102" s="2">
        <v>8.4501000000000007E-2</v>
      </c>
      <c r="Y1102">
        <v>0.03</v>
      </c>
      <c r="Z1102">
        <v>0.13</v>
      </c>
      <c r="AA1102" s="20">
        <f>Table3[[#This Row],[APS]]*Table3[[#This Row],[PrimaComercial Anual]]</f>
        <v>398.51664</v>
      </c>
      <c r="AB1102" s="8">
        <f>Table3[[#This Row],[PrimaComercial Anual]]*Table3[[#This Row],[Recargo adicional]]</f>
        <v>2275.3415268000003</v>
      </c>
      <c r="AC1102" s="8">
        <f>Table3[[#This Row],[PrimaComercial Anual]]*Table3[[#This Row],[IT]]</f>
        <v>807.80399999999997</v>
      </c>
      <c r="AD1102" s="8">
        <f>Table3[[#This Row],[PrimaComercial Anual]]*Table3[[#This Row],[IVA]]</f>
        <v>3500.4839999999999</v>
      </c>
      <c r="AE1102" s="15">
        <f>Table3[[#This Row],[PrimaComercial Anual Asistencia]]</f>
        <v>26926.799999999999</v>
      </c>
      <c r="AG1102">
        <v>26926.799999999999</v>
      </c>
    </row>
    <row r="1103" spans="1:33" x14ac:dyDescent="0.25">
      <c r="A1103" t="s">
        <v>18</v>
      </c>
      <c r="B1103">
        <v>700002</v>
      </c>
      <c r="C1103">
        <v>77</v>
      </c>
      <c r="D1103" s="2">
        <f>Table3[[#This Row],[PrimaTécnica]]-Table3[[#This Row],[PrimaTécnica]]*SUM(Table3[[#This Row],[Gastos Adm]:[Cobranza]])</f>
        <v>12288.327375916797</v>
      </c>
      <c r="E1103">
        <v>0</v>
      </c>
      <c r="F1103">
        <v>0.15</v>
      </c>
      <c r="G1103">
        <v>0.05</v>
      </c>
      <c r="H1103">
        <v>0.01</v>
      </c>
      <c r="I1103">
        <v>0.01</v>
      </c>
      <c r="J1103" s="8">
        <f>Table3[[#This Row],[PrimaTécnica]]*Table3[[#This Row],[Gastos Adm]]</f>
        <v>2363.1398799839994</v>
      </c>
      <c r="K1103" s="8">
        <f>Table3[[#This Row],[PrimaTécnica]]*Table3[[#This Row],[Utilidad]]</f>
        <v>787.71329332799996</v>
      </c>
      <c r="L1103" s="8">
        <f>Table3[[#This Row],[PrimaTécnica]]*Table3[[#This Row],[Marketing]]</f>
        <v>157.54265866559999</v>
      </c>
      <c r="M1103" s="8">
        <f>Table3[[#This Row],[PrimaTécnica]]*Table3[[#This Row],[Cobranza]]</f>
        <v>157.54265866559999</v>
      </c>
      <c r="N110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103">
        <v>21.84</v>
      </c>
      <c r="P1103">
        <v>54.6</v>
      </c>
      <c r="Q1103">
        <v>80.64</v>
      </c>
      <c r="R1103">
        <v>44.377200000000002</v>
      </c>
      <c r="S1103">
        <v>0.2</v>
      </c>
      <c r="T1103">
        <v>0.02</v>
      </c>
      <c r="U1103" s="8">
        <f>Table3[[#This Row],[PrimaNeta]]*Table3[[#This Row],[Comisión]]</f>
        <v>3988.93076664</v>
      </c>
      <c r="V1103" s="15">
        <f>Table3[[#This Row],[PrimaComercial Anual]]-Table3[[#This Row],[PrimaComercial Anual]]*SUM(Table3[[#This Row],[APS]:[IVA]])</f>
        <v>19944.653833199998</v>
      </c>
      <c r="W1103" s="2">
        <v>1.4800000000000001E-2</v>
      </c>
      <c r="X1103" s="2">
        <v>8.4501000000000007E-2</v>
      </c>
      <c r="Y1103">
        <v>0.03</v>
      </c>
      <c r="Z1103">
        <v>0.13</v>
      </c>
      <c r="AA1103" s="20">
        <f>Table3[[#This Row],[APS]]*Table3[[#This Row],[PrimaComercial Anual]]</f>
        <v>398.51664</v>
      </c>
      <c r="AB1103" s="8">
        <f>Table3[[#This Row],[PrimaComercial Anual]]*Table3[[#This Row],[Recargo adicional]]</f>
        <v>2275.3415268000003</v>
      </c>
      <c r="AC1103" s="8">
        <f>Table3[[#This Row],[PrimaComercial Anual]]*Table3[[#This Row],[IT]]</f>
        <v>807.80399999999997</v>
      </c>
      <c r="AD1103" s="8">
        <f>Table3[[#This Row],[PrimaComercial Anual]]*Table3[[#This Row],[IVA]]</f>
        <v>3500.4839999999999</v>
      </c>
      <c r="AE1103" s="15">
        <f>Table3[[#This Row],[PrimaComercial Anual Asistencia]]</f>
        <v>26926.799999999999</v>
      </c>
      <c r="AG1103">
        <v>26926.799999999999</v>
      </c>
    </row>
    <row r="1104" spans="1:33" x14ac:dyDescent="0.25">
      <c r="A1104" t="s">
        <v>18</v>
      </c>
      <c r="B1104">
        <v>700002</v>
      </c>
      <c r="C1104">
        <v>78</v>
      </c>
      <c r="D1104" s="2">
        <f>Table3[[#This Row],[PrimaTécnica]]-Table3[[#This Row],[PrimaTécnica]]*SUM(Table3[[#This Row],[Gastos Adm]:[Cobranza]])</f>
        <v>12288.327375916797</v>
      </c>
      <c r="E1104">
        <v>0</v>
      </c>
      <c r="F1104">
        <v>0.15</v>
      </c>
      <c r="G1104">
        <v>0.05</v>
      </c>
      <c r="H1104">
        <v>0.01</v>
      </c>
      <c r="I1104">
        <v>0.01</v>
      </c>
      <c r="J1104" s="8">
        <f>Table3[[#This Row],[PrimaTécnica]]*Table3[[#This Row],[Gastos Adm]]</f>
        <v>2363.1398799839994</v>
      </c>
      <c r="K1104" s="8">
        <f>Table3[[#This Row],[PrimaTécnica]]*Table3[[#This Row],[Utilidad]]</f>
        <v>787.71329332799996</v>
      </c>
      <c r="L1104" s="8">
        <f>Table3[[#This Row],[PrimaTécnica]]*Table3[[#This Row],[Marketing]]</f>
        <v>157.54265866559999</v>
      </c>
      <c r="M1104" s="8">
        <f>Table3[[#This Row],[PrimaTécnica]]*Table3[[#This Row],[Cobranza]]</f>
        <v>157.54265866559999</v>
      </c>
      <c r="N110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104">
        <v>21.84</v>
      </c>
      <c r="P1104">
        <v>54.6</v>
      </c>
      <c r="Q1104">
        <v>80.64</v>
      </c>
      <c r="R1104">
        <v>44.377200000000002</v>
      </c>
      <c r="S1104">
        <v>0.2</v>
      </c>
      <c r="T1104">
        <v>0.02</v>
      </c>
      <c r="U1104" s="8">
        <f>Table3[[#This Row],[PrimaNeta]]*Table3[[#This Row],[Comisión]]</f>
        <v>3988.93076664</v>
      </c>
      <c r="V1104" s="15">
        <f>Table3[[#This Row],[PrimaComercial Anual]]-Table3[[#This Row],[PrimaComercial Anual]]*SUM(Table3[[#This Row],[APS]:[IVA]])</f>
        <v>19944.653833199998</v>
      </c>
      <c r="W1104" s="2">
        <v>1.4800000000000001E-2</v>
      </c>
      <c r="X1104" s="2">
        <v>8.4501000000000007E-2</v>
      </c>
      <c r="Y1104">
        <v>0.03</v>
      </c>
      <c r="Z1104">
        <v>0.13</v>
      </c>
      <c r="AA1104" s="20">
        <f>Table3[[#This Row],[APS]]*Table3[[#This Row],[PrimaComercial Anual]]</f>
        <v>398.51664</v>
      </c>
      <c r="AB1104" s="8">
        <f>Table3[[#This Row],[PrimaComercial Anual]]*Table3[[#This Row],[Recargo adicional]]</f>
        <v>2275.3415268000003</v>
      </c>
      <c r="AC1104" s="8">
        <f>Table3[[#This Row],[PrimaComercial Anual]]*Table3[[#This Row],[IT]]</f>
        <v>807.80399999999997</v>
      </c>
      <c r="AD1104" s="8">
        <f>Table3[[#This Row],[PrimaComercial Anual]]*Table3[[#This Row],[IVA]]</f>
        <v>3500.4839999999999</v>
      </c>
      <c r="AE1104" s="15">
        <f>Table3[[#This Row],[PrimaComercial Anual Asistencia]]</f>
        <v>26926.799999999999</v>
      </c>
      <c r="AG1104">
        <v>26926.799999999999</v>
      </c>
    </row>
    <row r="1105" spans="1:33" x14ac:dyDescent="0.25">
      <c r="A1105" t="s">
        <v>18</v>
      </c>
      <c r="B1105">
        <v>700002</v>
      </c>
      <c r="C1105">
        <v>79</v>
      </c>
      <c r="D1105" s="2">
        <f>Table3[[#This Row],[PrimaTécnica]]-Table3[[#This Row],[PrimaTécnica]]*SUM(Table3[[#This Row],[Gastos Adm]:[Cobranza]])</f>
        <v>12288.327375916797</v>
      </c>
      <c r="E1105">
        <v>0</v>
      </c>
      <c r="F1105">
        <v>0.15</v>
      </c>
      <c r="G1105">
        <v>0.05</v>
      </c>
      <c r="H1105">
        <v>0.01</v>
      </c>
      <c r="I1105">
        <v>0.01</v>
      </c>
      <c r="J1105" s="8">
        <f>Table3[[#This Row],[PrimaTécnica]]*Table3[[#This Row],[Gastos Adm]]</f>
        <v>2363.1398799839994</v>
      </c>
      <c r="K1105" s="8">
        <f>Table3[[#This Row],[PrimaTécnica]]*Table3[[#This Row],[Utilidad]]</f>
        <v>787.71329332799996</v>
      </c>
      <c r="L1105" s="8">
        <f>Table3[[#This Row],[PrimaTécnica]]*Table3[[#This Row],[Marketing]]</f>
        <v>157.54265866559999</v>
      </c>
      <c r="M1105" s="8">
        <f>Table3[[#This Row],[PrimaTécnica]]*Table3[[#This Row],[Cobranza]]</f>
        <v>157.54265866559999</v>
      </c>
      <c r="N110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105">
        <v>21.84</v>
      </c>
      <c r="P1105">
        <v>54.6</v>
      </c>
      <c r="Q1105">
        <v>80.64</v>
      </c>
      <c r="R1105">
        <v>44.377200000000002</v>
      </c>
      <c r="S1105">
        <v>0.2</v>
      </c>
      <c r="T1105">
        <v>0.02</v>
      </c>
      <c r="U1105" s="8">
        <f>Table3[[#This Row],[PrimaNeta]]*Table3[[#This Row],[Comisión]]</f>
        <v>3988.93076664</v>
      </c>
      <c r="V1105" s="15">
        <f>Table3[[#This Row],[PrimaComercial Anual]]-Table3[[#This Row],[PrimaComercial Anual]]*SUM(Table3[[#This Row],[APS]:[IVA]])</f>
        <v>19944.653833199998</v>
      </c>
      <c r="W1105" s="2">
        <v>1.4800000000000001E-2</v>
      </c>
      <c r="X1105" s="2">
        <v>8.4501000000000007E-2</v>
      </c>
      <c r="Y1105">
        <v>0.03</v>
      </c>
      <c r="Z1105">
        <v>0.13</v>
      </c>
      <c r="AA1105" s="20">
        <f>Table3[[#This Row],[APS]]*Table3[[#This Row],[PrimaComercial Anual]]</f>
        <v>398.51664</v>
      </c>
      <c r="AB1105" s="8">
        <f>Table3[[#This Row],[PrimaComercial Anual]]*Table3[[#This Row],[Recargo adicional]]</f>
        <v>2275.3415268000003</v>
      </c>
      <c r="AC1105" s="8">
        <f>Table3[[#This Row],[PrimaComercial Anual]]*Table3[[#This Row],[IT]]</f>
        <v>807.80399999999997</v>
      </c>
      <c r="AD1105" s="8">
        <f>Table3[[#This Row],[PrimaComercial Anual]]*Table3[[#This Row],[IVA]]</f>
        <v>3500.4839999999999</v>
      </c>
      <c r="AE1105" s="15">
        <f>Table3[[#This Row],[PrimaComercial Anual Asistencia]]</f>
        <v>26926.799999999999</v>
      </c>
      <c r="AG1105">
        <v>26926.799999999999</v>
      </c>
    </row>
    <row r="1106" spans="1:33" x14ac:dyDescent="0.25">
      <c r="A1106" t="s">
        <v>18</v>
      </c>
      <c r="B1106">
        <v>700002</v>
      </c>
      <c r="C1106">
        <v>80</v>
      </c>
      <c r="D1106" s="2">
        <f>Table3[[#This Row],[PrimaTécnica]]-Table3[[#This Row],[PrimaTécnica]]*SUM(Table3[[#This Row],[Gastos Adm]:[Cobranza]])</f>
        <v>12288.327375916797</v>
      </c>
      <c r="E1106">
        <v>0</v>
      </c>
      <c r="F1106">
        <v>0.15</v>
      </c>
      <c r="G1106">
        <v>0.05</v>
      </c>
      <c r="H1106">
        <v>0.01</v>
      </c>
      <c r="I1106">
        <v>0.01</v>
      </c>
      <c r="J1106" s="8">
        <f>Table3[[#This Row],[PrimaTécnica]]*Table3[[#This Row],[Gastos Adm]]</f>
        <v>2363.1398799839994</v>
      </c>
      <c r="K1106" s="8">
        <f>Table3[[#This Row],[PrimaTécnica]]*Table3[[#This Row],[Utilidad]]</f>
        <v>787.71329332799996</v>
      </c>
      <c r="L1106" s="8">
        <f>Table3[[#This Row],[PrimaTécnica]]*Table3[[#This Row],[Marketing]]</f>
        <v>157.54265866559999</v>
      </c>
      <c r="M1106" s="8">
        <f>Table3[[#This Row],[PrimaTécnica]]*Table3[[#This Row],[Cobranza]]</f>
        <v>157.54265866559999</v>
      </c>
      <c r="N110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106">
        <v>21.84</v>
      </c>
      <c r="P1106">
        <v>54.6</v>
      </c>
      <c r="Q1106">
        <v>80.64</v>
      </c>
      <c r="R1106">
        <v>44.377200000000002</v>
      </c>
      <c r="S1106">
        <v>0.2</v>
      </c>
      <c r="T1106">
        <v>0.02</v>
      </c>
      <c r="U1106" s="8">
        <f>Table3[[#This Row],[PrimaNeta]]*Table3[[#This Row],[Comisión]]</f>
        <v>3988.93076664</v>
      </c>
      <c r="V1106" s="15">
        <f>Table3[[#This Row],[PrimaComercial Anual]]-Table3[[#This Row],[PrimaComercial Anual]]*SUM(Table3[[#This Row],[APS]:[IVA]])</f>
        <v>19944.653833199998</v>
      </c>
      <c r="W1106" s="2">
        <v>1.4800000000000001E-2</v>
      </c>
      <c r="X1106" s="2">
        <v>8.4501000000000007E-2</v>
      </c>
      <c r="Y1106">
        <v>0.03</v>
      </c>
      <c r="Z1106">
        <v>0.13</v>
      </c>
      <c r="AA1106" s="20">
        <f>Table3[[#This Row],[APS]]*Table3[[#This Row],[PrimaComercial Anual]]</f>
        <v>398.51664</v>
      </c>
      <c r="AB1106" s="8">
        <f>Table3[[#This Row],[PrimaComercial Anual]]*Table3[[#This Row],[Recargo adicional]]</f>
        <v>2275.3415268000003</v>
      </c>
      <c r="AC1106" s="8">
        <f>Table3[[#This Row],[PrimaComercial Anual]]*Table3[[#This Row],[IT]]</f>
        <v>807.80399999999997</v>
      </c>
      <c r="AD1106" s="8">
        <f>Table3[[#This Row],[PrimaComercial Anual]]*Table3[[#This Row],[IVA]]</f>
        <v>3500.4839999999999</v>
      </c>
      <c r="AE1106" s="15">
        <f>Table3[[#This Row],[PrimaComercial Anual Asistencia]]</f>
        <v>26926.799999999999</v>
      </c>
      <c r="AG1106">
        <v>26926.799999999999</v>
      </c>
    </row>
    <row r="1107" spans="1:33" x14ac:dyDescent="0.25">
      <c r="A1107" t="s">
        <v>18</v>
      </c>
      <c r="B1107">
        <v>700002</v>
      </c>
      <c r="C1107">
        <v>81</v>
      </c>
      <c r="D1107" s="2">
        <f>Table3[[#This Row],[PrimaTécnica]]-Table3[[#This Row],[PrimaTécnica]]*SUM(Table3[[#This Row],[Gastos Adm]:[Cobranza]])</f>
        <v>12288.327375916797</v>
      </c>
      <c r="E1107">
        <v>0</v>
      </c>
      <c r="F1107">
        <v>0.15</v>
      </c>
      <c r="G1107">
        <v>0.05</v>
      </c>
      <c r="H1107">
        <v>0.01</v>
      </c>
      <c r="I1107">
        <v>0.01</v>
      </c>
      <c r="J1107" s="8">
        <f>Table3[[#This Row],[PrimaTécnica]]*Table3[[#This Row],[Gastos Adm]]</f>
        <v>2363.1398799839994</v>
      </c>
      <c r="K1107" s="8">
        <f>Table3[[#This Row],[PrimaTécnica]]*Table3[[#This Row],[Utilidad]]</f>
        <v>787.71329332799996</v>
      </c>
      <c r="L1107" s="8">
        <f>Table3[[#This Row],[PrimaTécnica]]*Table3[[#This Row],[Marketing]]</f>
        <v>157.54265866559999</v>
      </c>
      <c r="M1107" s="8">
        <f>Table3[[#This Row],[PrimaTécnica]]*Table3[[#This Row],[Cobranza]]</f>
        <v>157.54265866559999</v>
      </c>
      <c r="N110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107">
        <v>21.84</v>
      </c>
      <c r="P1107">
        <v>54.6</v>
      </c>
      <c r="Q1107">
        <v>80.64</v>
      </c>
      <c r="R1107">
        <v>44.377200000000002</v>
      </c>
      <c r="S1107">
        <v>0.2</v>
      </c>
      <c r="T1107">
        <v>0.02</v>
      </c>
      <c r="U1107" s="8">
        <f>Table3[[#This Row],[PrimaNeta]]*Table3[[#This Row],[Comisión]]</f>
        <v>3988.93076664</v>
      </c>
      <c r="V1107" s="15">
        <f>Table3[[#This Row],[PrimaComercial Anual]]-Table3[[#This Row],[PrimaComercial Anual]]*SUM(Table3[[#This Row],[APS]:[IVA]])</f>
        <v>19944.653833199998</v>
      </c>
      <c r="W1107" s="2">
        <v>1.4800000000000001E-2</v>
      </c>
      <c r="X1107" s="2">
        <v>8.4501000000000007E-2</v>
      </c>
      <c r="Y1107">
        <v>0.03</v>
      </c>
      <c r="Z1107">
        <v>0.13</v>
      </c>
      <c r="AA1107" s="20">
        <f>Table3[[#This Row],[APS]]*Table3[[#This Row],[PrimaComercial Anual]]</f>
        <v>398.51664</v>
      </c>
      <c r="AB1107" s="8">
        <f>Table3[[#This Row],[PrimaComercial Anual]]*Table3[[#This Row],[Recargo adicional]]</f>
        <v>2275.3415268000003</v>
      </c>
      <c r="AC1107" s="8">
        <f>Table3[[#This Row],[PrimaComercial Anual]]*Table3[[#This Row],[IT]]</f>
        <v>807.80399999999997</v>
      </c>
      <c r="AD1107" s="8">
        <f>Table3[[#This Row],[PrimaComercial Anual]]*Table3[[#This Row],[IVA]]</f>
        <v>3500.4839999999999</v>
      </c>
      <c r="AE1107" s="15">
        <f>Table3[[#This Row],[PrimaComercial Anual Asistencia]]</f>
        <v>26926.799999999999</v>
      </c>
      <c r="AG1107">
        <v>26926.799999999999</v>
      </c>
    </row>
    <row r="1108" spans="1:33" x14ac:dyDescent="0.25">
      <c r="A1108" t="s">
        <v>18</v>
      </c>
      <c r="B1108">
        <v>700002</v>
      </c>
      <c r="C1108">
        <v>82</v>
      </c>
      <c r="D1108" s="2">
        <f>Table3[[#This Row],[PrimaTécnica]]-Table3[[#This Row],[PrimaTécnica]]*SUM(Table3[[#This Row],[Gastos Adm]:[Cobranza]])</f>
        <v>12288.327375916797</v>
      </c>
      <c r="E1108">
        <v>0</v>
      </c>
      <c r="F1108">
        <v>0.15</v>
      </c>
      <c r="G1108">
        <v>0.05</v>
      </c>
      <c r="H1108">
        <v>0.01</v>
      </c>
      <c r="I1108">
        <v>0.01</v>
      </c>
      <c r="J1108" s="8">
        <f>Table3[[#This Row],[PrimaTécnica]]*Table3[[#This Row],[Gastos Adm]]</f>
        <v>2363.1398799839994</v>
      </c>
      <c r="K1108" s="8">
        <f>Table3[[#This Row],[PrimaTécnica]]*Table3[[#This Row],[Utilidad]]</f>
        <v>787.71329332799996</v>
      </c>
      <c r="L1108" s="8">
        <f>Table3[[#This Row],[PrimaTécnica]]*Table3[[#This Row],[Marketing]]</f>
        <v>157.54265866559999</v>
      </c>
      <c r="M1108" s="8">
        <f>Table3[[#This Row],[PrimaTécnica]]*Table3[[#This Row],[Cobranza]]</f>
        <v>157.54265866559999</v>
      </c>
      <c r="N110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108">
        <v>21.84</v>
      </c>
      <c r="P1108">
        <v>54.6</v>
      </c>
      <c r="Q1108">
        <v>80.64</v>
      </c>
      <c r="R1108">
        <v>44.377200000000002</v>
      </c>
      <c r="S1108">
        <v>0.2</v>
      </c>
      <c r="T1108">
        <v>0.02</v>
      </c>
      <c r="U1108" s="8">
        <f>Table3[[#This Row],[PrimaNeta]]*Table3[[#This Row],[Comisión]]</f>
        <v>3988.93076664</v>
      </c>
      <c r="V1108" s="15">
        <f>Table3[[#This Row],[PrimaComercial Anual]]-Table3[[#This Row],[PrimaComercial Anual]]*SUM(Table3[[#This Row],[APS]:[IVA]])</f>
        <v>19944.653833199998</v>
      </c>
      <c r="W1108" s="2">
        <v>1.4800000000000001E-2</v>
      </c>
      <c r="X1108" s="2">
        <v>8.4501000000000007E-2</v>
      </c>
      <c r="Y1108">
        <v>0.03</v>
      </c>
      <c r="Z1108">
        <v>0.13</v>
      </c>
      <c r="AA1108" s="20">
        <f>Table3[[#This Row],[APS]]*Table3[[#This Row],[PrimaComercial Anual]]</f>
        <v>398.51664</v>
      </c>
      <c r="AB1108" s="8">
        <f>Table3[[#This Row],[PrimaComercial Anual]]*Table3[[#This Row],[Recargo adicional]]</f>
        <v>2275.3415268000003</v>
      </c>
      <c r="AC1108" s="8">
        <f>Table3[[#This Row],[PrimaComercial Anual]]*Table3[[#This Row],[IT]]</f>
        <v>807.80399999999997</v>
      </c>
      <c r="AD1108" s="8">
        <f>Table3[[#This Row],[PrimaComercial Anual]]*Table3[[#This Row],[IVA]]</f>
        <v>3500.4839999999999</v>
      </c>
      <c r="AE1108" s="15">
        <f>Table3[[#This Row],[PrimaComercial Anual Asistencia]]</f>
        <v>26926.799999999999</v>
      </c>
      <c r="AG1108">
        <v>26926.799999999999</v>
      </c>
    </row>
    <row r="1109" spans="1:33" x14ac:dyDescent="0.25">
      <c r="A1109" t="s">
        <v>18</v>
      </c>
      <c r="B1109">
        <v>700002</v>
      </c>
      <c r="C1109">
        <v>83</v>
      </c>
      <c r="D1109" s="2">
        <f>Table3[[#This Row],[PrimaTécnica]]-Table3[[#This Row],[PrimaTécnica]]*SUM(Table3[[#This Row],[Gastos Adm]:[Cobranza]])</f>
        <v>12288.327375916797</v>
      </c>
      <c r="E1109">
        <v>0</v>
      </c>
      <c r="F1109">
        <v>0.15</v>
      </c>
      <c r="G1109">
        <v>0.05</v>
      </c>
      <c r="H1109">
        <v>0.01</v>
      </c>
      <c r="I1109">
        <v>0.01</v>
      </c>
      <c r="J1109" s="8">
        <f>Table3[[#This Row],[PrimaTécnica]]*Table3[[#This Row],[Gastos Adm]]</f>
        <v>2363.1398799839994</v>
      </c>
      <c r="K1109" s="8">
        <f>Table3[[#This Row],[PrimaTécnica]]*Table3[[#This Row],[Utilidad]]</f>
        <v>787.71329332799996</v>
      </c>
      <c r="L1109" s="8">
        <f>Table3[[#This Row],[PrimaTécnica]]*Table3[[#This Row],[Marketing]]</f>
        <v>157.54265866559999</v>
      </c>
      <c r="M1109" s="8">
        <f>Table3[[#This Row],[PrimaTécnica]]*Table3[[#This Row],[Cobranza]]</f>
        <v>157.54265866559999</v>
      </c>
      <c r="N110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109">
        <v>21.84</v>
      </c>
      <c r="P1109">
        <v>54.6</v>
      </c>
      <c r="Q1109">
        <v>80.64</v>
      </c>
      <c r="R1109">
        <v>44.377200000000002</v>
      </c>
      <c r="S1109">
        <v>0.2</v>
      </c>
      <c r="T1109">
        <v>0.02</v>
      </c>
      <c r="U1109" s="8">
        <f>Table3[[#This Row],[PrimaNeta]]*Table3[[#This Row],[Comisión]]</f>
        <v>3988.93076664</v>
      </c>
      <c r="V1109" s="15">
        <f>Table3[[#This Row],[PrimaComercial Anual]]-Table3[[#This Row],[PrimaComercial Anual]]*SUM(Table3[[#This Row],[APS]:[IVA]])</f>
        <v>19944.653833199998</v>
      </c>
      <c r="W1109" s="2">
        <v>1.4800000000000001E-2</v>
      </c>
      <c r="X1109" s="2">
        <v>8.4501000000000007E-2</v>
      </c>
      <c r="Y1109">
        <v>0.03</v>
      </c>
      <c r="Z1109">
        <v>0.13</v>
      </c>
      <c r="AA1109" s="20">
        <f>Table3[[#This Row],[APS]]*Table3[[#This Row],[PrimaComercial Anual]]</f>
        <v>398.51664</v>
      </c>
      <c r="AB1109" s="8">
        <f>Table3[[#This Row],[PrimaComercial Anual]]*Table3[[#This Row],[Recargo adicional]]</f>
        <v>2275.3415268000003</v>
      </c>
      <c r="AC1109" s="8">
        <f>Table3[[#This Row],[PrimaComercial Anual]]*Table3[[#This Row],[IT]]</f>
        <v>807.80399999999997</v>
      </c>
      <c r="AD1109" s="8">
        <f>Table3[[#This Row],[PrimaComercial Anual]]*Table3[[#This Row],[IVA]]</f>
        <v>3500.4839999999999</v>
      </c>
      <c r="AE1109" s="15">
        <f>Table3[[#This Row],[PrimaComercial Anual Asistencia]]</f>
        <v>26926.799999999999</v>
      </c>
      <c r="AG1109">
        <v>26926.799999999999</v>
      </c>
    </row>
    <row r="1110" spans="1:33" x14ac:dyDescent="0.25">
      <c r="A1110" t="s">
        <v>18</v>
      </c>
      <c r="B1110">
        <v>700002</v>
      </c>
      <c r="C1110">
        <v>84</v>
      </c>
      <c r="D1110" s="2">
        <f>Table3[[#This Row],[PrimaTécnica]]-Table3[[#This Row],[PrimaTécnica]]*SUM(Table3[[#This Row],[Gastos Adm]:[Cobranza]])</f>
        <v>12288.327375916797</v>
      </c>
      <c r="E1110">
        <v>0</v>
      </c>
      <c r="F1110">
        <v>0.15</v>
      </c>
      <c r="G1110">
        <v>0.05</v>
      </c>
      <c r="H1110">
        <v>0.01</v>
      </c>
      <c r="I1110">
        <v>0.01</v>
      </c>
      <c r="J1110" s="8">
        <f>Table3[[#This Row],[PrimaTécnica]]*Table3[[#This Row],[Gastos Adm]]</f>
        <v>2363.1398799839994</v>
      </c>
      <c r="K1110" s="8">
        <f>Table3[[#This Row],[PrimaTécnica]]*Table3[[#This Row],[Utilidad]]</f>
        <v>787.71329332799996</v>
      </c>
      <c r="L1110" s="8">
        <f>Table3[[#This Row],[PrimaTécnica]]*Table3[[#This Row],[Marketing]]</f>
        <v>157.54265866559999</v>
      </c>
      <c r="M1110" s="8">
        <f>Table3[[#This Row],[PrimaTécnica]]*Table3[[#This Row],[Cobranza]]</f>
        <v>157.54265866559999</v>
      </c>
      <c r="N111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110">
        <v>21.84</v>
      </c>
      <c r="P1110">
        <v>54.6</v>
      </c>
      <c r="Q1110">
        <v>80.64</v>
      </c>
      <c r="R1110">
        <v>44.377200000000002</v>
      </c>
      <c r="S1110">
        <v>0.2</v>
      </c>
      <c r="T1110">
        <v>0.02</v>
      </c>
      <c r="U1110" s="8">
        <f>Table3[[#This Row],[PrimaNeta]]*Table3[[#This Row],[Comisión]]</f>
        <v>3988.93076664</v>
      </c>
      <c r="V1110" s="15">
        <f>Table3[[#This Row],[PrimaComercial Anual]]-Table3[[#This Row],[PrimaComercial Anual]]*SUM(Table3[[#This Row],[APS]:[IVA]])</f>
        <v>19944.653833199998</v>
      </c>
      <c r="W1110" s="2">
        <v>1.4800000000000001E-2</v>
      </c>
      <c r="X1110" s="2">
        <v>8.4501000000000007E-2</v>
      </c>
      <c r="Y1110">
        <v>0.03</v>
      </c>
      <c r="Z1110">
        <v>0.13</v>
      </c>
      <c r="AA1110" s="20">
        <f>Table3[[#This Row],[APS]]*Table3[[#This Row],[PrimaComercial Anual]]</f>
        <v>398.51664</v>
      </c>
      <c r="AB1110" s="8">
        <f>Table3[[#This Row],[PrimaComercial Anual]]*Table3[[#This Row],[Recargo adicional]]</f>
        <v>2275.3415268000003</v>
      </c>
      <c r="AC1110" s="8">
        <f>Table3[[#This Row],[PrimaComercial Anual]]*Table3[[#This Row],[IT]]</f>
        <v>807.80399999999997</v>
      </c>
      <c r="AD1110" s="8">
        <f>Table3[[#This Row],[PrimaComercial Anual]]*Table3[[#This Row],[IVA]]</f>
        <v>3500.4839999999999</v>
      </c>
      <c r="AE1110" s="15">
        <f>Table3[[#This Row],[PrimaComercial Anual Asistencia]]</f>
        <v>26926.799999999999</v>
      </c>
      <c r="AG1110">
        <v>26926.799999999999</v>
      </c>
    </row>
    <row r="1111" spans="1:33" x14ac:dyDescent="0.25">
      <c r="A1111" t="s">
        <v>18</v>
      </c>
      <c r="B1111">
        <v>700002</v>
      </c>
      <c r="C1111">
        <v>85</v>
      </c>
      <c r="D1111" s="2">
        <f>Table3[[#This Row],[PrimaTécnica]]-Table3[[#This Row],[PrimaTécnica]]*SUM(Table3[[#This Row],[Gastos Adm]:[Cobranza]])</f>
        <v>12288.327375916797</v>
      </c>
      <c r="E1111">
        <v>0</v>
      </c>
      <c r="F1111">
        <v>0.15</v>
      </c>
      <c r="G1111">
        <v>0.05</v>
      </c>
      <c r="H1111">
        <v>0.01</v>
      </c>
      <c r="I1111">
        <v>0.01</v>
      </c>
      <c r="J1111" s="8">
        <f>Table3[[#This Row],[PrimaTécnica]]*Table3[[#This Row],[Gastos Adm]]</f>
        <v>2363.1398799839994</v>
      </c>
      <c r="K1111" s="8">
        <f>Table3[[#This Row],[PrimaTécnica]]*Table3[[#This Row],[Utilidad]]</f>
        <v>787.71329332799996</v>
      </c>
      <c r="L1111" s="8">
        <f>Table3[[#This Row],[PrimaTécnica]]*Table3[[#This Row],[Marketing]]</f>
        <v>157.54265866559999</v>
      </c>
      <c r="M1111" s="8">
        <f>Table3[[#This Row],[PrimaTécnica]]*Table3[[#This Row],[Cobranza]]</f>
        <v>157.54265866559999</v>
      </c>
      <c r="N111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111">
        <v>21.84</v>
      </c>
      <c r="P1111">
        <v>54.6</v>
      </c>
      <c r="Q1111">
        <v>80.64</v>
      </c>
      <c r="R1111">
        <v>44.377200000000002</v>
      </c>
      <c r="S1111">
        <v>0.2</v>
      </c>
      <c r="T1111">
        <v>0.02</v>
      </c>
      <c r="U1111" s="8">
        <f>Table3[[#This Row],[PrimaNeta]]*Table3[[#This Row],[Comisión]]</f>
        <v>3988.93076664</v>
      </c>
      <c r="V1111" s="15">
        <f>Table3[[#This Row],[PrimaComercial Anual]]-Table3[[#This Row],[PrimaComercial Anual]]*SUM(Table3[[#This Row],[APS]:[IVA]])</f>
        <v>19944.653833199998</v>
      </c>
      <c r="W1111" s="2">
        <v>1.4800000000000001E-2</v>
      </c>
      <c r="X1111" s="2">
        <v>8.4501000000000007E-2</v>
      </c>
      <c r="Y1111">
        <v>0.03</v>
      </c>
      <c r="Z1111">
        <v>0.13</v>
      </c>
      <c r="AA1111" s="20">
        <f>Table3[[#This Row],[APS]]*Table3[[#This Row],[PrimaComercial Anual]]</f>
        <v>398.51664</v>
      </c>
      <c r="AB1111" s="8">
        <f>Table3[[#This Row],[PrimaComercial Anual]]*Table3[[#This Row],[Recargo adicional]]</f>
        <v>2275.3415268000003</v>
      </c>
      <c r="AC1111" s="8">
        <f>Table3[[#This Row],[PrimaComercial Anual]]*Table3[[#This Row],[IT]]</f>
        <v>807.80399999999997</v>
      </c>
      <c r="AD1111" s="8">
        <f>Table3[[#This Row],[PrimaComercial Anual]]*Table3[[#This Row],[IVA]]</f>
        <v>3500.4839999999999</v>
      </c>
      <c r="AE1111" s="15">
        <f>Table3[[#This Row],[PrimaComercial Anual Asistencia]]</f>
        <v>26926.799999999999</v>
      </c>
      <c r="AG1111">
        <v>26926.799999999999</v>
      </c>
    </row>
    <row r="1112" spans="1:33" x14ac:dyDescent="0.25">
      <c r="A1112" t="s">
        <v>18</v>
      </c>
      <c r="B1112">
        <v>700002</v>
      </c>
      <c r="C1112">
        <v>86</v>
      </c>
      <c r="D1112" s="2">
        <f>Table3[[#This Row],[PrimaTécnica]]-Table3[[#This Row],[PrimaTécnica]]*SUM(Table3[[#This Row],[Gastos Adm]:[Cobranza]])</f>
        <v>12288.327375916797</v>
      </c>
      <c r="E1112">
        <v>0</v>
      </c>
      <c r="F1112">
        <v>0.15</v>
      </c>
      <c r="G1112">
        <v>0.05</v>
      </c>
      <c r="H1112">
        <v>0.01</v>
      </c>
      <c r="I1112">
        <v>0.01</v>
      </c>
      <c r="J1112" s="8">
        <f>Table3[[#This Row],[PrimaTécnica]]*Table3[[#This Row],[Gastos Adm]]</f>
        <v>2363.1398799839994</v>
      </c>
      <c r="K1112" s="8">
        <f>Table3[[#This Row],[PrimaTécnica]]*Table3[[#This Row],[Utilidad]]</f>
        <v>787.71329332799996</v>
      </c>
      <c r="L1112" s="8">
        <f>Table3[[#This Row],[PrimaTécnica]]*Table3[[#This Row],[Marketing]]</f>
        <v>157.54265866559999</v>
      </c>
      <c r="M1112" s="8">
        <f>Table3[[#This Row],[PrimaTécnica]]*Table3[[#This Row],[Cobranza]]</f>
        <v>157.54265866559999</v>
      </c>
      <c r="N111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112">
        <v>21.84</v>
      </c>
      <c r="P1112">
        <v>54.6</v>
      </c>
      <c r="Q1112">
        <v>80.64</v>
      </c>
      <c r="R1112">
        <v>44.377200000000002</v>
      </c>
      <c r="S1112">
        <v>0.2</v>
      </c>
      <c r="T1112">
        <v>0.02</v>
      </c>
      <c r="U1112" s="8">
        <f>Table3[[#This Row],[PrimaNeta]]*Table3[[#This Row],[Comisión]]</f>
        <v>3988.93076664</v>
      </c>
      <c r="V1112" s="15">
        <f>Table3[[#This Row],[PrimaComercial Anual]]-Table3[[#This Row],[PrimaComercial Anual]]*SUM(Table3[[#This Row],[APS]:[IVA]])</f>
        <v>19944.653833199998</v>
      </c>
      <c r="W1112" s="2">
        <v>1.4800000000000001E-2</v>
      </c>
      <c r="X1112" s="2">
        <v>8.4501000000000007E-2</v>
      </c>
      <c r="Y1112">
        <v>0.03</v>
      </c>
      <c r="Z1112">
        <v>0.13</v>
      </c>
      <c r="AA1112" s="20">
        <f>Table3[[#This Row],[APS]]*Table3[[#This Row],[PrimaComercial Anual]]</f>
        <v>398.51664</v>
      </c>
      <c r="AB1112" s="8">
        <f>Table3[[#This Row],[PrimaComercial Anual]]*Table3[[#This Row],[Recargo adicional]]</f>
        <v>2275.3415268000003</v>
      </c>
      <c r="AC1112" s="8">
        <f>Table3[[#This Row],[PrimaComercial Anual]]*Table3[[#This Row],[IT]]</f>
        <v>807.80399999999997</v>
      </c>
      <c r="AD1112" s="8">
        <f>Table3[[#This Row],[PrimaComercial Anual]]*Table3[[#This Row],[IVA]]</f>
        <v>3500.4839999999999</v>
      </c>
      <c r="AE1112" s="15">
        <f>Table3[[#This Row],[PrimaComercial Anual Asistencia]]</f>
        <v>26926.799999999999</v>
      </c>
      <c r="AG1112">
        <v>26926.799999999999</v>
      </c>
    </row>
    <row r="1113" spans="1:33" x14ac:dyDescent="0.25">
      <c r="A1113" t="s">
        <v>18</v>
      </c>
      <c r="B1113">
        <v>700002</v>
      </c>
      <c r="C1113">
        <v>87</v>
      </c>
      <c r="D1113" s="2">
        <f>Table3[[#This Row],[PrimaTécnica]]-Table3[[#This Row],[PrimaTécnica]]*SUM(Table3[[#This Row],[Gastos Adm]:[Cobranza]])</f>
        <v>12288.327375916797</v>
      </c>
      <c r="E1113">
        <v>0</v>
      </c>
      <c r="F1113">
        <v>0.15</v>
      </c>
      <c r="G1113">
        <v>0.05</v>
      </c>
      <c r="H1113">
        <v>0.01</v>
      </c>
      <c r="I1113">
        <v>0.01</v>
      </c>
      <c r="J1113" s="8">
        <f>Table3[[#This Row],[PrimaTécnica]]*Table3[[#This Row],[Gastos Adm]]</f>
        <v>2363.1398799839994</v>
      </c>
      <c r="K1113" s="8">
        <f>Table3[[#This Row],[PrimaTécnica]]*Table3[[#This Row],[Utilidad]]</f>
        <v>787.71329332799996</v>
      </c>
      <c r="L1113" s="8">
        <f>Table3[[#This Row],[PrimaTécnica]]*Table3[[#This Row],[Marketing]]</f>
        <v>157.54265866559999</v>
      </c>
      <c r="M1113" s="8">
        <f>Table3[[#This Row],[PrimaTécnica]]*Table3[[#This Row],[Cobranza]]</f>
        <v>157.54265866559999</v>
      </c>
      <c r="N111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113">
        <v>21.84</v>
      </c>
      <c r="P1113">
        <v>54.6</v>
      </c>
      <c r="Q1113">
        <v>80.64</v>
      </c>
      <c r="R1113">
        <v>44.377200000000002</v>
      </c>
      <c r="S1113">
        <v>0.2</v>
      </c>
      <c r="T1113">
        <v>0.02</v>
      </c>
      <c r="U1113" s="8">
        <f>Table3[[#This Row],[PrimaNeta]]*Table3[[#This Row],[Comisión]]</f>
        <v>3988.93076664</v>
      </c>
      <c r="V1113" s="15">
        <f>Table3[[#This Row],[PrimaComercial Anual]]-Table3[[#This Row],[PrimaComercial Anual]]*SUM(Table3[[#This Row],[APS]:[IVA]])</f>
        <v>19944.653833199998</v>
      </c>
      <c r="W1113" s="2">
        <v>1.4800000000000001E-2</v>
      </c>
      <c r="X1113" s="2">
        <v>8.4501000000000007E-2</v>
      </c>
      <c r="Y1113">
        <v>0.03</v>
      </c>
      <c r="Z1113">
        <v>0.13</v>
      </c>
      <c r="AA1113" s="20">
        <f>Table3[[#This Row],[APS]]*Table3[[#This Row],[PrimaComercial Anual]]</f>
        <v>398.51664</v>
      </c>
      <c r="AB1113" s="8">
        <f>Table3[[#This Row],[PrimaComercial Anual]]*Table3[[#This Row],[Recargo adicional]]</f>
        <v>2275.3415268000003</v>
      </c>
      <c r="AC1113" s="8">
        <f>Table3[[#This Row],[PrimaComercial Anual]]*Table3[[#This Row],[IT]]</f>
        <v>807.80399999999997</v>
      </c>
      <c r="AD1113" s="8">
        <f>Table3[[#This Row],[PrimaComercial Anual]]*Table3[[#This Row],[IVA]]</f>
        <v>3500.4839999999999</v>
      </c>
      <c r="AE1113" s="15">
        <f>Table3[[#This Row],[PrimaComercial Anual Asistencia]]</f>
        <v>26926.799999999999</v>
      </c>
      <c r="AG1113">
        <v>26926.799999999999</v>
      </c>
    </row>
    <row r="1114" spans="1:33" x14ac:dyDescent="0.25">
      <c r="A1114" t="s">
        <v>18</v>
      </c>
      <c r="B1114">
        <v>700002</v>
      </c>
      <c r="C1114">
        <v>88</v>
      </c>
      <c r="D1114" s="2">
        <f>Table3[[#This Row],[PrimaTécnica]]-Table3[[#This Row],[PrimaTécnica]]*SUM(Table3[[#This Row],[Gastos Adm]:[Cobranza]])</f>
        <v>12288.327375916797</v>
      </c>
      <c r="E1114">
        <v>0</v>
      </c>
      <c r="F1114">
        <v>0.15</v>
      </c>
      <c r="G1114">
        <v>0.05</v>
      </c>
      <c r="H1114">
        <v>0.01</v>
      </c>
      <c r="I1114">
        <v>0.01</v>
      </c>
      <c r="J1114" s="8">
        <f>Table3[[#This Row],[PrimaTécnica]]*Table3[[#This Row],[Gastos Adm]]</f>
        <v>2363.1398799839994</v>
      </c>
      <c r="K1114" s="8">
        <f>Table3[[#This Row],[PrimaTécnica]]*Table3[[#This Row],[Utilidad]]</f>
        <v>787.71329332799996</v>
      </c>
      <c r="L1114" s="8">
        <f>Table3[[#This Row],[PrimaTécnica]]*Table3[[#This Row],[Marketing]]</f>
        <v>157.54265866559999</v>
      </c>
      <c r="M1114" s="8">
        <f>Table3[[#This Row],[PrimaTécnica]]*Table3[[#This Row],[Cobranza]]</f>
        <v>157.54265866559999</v>
      </c>
      <c r="N111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114">
        <v>21.84</v>
      </c>
      <c r="P1114">
        <v>54.6</v>
      </c>
      <c r="Q1114">
        <v>80.64</v>
      </c>
      <c r="R1114">
        <v>44.377200000000002</v>
      </c>
      <c r="S1114">
        <v>0.2</v>
      </c>
      <c r="T1114">
        <v>0.02</v>
      </c>
      <c r="U1114" s="8">
        <f>Table3[[#This Row],[PrimaNeta]]*Table3[[#This Row],[Comisión]]</f>
        <v>3988.93076664</v>
      </c>
      <c r="V1114" s="15">
        <f>Table3[[#This Row],[PrimaComercial Anual]]-Table3[[#This Row],[PrimaComercial Anual]]*SUM(Table3[[#This Row],[APS]:[IVA]])</f>
        <v>19944.653833199998</v>
      </c>
      <c r="W1114" s="2">
        <v>1.4800000000000001E-2</v>
      </c>
      <c r="X1114" s="2">
        <v>8.4501000000000007E-2</v>
      </c>
      <c r="Y1114">
        <v>0.03</v>
      </c>
      <c r="Z1114">
        <v>0.13</v>
      </c>
      <c r="AA1114" s="20">
        <f>Table3[[#This Row],[APS]]*Table3[[#This Row],[PrimaComercial Anual]]</f>
        <v>398.51664</v>
      </c>
      <c r="AB1114" s="8">
        <f>Table3[[#This Row],[PrimaComercial Anual]]*Table3[[#This Row],[Recargo adicional]]</f>
        <v>2275.3415268000003</v>
      </c>
      <c r="AC1114" s="8">
        <f>Table3[[#This Row],[PrimaComercial Anual]]*Table3[[#This Row],[IT]]</f>
        <v>807.80399999999997</v>
      </c>
      <c r="AD1114" s="8">
        <f>Table3[[#This Row],[PrimaComercial Anual]]*Table3[[#This Row],[IVA]]</f>
        <v>3500.4839999999999</v>
      </c>
      <c r="AE1114" s="15">
        <f>Table3[[#This Row],[PrimaComercial Anual Asistencia]]</f>
        <v>26926.799999999999</v>
      </c>
      <c r="AG1114">
        <v>26926.799999999999</v>
      </c>
    </row>
    <row r="1115" spans="1:33" x14ac:dyDescent="0.25">
      <c r="A1115" t="s">
        <v>18</v>
      </c>
      <c r="B1115">
        <v>700002</v>
      </c>
      <c r="C1115">
        <v>89</v>
      </c>
      <c r="D1115" s="2">
        <f>Table3[[#This Row],[PrimaTécnica]]-Table3[[#This Row],[PrimaTécnica]]*SUM(Table3[[#This Row],[Gastos Adm]:[Cobranza]])</f>
        <v>12288.327375916797</v>
      </c>
      <c r="E1115">
        <v>0</v>
      </c>
      <c r="F1115">
        <v>0.15</v>
      </c>
      <c r="G1115">
        <v>0.05</v>
      </c>
      <c r="H1115">
        <v>0.01</v>
      </c>
      <c r="I1115">
        <v>0.01</v>
      </c>
      <c r="J1115" s="8">
        <f>Table3[[#This Row],[PrimaTécnica]]*Table3[[#This Row],[Gastos Adm]]</f>
        <v>2363.1398799839994</v>
      </c>
      <c r="K1115" s="8">
        <f>Table3[[#This Row],[PrimaTécnica]]*Table3[[#This Row],[Utilidad]]</f>
        <v>787.71329332799996</v>
      </c>
      <c r="L1115" s="8">
        <f>Table3[[#This Row],[PrimaTécnica]]*Table3[[#This Row],[Marketing]]</f>
        <v>157.54265866559999</v>
      </c>
      <c r="M1115" s="8">
        <f>Table3[[#This Row],[PrimaTécnica]]*Table3[[#This Row],[Cobranza]]</f>
        <v>157.54265866559999</v>
      </c>
      <c r="N111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115">
        <v>21.84</v>
      </c>
      <c r="P1115">
        <v>54.6</v>
      </c>
      <c r="Q1115">
        <v>80.64</v>
      </c>
      <c r="R1115">
        <v>44.377200000000002</v>
      </c>
      <c r="S1115">
        <v>0.2</v>
      </c>
      <c r="T1115">
        <v>0.02</v>
      </c>
      <c r="U1115" s="8">
        <f>Table3[[#This Row],[PrimaNeta]]*Table3[[#This Row],[Comisión]]</f>
        <v>3988.93076664</v>
      </c>
      <c r="V1115" s="15">
        <f>Table3[[#This Row],[PrimaComercial Anual]]-Table3[[#This Row],[PrimaComercial Anual]]*SUM(Table3[[#This Row],[APS]:[IVA]])</f>
        <v>19944.653833199998</v>
      </c>
      <c r="W1115" s="2">
        <v>1.4800000000000001E-2</v>
      </c>
      <c r="X1115" s="2">
        <v>8.4501000000000007E-2</v>
      </c>
      <c r="Y1115">
        <v>0.03</v>
      </c>
      <c r="Z1115">
        <v>0.13</v>
      </c>
      <c r="AA1115" s="20">
        <f>Table3[[#This Row],[APS]]*Table3[[#This Row],[PrimaComercial Anual]]</f>
        <v>398.51664</v>
      </c>
      <c r="AB1115" s="8">
        <f>Table3[[#This Row],[PrimaComercial Anual]]*Table3[[#This Row],[Recargo adicional]]</f>
        <v>2275.3415268000003</v>
      </c>
      <c r="AC1115" s="8">
        <f>Table3[[#This Row],[PrimaComercial Anual]]*Table3[[#This Row],[IT]]</f>
        <v>807.80399999999997</v>
      </c>
      <c r="AD1115" s="8">
        <f>Table3[[#This Row],[PrimaComercial Anual]]*Table3[[#This Row],[IVA]]</f>
        <v>3500.4839999999999</v>
      </c>
      <c r="AE1115" s="15">
        <f>Table3[[#This Row],[PrimaComercial Anual Asistencia]]</f>
        <v>26926.799999999999</v>
      </c>
      <c r="AG1115">
        <v>26926.799999999999</v>
      </c>
    </row>
    <row r="1116" spans="1:33" x14ac:dyDescent="0.25">
      <c r="A1116" t="s">
        <v>18</v>
      </c>
      <c r="B1116">
        <v>700002</v>
      </c>
      <c r="C1116">
        <v>90</v>
      </c>
      <c r="D1116" s="2">
        <f>Table3[[#This Row],[PrimaTécnica]]-Table3[[#This Row],[PrimaTécnica]]*SUM(Table3[[#This Row],[Gastos Adm]:[Cobranza]])</f>
        <v>12288.327375916797</v>
      </c>
      <c r="E1116">
        <v>0</v>
      </c>
      <c r="F1116">
        <v>0.15</v>
      </c>
      <c r="G1116">
        <v>0.05</v>
      </c>
      <c r="H1116">
        <v>0.01</v>
      </c>
      <c r="I1116">
        <v>0.01</v>
      </c>
      <c r="J1116" s="8">
        <f>Table3[[#This Row],[PrimaTécnica]]*Table3[[#This Row],[Gastos Adm]]</f>
        <v>2363.1398799839994</v>
      </c>
      <c r="K1116" s="8">
        <f>Table3[[#This Row],[PrimaTécnica]]*Table3[[#This Row],[Utilidad]]</f>
        <v>787.71329332799996</v>
      </c>
      <c r="L1116" s="8">
        <f>Table3[[#This Row],[PrimaTécnica]]*Table3[[#This Row],[Marketing]]</f>
        <v>157.54265866559999</v>
      </c>
      <c r="M1116" s="8">
        <f>Table3[[#This Row],[PrimaTécnica]]*Table3[[#This Row],[Cobranza]]</f>
        <v>157.54265866559999</v>
      </c>
      <c r="N111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116">
        <v>21.84</v>
      </c>
      <c r="P1116">
        <v>54.6</v>
      </c>
      <c r="Q1116">
        <v>80.64</v>
      </c>
      <c r="R1116">
        <v>44.377200000000002</v>
      </c>
      <c r="S1116">
        <v>0.2</v>
      </c>
      <c r="T1116">
        <v>0.02</v>
      </c>
      <c r="U1116" s="8">
        <f>Table3[[#This Row],[PrimaNeta]]*Table3[[#This Row],[Comisión]]</f>
        <v>3988.93076664</v>
      </c>
      <c r="V1116" s="15">
        <f>Table3[[#This Row],[PrimaComercial Anual]]-Table3[[#This Row],[PrimaComercial Anual]]*SUM(Table3[[#This Row],[APS]:[IVA]])</f>
        <v>19944.653833199998</v>
      </c>
      <c r="W1116" s="2">
        <v>1.4800000000000001E-2</v>
      </c>
      <c r="X1116" s="2">
        <v>8.4501000000000007E-2</v>
      </c>
      <c r="Y1116">
        <v>0.03</v>
      </c>
      <c r="Z1116">
        <v>0.13</v>
      </c>
      <c r="AA1116" s="20">
        <f>Table3[[#This Row],[APS]]*Table3[[#This Row],[PrimaComercial Anual]]</f>
        <v>398.51664</v>
      </c>
      <c r="AB1116" s="8">
        <f>Table3[[#This Row],[PrimaComercial Anual]]*Table3[[#This Row],[Recargo adicional]]</f>
        <v>2275.3415268000003</v>
      </c>
      <c r="AC1116" s="8">
        <f>Table3[[#This Row],[PrimaComercial Anual]]*Table3[[#This Row],[IT]]</f>
        <v>807.80399999999997</v>
      </c>
      <c r="AD1116" s="8">
        <f>Table3[[#This Row],[PrimaComercial Anual]]*Table3[[#This Row],[IVA]]</f>
        <v>3500.4839999999999</v>
      </c>
      <c r="AE1116" s="15">
        <f>Table3[[#This Row],[PrimaComercial Anual Asistencia]]</f>
        <v>26926.799999999999</v>
      </c>
      <c r="AG1116">
        <v>26926.799999999999</v>
      </c>
    </row>
    <row r="1117" spans="1:33" x14ac:dyDescent="0.25">
      <c r="A1117" t="s">
        <v>18</v>
      </c>
      <c r="B1117">
        <v>700002</v>
      </c>
      <c r="C1117">
        <v>91</v>
      </c>
      <c r="D1117" s="2">
        <f>Table3[[#This Row],[PrimaTécnica]]-Table3[[#This Row],[PrimaTécnica]]*SUM(Table3[[#This Row],[Gastos Adm]:[Cobranza]])</f>
        <v>12288.327375916797</v>
      </c>
      <c r="E1117">
        <v>0</v>
      </c>
      <c r="F1117">
        <v>0.15</v>
      </c>
      <c r="G1117">
        <v>0.05</v>
      </c>
      <c r="H1117">
        <v>0.01</v>
      </c>
      <c r="I1117">
        <v>0.01</v>
      </c>
      <c r="J1117" s="8">
        <f>Table3[[#This Row],[PrimaTécnica]]*Table3[[#This Row],[Gastos Adm]]</f>
        <v>2363.1398799839994</v>
      </c>
      <c r="K1117" s="8">
        <f>Table3[[#This Row],[PrimaTécnica]]*Table3[[#This Row],[Utilidad]]</f>
        <v>787.71329332799996</v>
      </c>
      <c r="L1117" s="8">
        <f>Table3[[#This Row],[PrimaTécnica]]*Table3[[#This Row],[Marketing]]</f>
        <v>157.54265866559999</v>
      </c>
      <c r="M1117" s="8">
        <f>Table3[[#This Row],[PrimaTécnica]]*Table3[[#This Row],[Cobranza]]</f>
        <v>157.54265866559999</v>
      </c>
      <c r="N111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117">
        <v>21.84</v>
      </c>
      <c r="P1117">
        <v>54.6</v>
      </c>
      <c r="Q1117">
        <v>80.64</v>
      </c>
      <c r="R1117">
        <v>44.377200000000002</v>
      </c>
      <c r="S1117">
        <v>0.2</v>
      </c>
      <c r="T1117">
        <v>0.02</v>
      </c>
      <c r="U1117" s="8">
        <f>Table3[[#This Row],[PrimaNeta]]*Table3[[#This Row],[Comisión]]</f>
        <v>3988.93076664</v>
      </c>
      <c r="V1117" s="15">
        <f>Table3[[#This Row],[PrimaComercial Anual]]-Table3[[#This Row],[PrimaComercial Anual]]*SUM(Table3[[#This Row],[APS]:[IVA]])</f>
        <v>19944.653833199998</v>
      </c>
      <c r="W1117" s="2">
        <v>1.4800000000000001E-2</v>
      </c>
      <c r="X1117" s="2">
        <v>8.4501000000000007E-2</v>
      </c>
      <c r="Y1117">
        <v>0.03</v>
      </c>
      <c r="Z1117">
        <v>0.13</v>
      </c>
      <c r="AA1117" s="20">
        <f>Table3[[#This Row],[APS]]*Table3[[#This Row],[PrimaComercial Anual]]</f>
        <v>398.51664</v>
      </c>
      <c r="AB1117" s="8">
        <f>Table3[[#This Row],[PrimaComercial Anual]]*Table3[[#This Row],[Recargo adicional]]</f>
        <v>2275.3415268000003</v>
      </c>
      <c r="AC1117" s="8">
        <f>Table3[[#This Row],[PrimaComercial Anual]]*Table3[[#This Row],[IT]]</f>
        <v>807.80399999999997</v>
      </c>
      <c r="AD1117" s="8">
        <f>Table3[[#This Row],[PrimaComercial Anual]]*Table3[[#This Row],[IVA]]</f>
        <v>3500.4839999999999</v>
      </c>
      <c r="AE1117" s="15">
        <f>Table3[[#This Row],[PrimaComercial Anual Asistencia]]</f>
        <v>26926.799999999999</v>
      </c>
      <c r="AG1117">
        <v>26926.799999999999</v>
      </c>
    </row>
    <row r="1118" spans="1:33" x14ac:dyDescent="0.25">
      <c r="A1118" t="s">
        <v>18</v>
      </c>
      <c r="B1118">
        <v>700002</v>
      </c>
      <c r="C1118">
        <v>92</v>
      </c>
      <c r="D1118" s="2">
        <f>Table3[[#This Row],[PrimaTécnica]]-Table3[[#This Row],[PrimaTécnica]]*SUM(Table3[[#This Row],[Gastos Adm]:[Cobranza]])</f>
        <v>12288.327375916797</v>
      </c>
      <c r="E1118">
        <v>0</v>
      </c>
      <c r="F1118">
        <v>0.15</v>
      </c>
      <c r="G1118">
        <v>0.05</v>
      </c>
      <c r="H1118">
        <v>0.01</v>
      </c>
      <c r="I1118">
        <v>0.01</v>
      </c>
      <c r="J1118" s="8">
        <f>Table3[[#This Row],[PrimaTécnica]]*Table3[[#This Row],[Gastos Adm]]</f>
        <v>2363.1398799839994</v>
      </c>
      <c r="K1118" s="8">
        <f>Table3[[#This Row],[PrimaTécnica]]*Table3[[#This Row],[Utilidad]]</f>
        <v>787.71329332799996</v>
      </c>
      <c r="L1118" s="8">
        <f>Table3[[#This Row],[PrimaTécnica]]*Table3[[#This Row],[Marketing]]</f>
        <v>157.54265866559999</v>
      </c>
      <c r="M1118" s="8">
        <f>Table3[[#This Row],[PrimaTécnica]]*Table3[[#This Row],[Cobranza]]</f>
        <v>157.54265866559999</v>
      </c>
      <c r="N111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118">
        <v>21.84</v>
      </c>
      <c r="P1118">
        <v>54.6</v>
      </c>
      <c r="Q1118">
        <v>80.64</v>
      </c>
      <c r="R1118">
        <v>44.377200000000002</v>
      </c>
      <c r="S1118">
        <v>0.2</v>
      </c>
      <c r="T1118">
        <v>0.02</v>
      </c>
      <c r="U1118" s="8">
        <f>Table3[[#This Row],[PrimaNeta]]*Table3[[#This Row],[Comisión]]</f>
        <v>3988.93076664</v>
      </c>
      <c r="V1118" s="15">
        <f>Table3[[#This Row],[PrimaComercial Anual]]-Table3[[#This Row],[PrimaComercial Anual]]*SUM(Table3[[#This Row],[APS]:[IVA]])</f>
        <v>19944.653833199998</v>
      </c>
      <c r="W1118" s="2">
        <v>1.4800000000000001E-2</v>
      </c>
      <c r="X1118" s="2">
        <v>8.4501000000000007E-2</v>
      </c>
      <c r="Y1118">
        <v>0.03</v>
      </c>
      <c r="Z1118">
        <v>0.13</v>
      </c>
      <c r="AA1118" s="20">
        <f>Table3[[#This Row],[APS]]*Table3[[#This Row],[PrimaComercial Anual]]</f>
        <v>398.51664</v>
      </c>
      <c r="AB1118" s="8">
        <f>Table3[[#This Row],[PrimaComercial Anual]]*Table3[[#This Row],[Recargo adicional]]</f>
        <v>2275.3415268000003</v>
      </c>
      <c r="AC1118" s="8">
        <f>Table3[[#This Row],[PrimaComercial Anual]]*Table3[[#This Row],[IT]]</f>
        <v>807.80399999999997</v>
      </c>
      <c r="AD1118" s="8">
        <f>Table3[[#This Row],[PrimaComercial Anual]]*Table3[[#This Row],[IVA]]</f>
        <v>3500.4839999999999</v>
      </c>
      <c r="AE1118" s="15">
        <f>Table3[[#This Row],[PrimaComercial Anual Asistencia]]</f>
        <v>26926.799999999999</v>
      </c>
      <c r="AG1118">
        <v>26926.799999999999</v>
      </c>
    </row>
    <row r="1119" spans="1:33" x14ac:dyDescent="0.25">
      <c r="A1119" t="s">
        <v>18</v>
      </c>
      <c r="B1119">
        <v>700002</v>
      </c>
      <c r="C1119">
        <v>93</v>
      </c>
      <c r="D1119" s="2">
        <f>Table3[[#This Row],[PrimaTécnica]]-Table3[[#This Row],[PrimaTécnica]]*SUM(Table3[[#This Row],[Gastos Adm]:[Cobranza]])</f>
        <v>12288.327375916797</v>
      </c>
      <c r="E1119">
        <v>0</v>
      </c>
      <c r="F1119">
        <v>0.15</v>
      </c>
      <c r="G1119">
        <v>0.05</v>
      </c>
      <c r="H1119">
        <v>0.01</v>
      </c>
      <c r="I1119">
        <v>0.01</v>
      </c>
      <c r="J1119" s="8">
        <f>Table3[[#This Row],[PrimaTécnica]]*Table3[[#This Row],[Gastos Adm]]</f>
        <v>2363.1398799839994</v>
      </c>
      <c r="K1119" s="8">
        <f>Table3[[#This Row],[PrimaTécnica]]*Table3[[#This Row],[Utilidad]]</f>
        <v>787.71329332799996</v>
      </c>
      <c r="L1119" s="8">
        <f>Table3[[#This Row],[PrimaTécnica]]*Table3[[#This Row],[Marketing]]</f>
        <v>157.54265866559999</v>
      </c>
      <c r="M1119" s="8">
        <f>Table3[[#This Row],[PrimaTécnica]]*Table3[[#This Row],[Cobranza]]</f>
        <v>157.54265866559999</v>
      </c>
      <c r="N111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119">
        <v>21.84</v>
      </c>
      <c r="P1119">
        <v>54.6</v>
      </c>
      <c r="Q1119">
        <v>80.64</v>
      </c>
      <c r="R1119">
        <v>44.377200000000002</v>
      </c>
      <c r="S1119">
        <v>0.2</v>
      </c>
      <c r="T1119">
        <v>0.02</v>
      </c>
      <c r="U1119" s="8">
        <f>Table3[[#This Row],[PrimaNeta]]*Table3[[#This Row],[Comisión]]</f>
        <v>3988.93076664</v>
      </c>
      <c r="V1119" s="15">
        <f>Table3[[#This Row],[PrimaComercial Anual]]-Table3[[#This Row],[PrimaComercial Anual]]*SUM(Table3[[#This Row],[APS]:[IVA]])</f>
        <v>19944.653833199998</v>
      </c>
      <c r="W1119" s="2">
        <v>1.4800000000000001E-2</v>
      </c>
      <c r="X1119" s="2">
        <v>8.4501000000000007E-2</v>
      </c>
      <c r="Y1119">
        <v>0.03</v>
      </c>
      <c r="Z1119">
        <v>0.13</v>
      </c>
      <c r="AA1119" s="20">
        <f>Table3[[#This Row],[APS]]*Table3[[#This Row],[PrimaComercial Anual]]</f>
        <v>398.51664</v>
      </c>
      <c r="AB1119" s="8">
        <f>Table3[[#This Row],[PrimaComercial Anual]]*Table3[[#This Row],[Recargo adicional]]</f>
        <v>2275.3415268000003</v>
      </c>
      <c r="AC1119" s="8">
        <f>Table3[[#This Row],[PrimaComercial Anual]]*Table3[[#This Row],[IT]]</f>
        <v>807.80399999999997</v>
      </c>
      <c r="AD1119" s="8">
        <f>Table3[[#This Row],[PrimaComercial Anual]]*Table3[[#This Row],[IVA]]</f>
        <v>3500.4839999999999</v>
      </c>
      <c r="AE1119" s="15">
        <f>Table3[[#This Row],[PrimaComercial Anual Asistencia]]</f>
        <v>26926.799999999999</v>
      </c>
      <c r="AG1119">
        <v>26926.799999999999</v>
      </c>
    </row>
    <row r="1120" spans="1:33" x14ac:dyDescent="0.25">
      <c r="A1120" t="s">
        <v>18</v>
      </c>
      <c r="B1120">
        <v>700002</v>
      </c>
      <c r="C1120">
        <v>94</v>
      </c>
      <c r="D1120" s="2">
        <f>Table3[[#This Row],[PrimaTécnica]]-Table3[[#This Row],[PrimaTécnica]]*SUM(Table3[[#This Row],[Gastos Adm]:[Cobranza]])</f>
        <v>12288.327375916797</v>
      </c>
      <c r="E1120">
        <v>0</v>
      </c>
      <c r="F1120">
        <v>0.15</v>
      </c>
      <c r="G1120">
        <v>0.05</v>
      </c>
      <c r="H1120">
        <v>0.01</v>
      </c>
      <c r="I1120">
        <v>0.01</v>
      </c>
      <c r="J1120" s="8">
        <f>Table3[[#This Row],[PrimaTécnica]]*Table3[[#This Row],[Gastos Adm]]</f>
        <v>2363.1398799839994</v>
      </c>
      <c r="K1120" s="8">
        <f>Table3[[#This Row],[PrimaTécnica]]*Table3[[#This Row],[Utilidad]]</f>
        <v>787.71329332799996</v>
      </c>
      <c r="L1120" s="8">
        <f>Table3[[#This Row],[PrimaTécnica]]*Table3[[#This Row],[Marketing]]</f>
        <v>157.54265866559999</v>
      </c>
      <c r="M1120" s="8">
        <f>Table3[[#This Row],[PrimaTécnica]]*Table3[[#This Row],[Cobranza]]</f>
        <v>157.54265866559999</v>
      </c>
      <c r="N112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120">
        <v>21.84</v>
      </c>
      <c r="P1120">
        <v>54.6</v>
      </c>
      <c r="Q1120">
        <v>80.64</v>
      </c>
      <c r="R1120">
        <v>44.377200000000002</v>
      </c>
      <c r="S1120">
        <v>0.2</v>
      </c>
      <c r="T1120">
        <v>0.02</v>
      </c>
      <c r="U1120" s="8">
        <f>Table3[[#This Row],[PrimaNeta]]*Table3[[#This Row],[Comisión]]</f>
        <v>3988.93076664</v>
      </c>
      <c r="V1120" s="15">
        <f>Table3[[#This Row],[PrimaComercial Anual]]-Table3[[#This Row],[PrimaComercial Anual]]*SUM(Table3[[#This Row],[APS]:[IVA]])</f>
        <v>19944.653833199998</v>
      </c>
      <c r="W1120" s="2">
        <v>1.4800000000000001E-2</v>
      </c>
      <c r="X1120" s="2">
        <v>8.4501000000000007E-2</v>
      </c>
      <c r="Y1120">
        <v>0.03</v>
      </c>
      <c r="Z1120">
        <v>0.13</v>
      </c>
      <c r="AA1120" s="20">
        <f>Table3[[#This Row],[APS]]*Table3[[#This Row],[PrimaComercial Anual]]</f>
        <v>398.51664</v>
      </c>
      <c r="AB1120" s="8">
        <f>Table3[[#This Row],[PrimaComercial Anual]]*Table3[[#This Row],[Recargo adicional]]</f>
        <v>2275.3415268000003</v>
      </c>
      <c r="AC1120" s="8">
        <f>Table3[[#This Row],[PrimaComercial Anual]]*Table3[[#This Row],[IT]]</f>
        <v>807.80399999999997</v>
      </c>
      <c r="AD1120" s="8">
        <f>Table3[[#This Row],[PrimaComercial Anual]]*Table3[[#This Row],[IVA]]</f>
        <v>3500.4839999999999</v>
      </c>
      <c r="AE1120" s="15">
        <f>Table3[[#This Row],[PrimaComercial Anual Asistencia]]</f>
        <v>26926.799999999999</v>
      </c>
      <c r="AG1120">
        <v>26926.799999999999</v>
      </c>
    </row>
    <row r="1121" spans="1:33" x14ac:dyDescent="0.25">
      <c r="A1121" t="s">
        <v>18</v>
      </c>
      <c r="B1121">
        <v>700002</v>
      </c>
      <c r="C1121">
        <v>95</v>
      </c>
      <c r="D1121" s="2">
        <f>Table3[[#This Row],[PrimaTécnica]]-Table3[[#This Row],[PrimaTécnica]]*SUM(Table3[[#This Row],[Gastos Adm]:[Cobranza]])</f>
        <v>12288.327375916797</v>
      </c>
      <c r="E1121">
        <v>0</v>
      </c>
      <c r="F1121">
        <v>0.15</v>
      </c>
      <c r="G1121">
        <v>0.05</v>
      </c>
      <c r="H1121">
        <v>0.01</v>
      </c>
      <c r="I1121">
        <v>0.01</v>
      </c>
      <c r="J1121" s="8">
        <f>Table3[[#This Row],[PrimaTécnica]]*Table3[[#This Row],[Gastos Adm]]</f>
        <v>2363.1398799839994</v>
      </c>
      <c r="K1121" s="8">
        <f>Table3[[#This Row],[PrimaTécnica]]*Table3[[#This Row],[Utilidad]]</f>
        <v>787.71329332799996</v>
      </c>
      <c r="L1121" s="8">
        <f>Table3[[#This Row],[PrimaTécnica]]*Table3[[#This Row],[Marketing]]</f>
        <v>157.54265866559999</v>
      </c>
      <c r="M1121" s="8">
        <f>Table3[[#This Row],[PrimaTécnica]]*Table3[[#This Row],[Cobranza]]</f>
        <v>157.54265866559999</v>
      </c>
      <c r="N112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121">
        <v>21.84</v>
      </c>
      <c r="P1121">
        <v>54.6</v>
      </c>
      <c r="Q1121">
        <v>80.64</v>
      </c>
      <c r="R1121">
        <v>44.377200000000002</v>
      </c>
      <c r="S1121">
        <v>0.2</v>
      </c>
      <c r="T1121">
        <v>0.02</v>
      </c>
      <c r="U1121" s="8">
        <f>Table3[[#This Row],[PrimaNeta]]*Table3[[#This Row],[Comisión]]</f>
        <v>3988.93076664</v>
      </c>
      <c r="V1121" s="15">
        <f>Table3[[#This Row],[PrimaComercial Anual]]-Table3[[#This Row],[PrimaComercial Anual]]*SUM(Table3[[#This Row],[APS]:[IVA]])</f>
        <v>19944.653833199998</v>
      </c>
      <c r="W1121" s="2">
        <v>1.4800000000000001E-2</v>
      </c>
      <c r="X1121" s="2">
        <v>8.4501000000000007E-2</v>
      </c>
      <c r="Y1121">
        <v>0.03</v>
      </c>
      <c r="Z1121">
        <v>0.13</v>
      </c>
      <c r="AA1121" s="20">
        <f>Table3[[#This Row],[APS]]*Table3[[#This Row],[PrimaComercial Anual]]</f>
        <v>398.51664</v>
      </c>
      <c r="AB1121" s="8">
        <f>Table3[[#This Row],[PrimaComercial Anual]]*Table3[[#This Row],[Recargo adicional]]</f>
        <v>2275.3415268000003</v>
      </c>
      <c r="AC1121" s="8">
        <f>Table3[[#This Row],[PrimaComercial Anual]]*Table3[[#This Row],[IT]]</f>
        <v>807.80399999999997</v>
      </c>
      <c r="AD1121" s="8">
        <f>Table3[[#This Row],[PrimaComercial Anual]]*Table3[[#This Row],[IVA]]</f>
        <v>3500.4839999999999</v>
      </c>
      <c r="AE1121" s="15">
        <f>Table3[[#This Row],[PrimaComercial Anual Asistencia]]</f>
        <v>26926.799999999999</v>
      </c>
      <c r="AG1121">
        <v>26926.799999999999</v>
      </c>
    </row>
    <row r="1122" spans="1:33" x14ac:dyDescent="0.25">
      <c r="A1122" t="s">
        <v>18</v>
      </c>
      <c r="B1122">
        <v>700002</v>
      </c>
      <c r="C1122">
        <v>96</v>
      </c>
      <c r="D1122" s="2">
        <f>Table3[[#This Row],[PrimaTécnica]]-Table3[[#This Row],[PrimaTécnica]]*SUM(Table3[[#This Row],[Gastos Adm]:[Cobranza]])</f>
        <v>12288.327375916797</v>
      </c>
      <c r="E1122">
        <v>0</v>
      </c>
      <c r="F1122">
        <v>0.15</v>
      </c>
      <c r="G1122">
        <v>0.05</v>
      </c>
      <c r="H1122">
        <v>0.01</v>
      </c>
      <c r="I1122">
        <v>0.01</v>
      </c>
      <c r="J1122" s="8">
        <f>Table3[[#This Row],[PrimaTécnica]]*Table3[[#This Row],[Gastos Adm]]</f>
        <v>2363.1398799839994</v>
      </c>
      <c r="K1122" s="8">
        <f>Table3[[#This Row],[PrimaTécnica]]*Table3[[#This Row],[Utilidad]]</f>
        <v>787.71329332799996</v>
      </c>
      <c r="L1122" s="8">
        <f>Table3[[#This Row],[PrimaTécnica]]*Table3[[#This Row],[Marketing]]</f>
        <v>157.54265866559999</v>
      </c>
      <c r="M1122" s="8">
        <f>Table3[[#This Row],[PrimaTécnica]]*Table3[[#This Row],[Cobranza]]</f>
        <v>157.54265866559999</v>
      </c>
      <c r="N112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122">
        <v>21.84</v>
      </c>
      <c r="P1122">
        <v>54.6</v>
      </c>
      <c r="Q1122">
        <v>80.64</v>
      </c>
      <c r="R1122">
        <v>44.377200000000002</v>
      </c>
      <c r="S1122">
        <v>0.2</v>
      </c>
      <c r="T1122">
        <v>0.02</v>
      </c>
      <c r="U1122" s="8">
        <f>Table3[[#This Row],[PrimaNeta]]*Table3[[#This Row],[Comisión]]</f>
        <v>3988.93076664</v>
      </c>
      <c r="V1122" s="15">
        <f>Table3[[#This Row],[PrimaComercial Anual]]-Table3[[#This Row],[PrimaComercial Anual]]*SUM(Table3[[#This Row],[APS]:[IVA]])</f>
        <v>19944.653833199998</v>
      </c>
      <c r="W1122" s="2">
        <v>1.4800000000000001E-2</v>
      </c>
      <c r="X1122" s="2">
        <v>8.4501000000000007E-2</v>
      </c>
      <c r="Y1122">
        <v>0.03</v>
      </c>
      <c r="Z1122">
        <v>0.13</v>
      </c>
      <c r="AA1122" s="20">
        <f>Table3[[#This Row],[APS]]*Table3[[#This Row],[PrimaComercial Anual]]</f>
        <v>398.51664</v>
      </c>
      <c r="AB1122" s="8">
        <f>Table3[[#This Row],[PrimaComercial Anual]]*Table3[[#This Row],[Recargo adicional]]</f>
        <v>2275.3415268000003</v>
      </c>
      <c r="AC1122" s="8">
        <f>Table3[[#This Row],[PrimaComercial Anual]]*Table3[[#This Row],[IT]]</f>
        <v>807.80399999999997</v>
      </c>
      <c r="AD1122" s="8">
        <f>Table3[[#This Row],[PrimaComercial Anual]]*Table3[[#This Row],[IVA]]</f>
        <v>3500.4839999999999</v>
      </c>
      <c r="AE1122" s="15">
        <f>Table3[[#This Row],[PrimaComercial Anual Asistencia]]</f>
        <v>26926.799999999999</v>
      </c>
      <c r="AG1122">
        <v>26926.799999999999</v>
      </c>
    </row>
    <row r="1123" spans="1:33" x14ac:dyDescent="0.25">
      <c r="A1123" t="s">
        <v>18</v>
      </c>
      <c r="B1123">
        <v>700002</v>
      </c>
      <c r="C1123">
        <v>97</v>
      </c>
      <c r="D1123" s="2">
        <f>Table3[[#This Row],[PrimaTécnica]]-Table3[[#This Row],[PrimaTécnica]]*SUM(Table3[[#This Row],[Gastos Adm]:[Cobranza]])</f>
        <v>12288.327375916797</v>
      </c>
      <c r="E1123">
        <v>0</v>
      </c>
      <c r="F1123">
        <v>0.15</v>
      </c>
      <c r="G1123">
        <v>0.05</v>
      </c>
      <c r="H1123">
        <v>0.01</v>
      </c>
      <c r="I1123">
        <v>0.01</v>
      </c>
      <c r="J1123" s="8">
        <f>Table3[[#This Row],[PrimaTécnica]]*Table3[[#This Row],[Gastos Adm]]</f>
        <v>2363.1398799839994</v>
      </c>
      <c r="K1123" s="8">
        <f>Table3[[#This Row],[PrimaTécnica]]*Table3[[#This Row],[Utilidad]]</f>
        <v>787.71329332799996</v>
      </c>
      <c r="L1123" s="8">
        <f>Table3[[#This Row],[PrimaTécnica]]*Table3[[#This Row],[Marketing]]</f>
        <v>157.54265866559999</v>
      </c>
      <c r="M1123" s="8">
        <f>Table3[[#This Row],[PrimaTécnica]]*Table3[[#This Row],[Cobranza]]</f>
        <v>157.54265866559999</v>
      </c>
      <c r="N112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123">
        <v>21.84</v>
      </c>
      <c r="P1123">
        <v>54.6</v>
      </c>
      <c r="Q1123">
        <v>80.64</v>
      </c>
      <c r="R1123">
        <v>44.377200000000002</v>
      </c>
      <c r="S1123">
        <v>0.2</v>
      </c>
      <c r="T1123">
        <v>0.02</v>
      </c>
      <c r="U1123" s="8">
        <f>Table3[[#This Row],[PrimaNeta]]*Table3[[#This Row],[Comisión]]</f>
        <v>3988.93076664</v>
      </c>
      <c r="V1123" s="15">
        <f>Table3[[#This Row],[PrimaComercial Anual]]-Table3[[#This Row],[PrimaComercial Anual]]*SUM(Table3[[#This Row],[APS]:[IVA]])</f>
        <v>19944.653833199998</v>
      </c>
      <c r="W1123" s="2">
        <v>1.4800000000000001E-2</v>
      </c>
      <c r="X1123" s="2">
        <v>8.4501000000000007E-2</v>
      </c>
      <c r="Y1123">
        <v>0.03</v>
      </c>
      <c r="Z1123">
        <v>0.13</v>
      </c>
      <c r="AA1123" s="20">
        <f>Table3[[#This Row],[APS]]*Table3[[#This Row],[PrimaComercial Anual]]</f>
        <v>398.51664</v>
      </c>
      <c r="AB1123" s="8">
        <f>Table3[[#This Row],[PrimaComercial Anual]]*Table3[[#This Row],[Recargo adicional]]</f>
        <v>2275.3415268000003</v>
      </c>
      <c r="AC1123" s="8">
        <f>Table3[[#This Row],[PrimaComercial Anual]]*Table3[[#This Row],[IT]]</f>
        <v>807.80399999999997</v>
      </c>
      <c r="AD1123" s="8">
        <f>Table3[[#This Row],[PrimaComercial Anual]]*Table3[[#This Row],[IVA]]</f>
        <v>3500.4839999999999</v>
      </c>
      <c r="AE1123" s="15">
        <f>Table3[[#This Row],[PrimaComercial Anual Asistencia]]</f>
        <v>26926.799999999999</v>
      </c>
      <c r="AG1123">
        <v>26926.799999999999</v>
      </c>
    </row>
    <row r="1124" spans="1:33" x14ac:dyDescent="0.25">
      <c r="A1124" t="s">
        <v>18</v>
      </c>
      <c r="B1124">
        <v>700002</v>
      </c>
      <c r="C1124">
        <v>98</v>
      </c>
      <c r="D1124" s="2">
        <f>Table3[[#This Row],[PrimaTécnica]]-Table3[[#This Row],[PrimaTécnica]]*SUM(Table3[[#This Row],[Gastos Adm]:[Cobranza]])</f>
        <v>12288.327375916797</v>
      </c>
      <c r="E1124">
        <v>0</v>
      </c>
      <c r="F1124">
        <v>0.15</v>
      </c>
      <c r="G1124">
        <v>0.05</v>
      </c>
      <c r="H1124">
        <v>0.01</v>
      </c>
      <c r="I1124">
        <v>0.01</v>
      </c>
      <c r="J1124" s="8">
        <f>Table3[[#This Row],[PrimaTécnica]]*Table3[[#This Row],[Gastos Adm]]</f>
        <v>2363.1398799839994</v>
      </c>
      <c r="K1124" s="8">
        <f>Table3[[#This Row],[PrimaTécnica]]*Table3[[#This Row],[Utilidad]]</f>
        <v>787.71329332799996</v>
      </c>
      <c r="L1124" s="8">
        <f>Table3[[#This Row],[PrimaTécnica]]*Table3[[#This Row],[Marketing]]</f>
        <v>157.54265866559999</v>
      </c>
      <c r="M1124" s="8">
        <f>Table3[[#This Row],[PrimaTécnica]]*Table3[[#This Row],[Cobranza]]</f>
        <v>157.54265866559999</v>
      </c>
      <c r="N112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124">
        <v>21.84</v>
      </c>
      <c r="P1124">
        <v>54.6</v>
      </c>
      <c r="Q1124">
        <v>80.64</v>
      </c>
      <c r="R1124">
        <v>44.377200000000002</v>
      </c>
      <c r="S1124">
        <v>0.2</v>
      </c>
      <c r="T1124">
        <v>0.02</v>
      </c>
      <c r="U1124" s="8">
        <f>Table3[[#This Row],[PrimaNeta]]*Table3[[#This Row],[Comisión]]</f>
        <v>3988.93076664</v>
      </c>
      <c r="V1124" s="15">
        <f>Table3[[#This Row],[PrimaComercial Anual]]-Table3[[#This Row],[PrimaComercial Anual]]*SUM(Table3[[#This Row],[APS]:[IVA]])</f>
        <v>19944.653833199998</v>
      </c>
      <c r="W1124" s="2">
        <v>1.4800000000000001E-2</v>
      </c>
      <c r="X1124" s="2">
        <v>8.4501000000000007E-2</v>
      </c>
      <c r="Y1124">
        <v>0.03</v>
      </c>
      <c r="Z1124">
        <v>0.13</v>
      </c>
      <c r="AA1124" s="20">
        <f>Table3[[#This Row],[APS]]*Table3[[#This Row],[PrimaComercial Anual]]</f>
        <v>398.51664</v>
      </c>
      <c r="AB1124" s="8">
        <f>Table3[[#This Row],[PrimaComercial Anual]]*Table3[[#This Row],[Recargo adicional]]</f>
        <v>2275.3415268000003</v>
      </c>
      <c r="AC1124" s="8">
        <f>Table3[[#This Row],[PrimaComercial Anual]]*Table3[[#This Row],[IT]]</f>
        <v>807.80399999999997</v>
      </c>
      <c r="AD1124" s="8">
        <f>Table3[[#This Row],[PrimaComercial Anual]]*Table3[[#This Row],[IVA]]</f>
        <v>3500.4839999999999</v>
      </c>
      <c r="AE1124" s="15">
        <f>Table3[[#This Row],[PrimaComercial Anual Asistencia]]</f>
        <v>26926.799999999999</v>
      </c>
      <c r="AG1124">
        <v>26926.799999999999</v>
      </c>
    </row>
    <row r="1125" spans="1:33" x14ac:dyDescent="0.25">
      <c r="A1125" t="s">
        <v>18</v>
      </c>
      <c r="B1125">
        <v>700002</v>
      </c>
      <c r="C1125">
        <v>99</v>
      </c>
      <c r="D1125" s="2">
        <f>Table3[[#This Row],[PrimaTécnica]]-Table3[[#This Row],[PrimaTécnica]]*SUM(Table3[[#This Row],[Gastos Adm]:[Cobranza]])</f>
        <v>12288.327375916797</v>
      </c>
      <c r="E1125">
        <v>0</v>
      </c>
      <c r="F1125">
        <v>0.15</v>
      </c>
      <c r="G1125">
        <v>0.05</v>
      </c>
      <c r="H1125">
        <v>0.01</v>
      </c>
      <c r="I1125">
        <v>0.01</v>
      </c>
      <c r="J1125" s="8">
        <f>Table3[[#This Row],[PrimaTécnica]]*Table3[[#This Row],[Gastos Adm]]</f>
        <v>2363.1398799839994</v>
      </c>
      <c r="K1125" s="8">
        <f>Table3[[#This Row],[PrimaTécnica]]*Table3[[#This Row],[Utilidad]]</f>
        <v>787.71329332799996</v>
      </c>
      <c r="L1125" s="8">
        <f>Table3[[#This Row],[PrimaTécnica]]*Table3[[#This Row],[Marketing]]</f>
        <v>157.54265866559999</v>
      </c>
      <c r="M1125" s="8">
        <f>Table3[[#This Row],[PrimaTécnica]]*Table3[[#This Row],[Cobranza]]</f>
        <v>157.54265866559999</v>
      </c>
      <c r="N112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15754.265866559997</v>
      </c>
      <c r="O1125">
        <v>21.84</v>
      </c>
      <c r="P1125">
        <v>54.6</v>
      </c>
      <c r="Q1125">
        <v>80.64</v>
      </c>
      <c r="R1125">
        <v>44.377200000000002</v>
      </c>
      <c r="S1125">
        <v>0.2</v>
      </c>
      <c r="T1125">
        <v>0.02</v>
      </c>
      <c r="U1125" s="8">
        <f>Table3[[#This Row],[PrimaNeta]]*Table3[[#This Row],[Comisión]]</f>
        <v>3988.93076664</v>
      </c>
      <c r="V1125" s="15">
        <f>Table3[[#This Row],[PrimaComercial Anual]]-Table3[[#This Row],[PrimaComercial Anual]]*SUM(Table3[[#This Row],[APS]:[IVA]])</f>
        <v>19944.653833199998</v>
      </c>
      <c r="W1125" s="2">
        <v>1.4800000000000001E-2</v>
      </c>
      <c r="X1125" s="2">
        <v>8.4501000000000007E-2</v>
      </c>
      <c r="Y1125">
        <v>0.03</v>
      </c>
      <c r="Z1125">
        <v>0.13</v>
      </c>
      <c r="AA1125" s="20">
        <f>Table3[[#This Row],[APS]]*Table3[[#This Row],[PrimaComercial Anual]]</f>
        <v>398.51664</v>
      </c>
      <c r="AB1125" s="8">
        <f>Table3[[#This Row],[PrimaComercial Anual]]*Table3[[#This Row],[Recargo adicional]]</f>
        <v>2275.3415268000003</v>
      </c>
      <c r="AC1125" s="8">
        <f>Table3[[#This Row],[PrimaComercial Anual]]*Table3[[#This Row],[IT]]</f>
        <v>807.80399999999997</v>
      </c>
      <c r="AD1125" s="8">
        <f>Table3[[#This Row],[PrimaComercial Anual]]*Table3[[#This Row],[IVA]]</f>
        <v>3500.4839999999999</v>
      </c>
      <c r="AE1125" s="15">
        <f>Table3[[#This Row],[PrimaComercial Anual Asistencia]]</f>
        <v>26926.799999999999</v>
      </c>
      <c r="AG1125">
        <v>26926.799999999999</v>
      </c>
    </row>
    <row r="1126" spans="1:33" x14ac:dyDescent="0.25">
      <c r="A1126" t="s">
        <v>19</v>
      </c>
      <c r="B1126">
        <v>700002</v>
      </c>
      <c r="C1126">
        <v>19</v>
      </c>
      <c r="D1126" s="2">
        <f>Table3[[#This Row],[PrimaTécnica]]-Table3[[#This Row],[PrimaTécnica]]*SUM(Table3[[#This Row],[Gastos Adm]:[Cobranza]])</f>
        <v>2588.0313517344002</v>
      </c>
      <c r="E1126">
        <v>754.47197279999989</v>
      </c>
      <c r="F1126">
        <v>0.15</v>
      </c>
      <c r="G1126">
        <v>0.05</v>
      </c>
      <c r="H1126">
        <v>0.01</v>
      </c>
      <c r="I1126">
        <v>0.01</v>
      </c>
      <c r="J1126" s="8">
        <f>Table3[[#This Row],[PrimaTécnica]]*Table3[[#This Row],[Gastos Adm]]</f>
        <v>497.69833687200003</v>
      </c>
      <c r="K1126" s="8">
        <f>Table3[[#This Row],[PrimaTécnica]]*Table3[[#This Row],[Utilidad]]</f>
        <v>165.89944562400001</v>
      </c>
      <c r="L1126" s="8">
        <f>Table3[[#This Row],[PrimaTécnica]]*Table3[[#This Row],[Marketing]]</f>
        <v>33.179889124799999</v>
      </c>
      <c r="M1126" s="8">
        <f>Table3[[#This Row],[PrimaTécnica]]*Table3[[#This Row],[Cobranza]]</f>
        <v>33.179889124799999</v>
      </c>
      <c r="N112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3317.9889124800002</v>
      </c>
      <c r="O1126">
        <v>21.84</v>
      </c>
      <c r="P1126">
        <v>54.6</v>
      </c>
      <c r="Q1126">
        <v>80.64</v>
      </c>
      <c r="R1126">
        <v>44.377200000000002</v>
      </c>
      <c r="S1126">
        <v>0.2</v>
      </c>
      <c r="T1126">
        <v>0.02</v>
      </c>
      <c r="U1126" s="8">
        <f>Table3[[#This Row],[PrimaNeta]]*Table3[[#This Row],[Comisión]]</f>
        <v>879.86152812</v>
      </c>
      <c r="V1126" s="15">
        <f>Table3[[#This Row],[PrimaComercial Anual]]-Table3[[#This Row],[PrimaComercial Anual]]*SUM(Table3[[#This Row],[APS]:[IVA]])</f>
        <v>4399.3076406</v>
      </c>
      <c r="W1126" s="2">
        <v>1.4800000000000001E-2</v>
      </c>
      <c r="X1126" s="2">
        <v>8.4501000000000007E-2</v>
      </c>
      <c r="Y1126">
        <v>0.03</v>
      </c>
      <c r="Z1126">
        <v>0.13</v>
      </c>
      <c r="AA1126" s="20">
        <f>Table3[[#This Row],[APS]]*Table3[[#This Row],[PrimaComercial Anual]]</f>
        <v>87.903120000000001</v>
      </c>
      <c r="AB1126" s="8">
        <f>Table3[[#This Row],[PrimaComercial Anual]]*Table3[[#This Row],[Recargo adicional]]</f>
        <v>501.88523939999999</v>
      </c>
      <c r="AC1126" s="8">
        <f>Table3[[#This Row],[PrimaComercial Anual]]*Table3[[#This Row],[IT]]</f>
        <v>178.18199999999999</v>
      </c>
      <c r="AD1126" s="8">
        <f>Table3[[#This Row],[PrimaComercial Anual]]*Table3[[#This Row],[IVA]]</f>
        <v>772.12199999999996</v>
      </c>
      <c r="AE1126" s="15">
        <f>Table3[[#This Row],[PrimaComercial Anual Asistencia]]</f>
        <v>5939.4</v>
      </c>
      <c r="AF1126">
        <v>1675.8</v>
      </c>
      <c r="AG1126">
        <v>5939.4</v>
      </c>
    </row>
    <row r="1127" spans="1:33" x14ac:dyDescent="0.25">
      <c r="A1127" t="s">
        <v>19</v>
      </c>
      <c r="B1127">
        <v>700002</v>
      </c>
      <c r="C1127">
        <v>20</v>
      </c>
      <c r="D1127" s="2">
        <f>Table3[[#This Row],[PrimaTécnica]]-Table3[[#This Row],[PrimaTécnica]]*SUM(Table3[[#This Row],[Gastos Adm]:[Cobranza]])</f>
        <v>2588.0313517344002</v>
      </c>
      <c r="E1127">
        <v>754.47197279999989</v>
      </c>
      <c r="F1127">
        <v>0.15</v>
      </c>
      <c r="G1127">
        <v>0.05</v>
      </c>
      <c r="H1127">
        <v>0.01</v>
      </c>
      <c r="I1127">
        <v>0.01</v>
      </c>
      <c r="J1127" s="8">
        <f>Table3[[#This Row],[PrimaTécnica]]*Table3[[#This Row],[Gastos Adm]]</f>
        <v>497.69833687200003</v>
      </c>
      <c r="K1127" s="8">
        <f>Table3[[#This Row],[PrimaTécnica]]*Table3[[#This Row],[Utilidad]]</f>
        <v>165.89944562400001</v>
      </c>
      <c r="L1127" s="8">
        <f>Table3[[#This Row],[PrimaTécnica]]*Table3[[#This Row],[Marketing]]</f>
        <v>33.179889124799999</v>
      </c>
      <c r="M1127" s="8">
        <f>Table3[[#This Row],[PrimaTécnica]]*Table3[[#This Row],[Cobranza]]</f>
        <v>33.179889124799999</v>
      </c>
      <c r="N112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3317.9889124800002</v>
      </c>
      <c r="O1127">
        <v>21.84</v>
      </c>
      <c r="P1127">
        <v>54.6</v>
      </c>
      <c r="Q1127">
        <v>80.64</v>
      </c>
      <c r="R1127">
        <v>44.377200000000002</v>
      </c>
      <c r="S1127">
        <v>0.2</v>
      </c>
      <c r="T1127">
        <v>0.02</v>
      </c>
      <c r="U1127" s="8">
        <f>Table3[[#This Row],[PrimaNeta]]*Table3[[#This Row],[Comisión]]</f>
        <v>879.86152812</v>
      </c>
      <c r="V1127" s="15">
        <f>Table3[[#This Row],[PrimaComercial Anual]]-Table3[[#This Row],[PrimaComercial Anual]]*SUM(Table3[[#This Row],[APS]:[IVA]])</f>
        <v>4399.3076406</v>
      </c>
      <c r="W1127" s="2">
        <v>1.4800000000000001E-2</v>
      </c>
      <c r="X1127" s="2">
        <v>8.4501000000000007E-2</v>
      </c>
      <c r="Y1127">
        <v>0.03</v>
      </c>
      <c r="Z1127">
        <v>0.13</v>
      </c>
      <c r="AA1127" s="20">
        <f>Table3[[#This Row],[APS]]*Table3[[#This Row],[PrimaComercial Anual]]</f>
        <v>87.903120000000001</v>
      </c>
      <c r="AB1127" s="8">
        <f>Table3[[#This Row],[PrimaComercial Anual]]*Table3[[#This Row],[Recargo adicional]]</f>
        <v>501.88523939999999</v>
      </c>
      <c r="AC1127" s="8">
        <f>Table3[[#This Row],[PrimaComercial Anual]]*Table3[[#This Row],[IT]]</f>
        <v>178.18199999999999</v>
      </c>
      <c r="AD1127" s="8">
        <f>Table3[[#This Row],[PrimaComercial Anual]]*Table3[[#This Row],[IVA]]</f>
        <v>772.12199999999996</v>
      </c>
      <c r="AE1127" s="15">
        <f>Table3[[#This Row],[PrimaComercial Anual Asistencia]]</f>
        <v>5939.4</v>
      </c>
      <c r="AF1127">
        <v>1675.8</v>
      </c>
      <c r="AG1127">
        <v>5939.4</v>
      </c>
    </row>
    <row r="1128" spans="1:33" x14ac:dyDescent="0.25">
      <c r="A1128" t="s">
        <v>19</v>
      </c>
      <c r="B1128">
        <v>700002</v>
      </c>
      <c r="C1128">
        <v>21</v>
      </c>
      <c r="D1128" s="2">
        <f>Table3[[#This Row],[PrimaTécnica]]-Table3[[#This Row],[PrimaTécnica]]*SUM(Table3[[#This Row],[Gastos Adm]:[Cobranza]])</f>
        <v>2588.0313517344002</v>
      </c>
      <c r="E1128">
        <v>754.47197279999989</v>
      </c>
      <c r="F1128">
        <v>0.15</v>
      </c>
      <c r="G1128">
        <v>0.05</v>
      </c>
      <c r="H1128">
        <v>0.01</v>
      </c>
      <c r="I1128">
        <v>0.01</v>
      </c>
      <c r="J1128" s="8">
        <f>Table3[[#This Row],[PrimaTécnica]]*Table3[[#This Row],[Gastos Adm]]</f>
        <v>497.69833687200003</v>
      </c>
      <c r="K1128" s="8">
        <f>Table3[[#This Row],[PrimaTécnica]]*Table3[[#This Row],[Utilidad]]</f>
        <v>165.89944562400001</v>
      </c>
      <c r="L1128" s="8">
        <f>Table3[[#This Row],[PrimaTécnica]]*Table3[[#This Row],[Marketing]]</f>
        <v>33.179889124799999</v>
      </c>
      <c r="M1128" s="8">
        <f>Table3[[#This Row],[PrimaTécnica]]*Table3[[#This Row],[Cobranza]]</f>
        <v>33.179889124799999</v>
      </c>
      <c r="N112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3317.9889124800002</v>
      </c>
      <c r="O1128">
        <v>21.84</v>
      </c>
      <c r="P1128">
        <v>54.6</v>
      </c>
      <c r="Q1128">
        <v>80.64</v>
      </c>
      <c r="R1128">
        <v>44.377200000000002</v>
      </c>
      <c r="S1128">
        <v>0.2</v>
      </c>
      <c r="T1128">
        <v>0.02</v>
      </c>
      <c r="U1128" s="8">
        <f>Table3[[#This Row],[PrimaNeta]]*Table3[[#This Row],[Comisión]]</f>
        <v>879.86152812</v>
      </c>
      <c r="V1128" s="15">
        <f>Table3[[#This Row],[PrimaComercial Anual]]-Table3[[#This Row],[PrimaComercial Anual]]*SUM(Table3[[#This Row],[APS]:[IVA]])</f>
        <v>4399.3076406</v>
      </c>
      <c r="W1128" s="2">
        <v>1.4800000000000001E-2</v>
      </c>
      <c r="X1128" s="2">
        <v>8.4501000000000007E-2</v>
      </c>
      <c r="Y1128">
        <v>0.03</v>
      </c>
      <c r="Z1128">
        <v>0.13</v>
      </c>
      <c r="AA1128" s="20">
        <f>Table3[[#This Row],[APS]]*Table3[[#This Row],[PrimaComercial Anual]]</f>
        <v>87.903120000000001</v>
      </c>
      <c r="AB1128" s="8">
        <f>Table3[[#This Row],[PrimaComercial Anual]]*Table3[[#This Row],[Recargo adicional]]</f>
        <v>501.88523939999999</v>
      </c>
      <c r="AC1128" s="8">
        <f>Table3[[#This Row],[PrimaComercial Anual]]*Table3[[#This Row],[IT]]</f>
        <v>178.18199999999999</v>
      </c>
      <c r="AD1128" s="8">
        <f>Table3[[#This Row],[PrimaComercial Anual]]*Table3[[#This Row],[IVA]]</f>
        <v>772.12199999999996</v>
      </c>
      <c r="AE1128" s="15">
        <f>Table3[[#This Row],[PrimaComercial Anual Asistencia]]</f>
        <v>5939.4</v>
      </c>
      <c r="AF1128">
        <v>1675.8</v>
      </c>
      <c r="AG1128">
        <v>5939.4</v>
      </c>
    </row>
    <row r="1129" spans="1:33" x14ac:dyDescent="0.25">
      <c r="A1129" t="s">
        <v>19</v>
      </c>
      <c r="B1129">
        <v>700002</v>
      </c>
      <c r="C1129">
        <v>22</v>
      </c>
      <c r="D1129" s="2">
        <f>Table3[[#This Row],[PrimaTécnica]]-Table3[[#This Row],[PrimaTécnica]]*SUM(Table3[[#This Row],[Gastos Adm]:[Cobranza]])</f>
        <v>2588.0313517344002</v>
      </c>
      <c r="E1129">
        <v>754.47197279999989</v>
      </c>
      <c r="F1129">
        <v>0.15</v>
      </c>
      <c r="G1129">
        <v>0.05</v>
      </c>
      <c r="H1129">
        <v>0.01</v>
      </c>
      <c r="I1129">
        <v>0.01</v>
      </c>
      <c r="J1129" s="8">
        <f>Table3[[#This Row],[PrimaTécnica]]*Table3[[#This Row],[Gastos Adm]]</f>
        <v>497.69833687200003</v>
      </c>
      <c r="K1129" s="8">
        <f>Table3[[#This Row],[PrimaTécnica]]*Table3[[#This Row],[Utilidad]]</f>
        <v>165.89944562400001</v>
      </c>
      <c r="L1129" s="8">
        <f>Table3[[#This Row],[PrimaTécnica]]*Table3[[#This Row],[Marketing]]</f>
        <v>33.179889124799999</v>
      </c>
      <c r="M1129" s="8">
        <f>Table3[[#This Row],[PrimaTécnica]]*Table3[[#This Row],[Cobranza]]</f>
        <v>33.179889124799999</v>
      </c>
      <c r="N112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3317.9889124800002</v>
      </c>
      <c r="O1129">
        <v>21.84</v>
      </c>
      <c r="P1129">
        <v>54.6</v>
      </c>
      <c r="Q1129">
        <v>80.64</v>
      </c>
      <c r="R1129">
        <v>44.377200000000002</v>
      </c>
      <c r="S1129">
        <v>0.2</v>
      </c>
      <c r="T1129">
        <v>0.02</v>
      </c>
      <c r="U1129" s="8">
        <f>Table3[[#This Row],[PrimaNeta]]*Table3[[#This Row],[Comisión]]</f>
        <v>879.86152812</v>
      </c>
      <c r="V1129" s="15">
        <f>Table3[[#This Row],[PrimaComercial Anual]]-Table3[[#This Row],[PrimaComercial Anual]]*SUM(Table3[[#This Row],[APS]:[IVA]])</f>
        <v>4399.3076406</v>
      </c>
      <c r="W1129" s="2">
        <v>1.4800000000000001E-2</v>
      </c>
      <c r="X1129" s="2">
        <v>8.4501000000000007E-2</v>
      </c>
      <c r="Y1129">
        <v>0.03</v>
      </c>
      <c r="Z1129">
        <v>0.13</v>
      </c>
      <c r="AA1129" s="20">
        <f>Table3[[#This Row],[APS]]*Table3[[#This Row],[PrimaComercial Anual]]</f>
        <v>87.903120000000001</v>
      </c>
      <c r="AB1129" s="8">
        <f>Table3[[#This Row],[PrimaComercial Anual]]*Table3[[#This Row],[Recargo adicional]]</f>
        <v>501.88523939999999</v>
      </c>
      <c r="AC1129" s="8">
        <f>Table3[[#This Row],[PrimaComercial Anual]]*Table3[[#This Row],[IT]]</f>
        <v>178.18199999999999</v>
      </c>
      <c r="AD1129" s="8">
        <f>Table3[[#This Row],[PrimaComercial Anual]]*Table3[[#This Row],[IVA]]</f>
        <v>772.12199999999996</v>
      </c>
      <c r="AE1129" s="15">
        <f>Table3[[#This Row],[PrimaComercial Anual Asistencia]]</f>
        <v>5939.4</v>
      </c>
      <c r="AF1129">
        <v>1675.8</v>
      </c>
      <c r="AG1129">
        <v>5939.4</v>
      </c>
    </row>
    <row r="1130" spans="1:33" x14ac:dyDescent="0.25">
      <c r="A1130" t="s">
        <v>19</v>
      </c>
      <c r="B1130">
        <v>700002</v>
      </c>
      <c r="C1130">
        <v>23</v>
      </c>
      <c r="D1130" s="2">
        <f>Table3[[#This Row],[PrimaTécnica]]-Table3[[#This Row],[PrimaTécnica]]*SUM(Table3[[#This Row],[Gastos Adm]:[Cobranza]])</f>
        <v>2588.0313517344002</v>
      </c>
      <c r="E1130">
        <v>754.47197279999989</v>
      </c>
      <c r="F1130">
        <v>0.15</v>
      </c>
      <c r="G1130">
        <v>0.05</v>
      </c>
      <c r="H1130">
        <v>0.01</v>
      </c>
      <c r="I1130">
        <v>0.01</v>
      </c>
      <c r="J1130" s="8">
        <f>Table3[[#This Row],[PrimaTécnica]]*Table3[[#This Row],[Gastos Adm]]</f>
        <v>497.69833687200003</v>
      </c>
      <c r="K1130" s="8">
        <f>Table3[[#This Row],[PrimaTécnica]]*Table3[[#This Row],[Utilidad]]</f>
        <v>165.89944562400001</v>
      </c>
      <c r="L1130" s="8">
        <f>Table3[[#This Row],[PrimaTécnica]]*Table3[[#This Row],[Marketing]]</f>
        <v>33.179889124799999</v>
      </c>
      <c r="M1130" s="8">
        <f>Table3[[#This Row],[PrimaTécnica]]*Table3[[#This Row],[Cobranza]]</f>
        <v>33.179889124799999</v>
      </c>
      <c r="N113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3317.9889124800002</v>
      </c>
      <c r="O1130">
        <v>21.84</v>
      </c>
      <c r="P1130">
        <v>54.6</v>
      </c>
      <c r="Q1130">
        <v>80.64</v>
      </c>
      <c r="R1130">
        <v>44.377200000000002</v>
      </c>
      <c r="S1130">
        <v>0.2</v>
      </c>
      <c r="T1130">
        <v>0.02</v>
      </c>
      <c r="U1130" s="8">
        <f>Table3[[#This Row],[PrimaNeta]]*Table3[[#This Row],[Comisión]]</f>
        <v>879.86152812</v>
      </c>
      <c r="V1130" s="15">
        <f>Table3[[#This Row],[PrimaComercial Anual]]-Table3[[#This Row],[PrimaComercial Anual]]*SUM(Table3[[#This Row],[APS]:[IVA]])</f>
        <v>4399.3076406</v>
      </c>
      <c r="W1130" s="2">
        <v>1.4800000000000001E-2</v>
      </c>
      <c r="X1130" s="2">
        <v>8.4501000000000007E-2</v>
      </c>
      <c r="Y1130">
        <v>0.03</v>
      </c>
      <c r="Z1130">
        <v>0.13</v>
      </c>
      <c r="AA1130" s="20">
        <f>Table3[[#This Row],[APS]]*Table3[[#This Row],[PrimaComercial Anual]]</f>
        <v>87.903120000000001</v>
      </c>
      <c r="AB1130" s="8">
        <f>Table3[[#This Row],[PrimaComercial Anual]]*Table3[[#This Row],[Recargo adicional]]</f>
        <v>501.88523939999999</v>
      </c>
      <c r="AC1130" s="8">
        <f>Table3[[#This Row],[PrimaComercial Anual]]*Table3[[#This Row],[IT]]</f>
        <v>178.18199999999999</v>
      </c>
      <c r="AD1130" s="8">
        <f>Table3[[#This Row],[PrimaComercial Anual]]*Table3[[#This Row],[IVA]]</f>
        <v>772.12199999999996</v>
      </c>
      <c r="AE1130" s="15">
        <f>Table3[[#This Row],[PrimaComercial Anual Asistencia]]</f>
        <v>5939.4</v>
      </c>
      <c r="AF1130">
        <v>1675.8</v>
      </c>
      <c r="AG1130">
        <v>5939.4</v>
      </c>
    </row>
    <row r="1131" spans="1:33" x14ac:dyDescent="0.25">
      <c r="A1131" t="s">
        <v>19</v>
      </c>
      <c r="B1131">
        <v>700002</v>
      </c>
      <c r="C1131">
        <v>24</v>
      </c>
      <c r="D1131" s="2">
        <f>Table3[[#This Row],[PrimaTécnica]]-Table3[[#This Row],[PrimaTécnica]]*SUM(Table3[[#This Row],[Gastos Adm]:[Cobranza]])</f>
        <v>2588.0313517344002</v>
      </c>
      <c r="E1131">
        <v>754.47197279999989</v>
      </c>
      <c r="F1131">
        <v>0.15</v>
      </c>
      <c r="G1131">
        <v>0.05</v>
      </c>
      <c r="H1131">
        <v>0.01</v>
      </c>
      <c r="I1131">
        <v>0.01</v>
      </c>
      <c r="J1131" s="8">
        <f>Table3[[#This Row],[PrimaTécnica]]*Table3[[#This Row],[Gastos Adm]]</f>
        <v>497.69833687200003</v>
      </c>
      <c r="K1131" s="8">
        <f>Table3[[#This Row],[PrimaTécnica]]*Table3[[#This Row],[Utilidad]]</f>
        <v>165.89944562400001</v>
      </c>
      <c r="L1131" s="8">
        <f>Table3[[#This Row],[PrimaTécnica]]*Table3[[#This Row],[Marketing]]</f>
        <v>33.179889124799999</v>
      </c>
      <c r="M1131" s="8">
        <f>Table3[[#This Row],[PrimaTécnica]]*Table3[[#This Row],[Cobranza]]</f>
        <v>33.179889124799999</v>
      </c>
      <c r="N113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3317.9889124800002</v>
      </c>
      <c r="O1131">
        <v>21.84</v>
      </c>
      <c r="P1131">
        <v>54.6</v>
      </c>
      <c r="Q1131">
        <v>80.64</v>
      </c>
      <c r="R1131">
        <v>44.377200000000002</v>
      </c>
      <c r="S1131">
        <v>0.2</v>
      </c>
      <c r="T1131">
        <v>0.02</v>
      </c>
      <c r="U1131" s="8">
        <f>Table3[[#This Row],[PrimaNeta]]*Table3[[#This Row],[Comisión]]</f>
        <v>879.86152812</v>
      </c>
      <c r="V1131" s="15">
        <f>Table3[[#This Row],[PrimaComercial Anual]]-Table3[[#This Row],[PrimaComercial Anual]]*SUM(Table3[[#This Row],[APS]:[IVA]])</f>
        <v>4399.3076406</v>
      </c>
      <c r="W1131" s="2">
        <v>1.4800000000000001E-2</v>
      </c>
      <c r="X1131" s="2">
        <v>8.4501000000000007E-2</v>
      </c>
      <c r="Y1131">
        <v>0.03</v>
      </c>
      <c r="Z1131">
        <v>0.13</v>
      </c>
      <c r="AA1131" s="20">
        <f>Table3[[#This Row],[APS]]*Table3[[#This Row],[PrimaComercial Anual]]</f>
        <v>87.903120000000001</v>
      </c>
      <c r="AB1131" s="8">
        <f>Table3[[#This Row],[PrimaComercial Anual]]*Table3[[#This Row],[Recargo adicional]]</f>
        <v>501.88523939999999</v>
      </c>
      <c r="AC1131" s="8">
        <f>Table3[[#This Row],[PrimaComercial Anual]]*Table3[[#This Row],[IT]]</f>
        <v>178.18199999999999</v>
      </c>
      <c r="AD1131" s="8">
        <f>Table3[[#This Row],[PrimaComercial Anual]]*Table3[[#This Row],[IVA]]</f>
        <v>772.12199999999996</v>
      </c>
      <c r="AE1131" s="15">
        <f>Table3[[#This Row],[PrimaComercial Anual Asistencia]]</f>
        <v>5939.4</v>
      </c>
      <c r="AF1131">
        <v>1675.8</v>
      </c>
      <c r="AG1131">
        <v>5939.4</v>
      </c>
    </row>
    <row r="1132" spans="1:33" x14ac:dyDescent="0.25">
      <c r="A1132" t="s">
        <v>19</v>
      </c>
      <c r="B1132">
        <v>700002</v>
      </c>
      <c r="C1132">
        <v>25</v>
      </c>
      <c r="D1132" s="2">
        <f>Table3[[#This Row],[PrimaTécnica]]-Table3[[#This Row],[PrimaTécnica]]*SUM(Table3[[#This Row],[Gastos Adm]:[Cobranza]])</f>
        <v>2588.0313517344002</v>
      </c>
      <c r="E1132">
        <v>754.47197279999989</v>
      </c>
      <c r="F1132">
        <v>0.15</v>
      </c>
      <c r="G1132">
        <v>0.05</v>
      </c>
      <c r="H1132">
        <v>0.01</v>
      </c>
      <c r="I1132">
        <v>0.01</v>
      </c>
      <c r="J1132" s="8">
        <f>Table3[[#This Row],[PrimaTécnica]]*Table3[[#This Row],[Gastos Adm]]</f>
        <v>497.69833687200003</v>
      </c>
      <c r="K1132" s="8">
        <f>Table3[[#This Row],[PrimaTécnica]]*Table3[[#This Row],[Utilidad]]</f>
        <v>165.89944562400001</v>
      </c>
      <c r="L1132" s="8">
        <f>Table3[[#This Row],[PrimaTécnica]]*Table3[[#This Row],[Marketing]]</f>
        <v>33.179889124799999</v>
      </c>
      <c r="M1132" s="8">
        <f>Table3[[#This Row],[PrimaTécnica]]*Table3[[#This Row],[Cobranza]]</f>
        <v>33.179889124799999</v>
      </c>
      <c r="N113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3317.9889124800002</v>
      </c>
      <c r="O1132">
        <v>21.84</v>
      </c>
      <c r="P1132">
        <v>54.6</v>
      </c>
      <c r="Q1132">
        <v>80.64</v>
      </c>
      <c r="R1132">
        <v>44.377200000000002</v>
      </c>
      <c r="S1132">
        <v>0.2</v>
      </c>
      <c r="T1132">
        <v>0.02</v>
      </c>
      <c r="U1132" s="8">
        <f>Table3[[#This Row],[PrimaNeta]]*Table3[[#This Row],[Comisión]]</f>
        <v>879.86152812</v>
      </c>
      <c r="V1132" s="15">
        <f>Table3[[#This Row],[PrimaComercial Anual]]-Table3[[#This Row],[PrimaComercial Anual]]*SUM(Table3[[#This Row],[APS]:[IVA]])</f>
        <v>4399.3076406</v>
      </c>
      <c r="W1132" s="2">
        <v>1.4800000000000001E-2</v>
      </c>
      <c r="X1132" s="2">
        <v>8.4501000000000007E-2</v>
      </c>
      <c r="Y1132">
        <v>0.03</v>
      </c>
      <c r="Z1132">
        <v>0.13</v>
      </c>
      <c r="AA1132" s="20">
        <f>Table3[[#This Row],[APS]]*Table3[[#This Row],[PrimaComercial Anual]]</f>
        <v>87.903120000000001</v>
      </c>
      <c r="AB1132" s="8">
        <f>Table3[[#This Row],[PrimaComercial Anual]]*Table3[[#This Row],[Recargo adicional]]</f>
        <v>501.88523939999999</v>
      </c>
      <c r="AC1132" s="8">
        <f>Table3[[#This Row],[PrimaComercial Anual]]*Table3[[#This Row],[IT]]</f>
        <v>178.18199999999999</v>
      </c>
      <c r="AD1132" s="8">
        <f>Table3[[#This Row],[PrimaComercial Anual]]*Table3[[#This Row],[IVA]]</f>
        <v>772.12199999999996</v>
      </c>
      <c r="AE1132" s="15">
        <f>Table3[[#This Row],[PrimaComercial Anual Asistencia]]</f>
        <v>5939.4</v>
      </c>
      <c r="AF1132">
        <v>1675.8</v>
      </c>
      <c r="AG1132">
        <v>5939.4</v>
      </c>
    </row>
    <row r="1133" spans="1:33" x14ac:dyDescent="0.25">
      <c r="A1133" t="s">
        <v>19</v>
      </c>
      <c r="B1133">
        <v>700002</v>
      </c>
      <c r="C1133">
        <v>26</v>
      </c>
      <c r="D1133" s="2">
        <f>Table3[[#This Row],[PrimaTécnica]]-Table3[[#This Row],[PrimaTécnica]]*SUM(Table3[[#This Row],[Gastos Adm]:[Cobranza]])</f>
        <v>2588.0313517344002</v>
      </c>
      <c r="E1133">
        <v>754.47197279999989</v>
      </c>
      <c r="F1133">
        <v>0.15</v>
      </c>
      <c r="G1133">
        <v>0.05</v>
      </c>
      <c r="H1133">
        <v>0.01</v>
      </c>
      <c r="I1133">
        <v>0.01</v>
      </c>
      <c r="J1133" s="8">
        <f>Table3[[#This Row],[PrimaTécnica]]*Table3[[#This Row],[Gastos Adm]]</f>
        <v>497.69833687200003</v>
      </c>
      <c r="K1133" s="8">
        <f>Table3[[#This Row],[PrimaTécnica]]*Table3[[#This Row],[Utilidad]]</f>
        <v>165.89944562400001</v>
      </c>
      <c r="L1133" s="8">
        <f>Table3[[#This Row],[PrimaTécnica]]*Table3[[#This Row],[Marketing]]</f>
        <v>33.179889124799999</v>
      </c>
      <c r="M1133" s="8">
        <f>Table3[[#This Row],[PrimaTécnica]]*Table3[[#This Row],[Cobranza]]</f>
        <v>33.179889124799999</v>
      </c>
      <c r="N113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3317.9889124800002</v>
      </c>
      <c r="O1133">
        <v>21.84</v>
      </c>
      <c r="P1133">
        <v>54.6</v>
      </c>
      <c r="Q1133">
        <v>80.64</v>
      </c>
      <c r="R1133">
        <v>44.377200000000002</v>
      </c>
      <c r="S1133">
        <v>0.2</v>
      </c>
      <c r="T1133">
        <v>0.02</v>
      </c>
      <c r="U1133" s="8">
        <f>Table3[[#This Row],[PrimaNeta]]*Table3[[#This Row],[Comisión]]</f>
        <v>879.86152812</v>
      </c>
      <c r="V1133" s="15">
        <f>Table3[[#This Row],[PrimaComercial Anual]]-Table3[[#This Row],[PrimaComercial Anual]]*SUM(Table3[[#This Row],[APS]:[IVA]])</f>
        <v>4399.3076406</v>
      </c>
      <c r="W1133" s="2">
        <v>1.4800000000000001E-2</v>
      </c>
      <c r="X1133" s="2">
        <v>8.4501000000000007E-2</v>
      </c>
      <c r="Y1133">
        <v>0.03</v>
      </c>
      <c r="Z1133">
        <v>0.13</v>
      </c>
      <c r="AA1133" s="20">
        <f>Table3[[#This Row],[APS]]*Table3[[#This Row],[PrimaComercial Anual]]</f>
        <v>87.903120000000001</v>
      </c>
      <c r="AB1133" s="8">
        <f>Table3[[#This Row],[PrimaComercial Anual]]*Table3[[#This Row],[Recargo adicional]]</f>
        <v>501.88523939999999</v>
      </c>
      <c r="AC1133" s="8">
        <f>Table3[[#This Row],[PrimaComercial Anual]]*Table3[[#This Row],[IT]]</f>
        <v>178.18199999999999</v>
      </c>
      <c r="AD1133" s="8">
        <f>Table3[[#This Row],[PrimaComercial Anual]]*Table3[[#This Row],[IVA]]</f>
        <v>772.12199999999996</v>
      </c>
      <c r="AE1133" s="15">
        <f>Table3[[#This Row],[PrimaComercial Anual Asistencia]]</f>
        <v>5939.4</v>
      </c>
      <c r="AF1133">
        <v>1675.8</v>
      </c>
      <c r="AG1133">
        <v>5939.4</v>
      </c>
    </row>
    <row r="1134" spans="1:33" x14ac:dyDescent="0.25">
      <c r="A1134" t="s">
        <v>19</v>
      </c>
      <c r="B1134">
        <v>700002</v>
      </c>
      <c r="C1134">
        <v>27</v>
      </c>
      <c r="D1134" s="2">
        <f>Table3[[#This Row],[PrimaTécnica]]-Table3[[#This Row],[PrimaTécnica]]*SUM(Table3[[#This Row],[Gastos Adm]:[Cobranza]])</f>
        <v>2588.0313517344002</v>
      </c>
      <c r="E1134">
        <v>754.47197279999989</v>
      </c>
      <c r="F1134">
        <v>0.15</v>
      </c>
      <c r="G1134">
        <v>0.05</v>
      </c>
      <c r="H1134">
        <v>0.01</v>
      </c>
      <c r="I1134">
        <v>0.01</v>
      </c>
      <c r="J1134" s="8">
        <f>Table3[[#This Row],[PrimaTécnica]]*Table3[[#This Row],[Gastos Adm]]</f>
        <v>497.69833687200003</v>
      </c>
      <c r="K1134" s="8">
        <f>Table3[[#This Row],[PrimaTécnica]]*Table3[[#This Row],[Utilidad]]</f>
        <v>165.89944562400001</v>
      </c>
      <c r="L1134" s="8">
        <f>Table3[[#This Row],[PrimaTécnica]]*Table3[[#This Row],[Marketing]]</f>
        <v>33.179889124799999</v>
      </c>
      <c r="M1134" s="8">
        <f>Table3[[#This Row],[PrimaTécnica]]*Table3[[#This Row],[Cobranza]]</f>
        <v>33.179889124799999</v>
      </c>
      <c r="N113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3317.9889124800002</v>
      </c>
      <c r="O1134">
        <v>21.84</v>
      </c>
      <c r="P1134">
        <v>54.6</v>
      </c>
      <c r="Q1134">
        <v>80.64</v>
      </c>
      <c r="R1134">
        <v>44.377200000000002</v>
      </c>
      <c r="S1134">
        <v>0.2</v>
      </c>
      <c r="T1134">
        <v>0.02</v>
      </c>
      <c r="U1134" s="8">
        <f>Table3[[#This Row],[PrimaNeta]]*Table3[[#This Row],[Comisión]]</f>
        <v>879.86152812</v>
      </c>
      <c r="V1134" s="15">
        <f>Table3[[#This Row],[PrimaComercial Anual]]-Table3[[#This Row],[PrimaComercial Anual]]*SUM(Table3[[#This Row],[APS]:[IVA]])</f>
        <v>4399.3076406</v>
      </c>
      <c r="W1134" s="2">
        <v>1.4800000000000001E-2</v>
      </c>
      <c r="X1134" s="2">
        <v>8.4501000000000007E-2</v>
      </c>
      <c r="Y1134">
        <v>0.03</v>
      </c>
      <c r="Z1134">
        <v>0.13</v>
      </c>
      <c r="AA1134" s="20">
        <f>Table3[[#This Row],[APS]]*Table3[[#This Row],[PrimaComercial Anual]]</f>
        <v>87.903120000000001</v>
      </c>
      <c r="AB1134" s="8">
        <f>Table3[[#This Row],[PrimaComercial Anual]]*Table3[[#This Row],[Recargo adicional]]</f>
        <v>501.88523939999999</v>
      </c>
      <c r="AC1134" s="8">
        <f>Table3[[#This Row],[PrimaComercial Anual]]*Table3[[#This Row],[IT]]</f>
        <v>178.18199999999999</v>
      </c>
      <c r="AD1134" s="8">
        <f>Table3[[#This Row],[PrimaComercial Anual]]*Table3[[#This Row],[IVA]]</f>
        <v>772.12199999999996</v>
      </c>
      <c r="AE1134" s="15">
        <f>Table3[[#This Row],[PrimaComercial Anual Asistencia]]</f>
        <v>5939.4</v>
      </c>
      <c r="AF1134">
        <v>1675.8</v>
      </c>
      <c r="AG1134">
        <v>5939.4</v>
      </c>
    </row>
    <row r="1135" spans="1:33" x14ac:dyDescent="0.25">
      <c r="A1135" t="s">
        <v>19</v>
      </c>
      <c r="B1135">
        <v>700002</v>
      </c>
      <c r="C1135">
        <v>28</v>
      </c>
      <c r="D1135" s="2">
        <f>Table3[[#This Row],[PrimaTécnica]]-Table3[[#This Row],[PrimaTécnica]]*SUM(Table3[[#This Row],[Gastos Adm]:[Cobranza]])</f>
        <v>2588.0313517344002</v>
      </c>
      <c r="E1135">
        <v>754.47197279999989</v>
      </c>
      <c r="F1135">
        <v>0.15</v>
      </c>
      <c r="G1135">
        <v>0.05</v>
      </c>
      <c r="H1135">
        <v>0.01</v>
      </c>
      <c r="I1135">
        <v>0.01</v>
      </c>
      <c r="J1135" s="8">
        <f>Table3[[#This Row],[PrimaTécnica]]*Table3[[#This Row],[Gastos Adm]]</f>
        <v>497.69833687200003</v>
      </c>
      <c r="K1135" s="8">
        <f>Table3[[#This Row],[PrimaTécnica]]*Table3[[#This Row],[Utilidad]]</f>
        <v>165.89944562400001</v>
      </c>
      <c r="L1135" s="8">
        <f>Table3[[#This Row],[PrimaTécnica]]*Table3[[#This Row],[Marketing]]</f>
        <v>33.179889124799999</v>
      </c>
      <c r="M1135" s="8">
        <f>Table3[[#This Row],[PrimaTécnica]]*Table3[[#This Row],[Cobranza]]</f>
        <v>33.179889124799999</v>
      </c>
      <c r="N113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3317.9889124800002</v>
      </c>
      <c r="O1135">
        <v>21.84</v>
      </c>
      <c r="P1135">
        <v>54.6</v>
      </c>
      <c r="Q1135">
        <v>80.64</v>
      </c>
      <c r="R1135">
        <v>44.377200000000002</v>
      </c>
      <c r="S1135">
        <v>0.2</v>
      </c>
      <c r="T1135">
        <v>0.02</v>
      </c>
      <c r="U1135" s="8">
        <f>Table3[[#This Row],[PrimaNeta]]*Table3[[#This Row],[Comisión]]</f>
        <v>879.86152812</v>
      </c>
      <c r="V1135" s="15">
        <f>Table3[[#This Row],[PrimaComercial Anual]]-Table3[[#This Row],[PrimaComercial Anual]]*SUM(Table3[[#This Row],[APS]:[IVA]])</f>
        <v>4399.3076406</v>
      </c>
      <c r="W1135" s="2">
        <v>1.4800000000000001E-2</v>
      </c>
      <c r="X1135" s="2">
        <v>8.4501000000000007E-2</v>
      </c>
      <c r="Y1135">
        <v>0.03</v>
      </c>
      <c r="Z1135">
        <v>0.13</v>
      </c>
      <c r="AA1135" s="20">
        <f>Table3[[#This Row],[APS]]*Table3[[#This Row],[PrimaComercial Anual]]</f>
        <v>87.903120000000001</v>
      </c>
      <c r="AB1135" s="8">
        <f>Table3[[#This Row],[PrimaComercial Anual]]*Table3[[#This Row],[Recargo adicional]]</f>
        <v>501.88523939999999</v>
      </c>
      <c r="AC1135" s="8">
        <f>Table3[[#This Row],[PrimaComercial Anual]]*Table3[[#This Row],[IT]]</f>
        <v>178.18199999999999</v>
      </c>
      <c r="AD1135" s="8">
        <f>Table3[[#This Row],[PrimaComercial Anual]]*Table3[[#This Row],[IVA]]</f>
        <v>772.12199999999996</v>
      </c>
      <c r="AE1135" s="15">
        <f>Table3[[#This Row],[PrimaComercial Anual Asistencia]]</f>
        <v>5939.4</v>
      </c>
      <c r="AF1135">
        <v>1675.8</v>
      </c>
      <c r="AG1135">
        <v>5939.4</v>
      </c>
    </row>
    <row r="1136" spans="1:33" x14ac:dyDescent="0.25">
      <c r="A1136" t="s">
        <v>19</v>
      </c>
      <c r="B1136">
        <v>700002</v>
      </c>
      <c r="C1136">
        <v>29</v>
      </c>
      <c r="D1136" s="2">
        <f>Table3[[#This Row],[PrimaTécnica]]-Table3[[#This Row],[PrimaTécnica]]*SUM(Table3[[#This Row],[Gastos Adm]:[Cobranza]])</f>
        <v>2588.0313517344002</v>
      </c>
      <c r="E1136">
        <v>754.47197279999989</v>
      </c>
      <c r="F1136">
        <v>0.15</v>
      </c>
      <c r="G1136">
        <v>0.05</v>
      </c>
      <c r="H1136">
        <v>0.01</v>
      </c>
      <c r="I1136">
        <v>0.01</v>
      </c>
      <c r="J1136" s="8">
        <f>Table3[[#This Row],[PrimaTécnica]]*Table3[[#This Row],[Gastos Adm]]</f>
        <v>497.69833687200003</v>
      </c>
      <c r="K1136" s="8">
        <f>Table3[[#This Row],[PrimaTécnica]]*Table3[[#This Row],[Utilidad]]</f>
        <v>165.89944562400001</v>
      </c>
      <c r="L1136" s="8">
        <f>Table3[[#This Row],[PrimaTécnica]]*Table3[[#This Row],[Marketing]]</f>
        <v>33.179889124799999</v>
      </c>
      <c r="M1136" s="8">
        <f>Table3[[#This Row],[PrimaTécnica]]*Table3[[#This Row],[Cobranza]]</f>
        <v>33.179889124799999</v>
      </c>
      <c r="N113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3317.9889124800002</v>
      </c>
      <c r="O1136">
        <v>21.84</v>
      </c>
      <c r="P1136">
        <v>54.6</v>
      </c>
      <c r="Q1136">
        <v>80.64</v>
      </c>
      <c r="R1136">
        <v>44.377200000000002</v>
      </c>
      <c r="S1136">
        <v>0.2</v>
      </c>
      <c r="T1136">
        <v>0.02</v>
      </c>
      <c r="U1136" s="8">
        <f>Table3[[#This Row],[PrimaNeta]]*Table3[[#This Row],[Comisión]]</f>
        <v>879.86152812</v>
      </c>
      <c r="V1136" s="15">
        <f>Table3[[#This Row],[PrimaComercial Anual]]-Table3[[#This Row],[PrimaComercial Anual]]*SUM(Table3[[#This Row],[APS]:[IVA]])</f>
        <v>4399.3076406</v>
      </c>
      <c r="W1136" s="2">
        <v>1.4800000000000001E-2</v>
      </c>
      <c r="X1136" s="2">
        <v>8.4501000000000007E-2</v>
      </c>
      <c r="Y1136">
        <v>0.03</v>
      </c>
      <c r="Z1136">
        <v>0.13</v>
      </c>
      <c r="AA1136" s="20">
        <f>Table3[[#This Row],[APS]]*Table3[[#This Row],[PrimaComercial Anual]]</f>
        <v>87.903120000000001</v>
      </c>
      <c r="AB1136" s="8">
        <f>Table3[[#This Row],[PrimaComercial Anual]]*Table3[[#This Row],[Recargo adicional]]</f>
        <v>501.88523939999999</v>
      </c>
      <c r="AC1136" s="8">
        <f>Table3[[#This Row],[PrimaComercial Anual]]*Table3[[#This Row],[IT]]</f>
        <v>178.18199999999999</v>
      </c>
      <c r="AD1136" s="8">
        <f>Table3[[#This Row],[PrimaComercial Anual]]*Table3[[#This Row],[IVA]]</f>
        <v>772.12199999999996</v>
      </c>
      <c r="AE1136" s="15">
        <f>Table3[[#This Row],[PrimaComercial Anual Asistencia]]</f>
        <v>5939.4</v>
      </c>
      <c r="AF1136">
        <v>1675.8</v>
      </c>
      <c r="AG1136">
        <v>5939.4</v>
      </c>
    </row>
    <row r="1137" spans="1:33" x14ac:dyDescent="0.25">
      <c r="A1137" t="s">
        <v>19</v>
      </c>
      <c r="B1137">
        <v>700002</v>
      </c>
      <c r="C1137">
        <v>30</v>
      </c>
      <c r="D1137" s="2">
        <f>Table3[[#This Row],[PrimaTécnica]]-Table3[[#This Row],[PrimaTécnica]]*SUM(Table3[[#This Row],[Gastos Adm]:[Cobranza]])</f>
        <v>2661.7978614240001</v>
      </c>
      <c r="E1137">
        <v>1077.817104</v>
      </c>
      <c r="F1137">
        <v>0.15</v>
      </c>
      <c r="G1137">
        <v>0.05</v>
      </c>
      <c r="H1137">
        <v>0.01</v>
      </c>
      <c r="I1137">
        <v>0.01</v>
      </c>
      <c r="J1137" s="8">
        <f>Table3[[#This Row],[PrimaTécnica]]*Table3[[#This Row],[Gastos Adm]]</f>
        <v>511.88420412000005</v>
      </c>
      <c r="K1137" s="8">
        <f>Table3[[#This Row],[PrimaTécnica]]*Table3[[#This Row],[Utilidad]]</f>
        <v>170.62806804000002</v>
      </c>
      <c r="L1137" s="8">
        <f>Table3[[#This Row],[PrimaTécnica]]*Table3[[#This Row],[Marketing]]</f>
        <v>34.125613608000002</v>
      </c>
      <c r="M1137" s="8">
        <f>Table3[[#This Row],[PrimaTécnica]]*Table3[[#This Row],[Cobranza]]</f>
        <v>34.125613608000002</v>
      </c>
      <c r="N113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137">
        <v>21.84</v>
      </c>
      <c r="P1137">
        <v>54.6</v>
      </c>
      <c r="Q1137">
        <v>80.64</v>
      </c>
      <c r="R1137">
        <v>44.377200000000002</v>
      </c>
      <c r="S1137">
        <v>0.2</v>
      </c>
      <c r="T1137">
        <v>0.02</v>
      </c>
      <c r="U1137" s="8">
        <f>Table3[[#This Row],[PrimaNeta]]*Table3[[#This Row],[Comisión]]</f>
        <v>903.50464020000004</v>
      </c>
      <c r="V1137" s="15">
        <f>Table3[[#This Row],[PrimaComercial Anual]]-Table3[[#This Row],[PrimaComercial Anual]]*SUM(Table3[[#This Row],[APS]:[IVA]])</f>
        <v>4517.523201</v>
      </c>
      <c r="W1137" s="2">
        <v>1.4800000000000001E-2</v>
      </c>
      <c r="X1137" s="2">
        <v>8.4501000000000007E-2</v>
      </c>
      <c r="Y1137">
        <v>0.03</v>
      </c>
      <c r="Z1137">
        <v>0.13</v>
      </c>
      <c r="AA1137" s="20">
        <f>Table3[[#This Row],[APS]]*Table3[[#This Row],[PrimaComercial Anual]]</f>
        <v>90.265200000000007</v>
      </c>
      <c r="AB1137" s="8">
        <f>Table3[[#This Row],[PrimaComercial Anual]]*Table3[[#This Row],[Recargo adicional]]</f>
        <v>515.37159900000006</v>
      </c>
      <c r="AC1137" s="8">
        <f>Table3[[#This Row],[PrimaComercial Anual]]*Table3[[#This Row],[IT]]</f>
        <v>182.97</v>
      </c>
      <c r="AD1137" s="8">
        <f>Table3[[#This Row],[PrimaComercial Anual]]*Table3[[#This Row],[IVA]]</f>
        <v>792.87</v>
      </c>
      <c r="AE1137" s="15">
        <f>Table3[[#This Row],[PrimaComercial Anual Asistencia]]</f>
        <v>6099</v>
      </c>
      <c r="AF1137">
        <v>2394</v>
      </c>
      <c r="AG1137">
        <v>6099</v>
      </c>
    </row>
    <row r="1138" spans="1:33" x14ac:dyDescent="0.25">
      <c r="A1138" t="s">
        <v>19</v>
      </c>
      <c r="B1138">
        <v>700002</v>
      </c>
      <c r="C1138">
        <v>31</v>
      </c>
      <c r="D1138" s="2">
        <f>Table3[[#This Row],[PrimaTécnica]]-Table3[[#This Row],[PrimaTécnica]]*SUM(Table3[[#This Row],[Gastos Adm]:[Cobranza]])</f>
        <v>2661.7978614240001</v>
      </c>
      <c r="E1138">
        <v>1077.817104</v>
      </c>
      <c r="F1138">
        <v>0.15</v>
      </c>
      <c r="G1138">
        <v>0.05</v>
      </c>
      <c r="H1138">
        <v>0.01</v>
      </c>
      <c r="I1138">
        <v>0.01</v>
      </c>
      <c r="J1138" s="8">
        <f>Table3[[#This Row],[PrimaTécnica]]*Table3[[#This Row],[Gastos Adm]]</f>
        <v>511.88420412000005</v>
      </c>
      <c r="K1138" s="8">
        <f>Table3[[#This Row],[PrimaTécnica]]*Table3[[#This Row],[Utilidad]]</f>
        <v>170.62806804000002</v>
      </c>
      <c r="L1138" s="8">
        <f>Table3[[#This Row],[PrimaTécnica]]*Table3[[#This Row],[Marketing]]</f>
        <v>34.125613608000002</v>
      </c>
      <c r="M1138" s="8">
        <f>Table3[[#This Row],[PrimaTécnica]]*Table3[[#This Row],[Cobranza]]</f>
        <v>34.125613608000002</v>
      </c>
      <c r="N113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138">
        <v>21.84</v>
      </c>
      <c r="P1138">
        <v>54.6</v>
      </c>
      <c r="Q1138">
        <v>80.64</v>
      </c>
      <c r="R1138">
        <v>44.377200000000002</v>
      </c>
      <c r="S1138">
        <v>0.2</v>
      </c>
      <c r="T1138">
        <v>0.02</v>
      </c>
      <c r="U1138" s="8">
        <f>Table3[[#This Row],[PrimaNeta]]*Table3[[#This Row],[Comisión]]</f>
        <v>903.50464020000004</v>
      </c>
      <c r="V1138" s="15">
        <f>Table3[[#This Row],[PrimaComercial Anual]]-Table3[[#This Row],[PrimaComercial Anual]]*SUM(Table3[[#This Row],[APS]:[IVA]])</f>
        <v>4517.523201</v>
      </c>
      <c r="W1138" s="2">
        <v>1.4800000000000001E-2</v>
      </c>
      <c r="X1138" s="2">
        <v>8.4501000000000007E-2</v>
      </c>
      <c r="Y1138">
        <v>0.03</v>
      </c>
      <c r="Z1138">
        <v>0.13</v>
      </c>
      <c r="AA1138" s="20">
        <f>Table3[[#This Row],[APS]]*Table3[[#This Row],[PrimaComercial Anual]]</f>
        <v>90.265200000000007</v>
      </c>
      <c r="AB1138" s="8">
        <f>Table3[[#This Row],[PrimaComercial Anual]]*Table3[[#This Row],[Recargo adicional]]</f>
        <v>515.37159900000006</v>
      </c>
      <c r="AC1138" s="8">
        <f>Table3[[#This Row],[PrimaComercial Anual]]*Table3[[#This Row],[IT]]</f>
        <v>182.97</v>
      </c>
      <c r="AD1138" s="8">
        <f>Table3[[#This Row],[PrimaComercial Anual]]*Table3[[#This Row],[IVA]]</f>
        <v>792.87</v>
      </c>
      <c r="AE1138" s="15">
        <f>Table3[[#This Row],[PrimaComercial Anual Asistencia]]</f>
        <v>6099</v>
      </c>
      <c r="AF1138">
        <v>2394</v>
      </c>
      <c r="AG1138">
        <v>6099</v>
      </c>
    </row>
    <row r="1139" spans="1:33" x14ac:dyDescent="0.25">
      <c r="A1139" t="s">
        <v>19</v>
      </c>
      <c r="B1139">
        <v>700002</v>
      </c>
      <c r="C1139">
        <v>32</v>
      </c>
      <c r="D1139" s="2">
        <f>Table3[[#This Row],[PrimaTécnica]]-Table3[[#This Row],[PrimaTécnica]]*SUM(Table3[[#This Row],[Gastos Adm]:[Cobranza]])</f>
        <v>2661.7978614240001</v>
      </c>
      <c r="E1139">
        <v>1077.817104</v>
      </c>
      <c r="F1139">
        <v>0.15</v>
      </c>
      <c r="G1139">
        <v>0.05</v>
      </c>
      <c r="H1139">
        <v>0.01</v>
      </c>
      <c r="I1139">
        <v>0.01</v>
      </c>
      <c r="J1139" s="8">
        <f>Table3[[#This Row],[PrimaTécnica]]*Table3[[#This Row],[Gastos Adm]]</f>
        <v>511.88420412000005</v>
      </c>
      <c r="K1139" s="8">
        <f>Table3[[#This Row],[PrimaTécnica]]*Table3[[#This Row],[Utilidad]]</f>
        <v>170.62806804000002</v>
      </c>
      <c r="L1139" s="8">
        <f>Table3[[#This Row],[PrimaTécnica]]*Table3[[#This Row],[Marketing]]</f>
        <v>34.125613608000002</v>
      </c>
      <c r="M1139" s="8">
        <f>Table3[[#This Row],[PrimaTécnica]]*Table3[[#This Row],[Cobranza]]</f>
        <v>34.125613608000002</v>
      </c>
      <c r="N113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139">
        <v>21.84</v>
      </c>
      <c r="P1139">
        <v>54.6</v>
      </c>
      <c r="Q1139">
        <v>80.64</v>
      </c>
      <c r="R1139">
        <v>44.377200000000002</v>
      </c>
      <c r="S1139">
        <v>0.2</v>
      </c>
      <c r="T1139">
        <v>0.02</v>
      </c>
      <c r="U1139" s="8">
        <f>Table3[[#This Row],[PrimaNeta]]*Table3[[#This Row],[Comisión]]</f>
        <v>903.50464020000004</v>
      </c>
      <c r="V1139" s="15">
        <f>Table3[[#This Row],[PrimaComercial Anual]]-Table3[[#This Row],[PrimaComercial Anual]]*SUM(Table3[[#This Row],[APS]:[IVA]])</f>
        <v>4517.523201</v>
      </c>
      <c r="W1139" s="2">
        <v>1.4800000000000001E-2</v>
      </c>
      <c r="X1139" s="2">
        <v>8.4501000000000007E-2</v>
      </c>
      <c r="Y1139">
        <v>0.03</v>
      </c>
      <c r="Z1139">
        <v>0.13</v>
      </c>
      <c r="AA1139" s="20">
        <f>Table3[[#This Row],[APS]]*Table3[[#This Row],[PrimaComercial Anual]]</f>
        <v>90.265200000000007</v>
      </c>
      <c r="AB1139" s="8">
        <f>Table3[[#This Row],[PrimaComercial Anual]]*Table3[[#This Row],[Recargo adicional]]</f>
        <v>515.37159900000006</v>
      </c>
      <c r="AC1139" s="8">
        <f>Table3[[#This Row],[PrimaComercial Anual]]*Table3[[#This Row],[IT]]</f>
        <v>182.97</v>
      </c>
      <c r="AD1139" s="8">
        <f>Table3[[#This Row],[PrimaComercial Anual]]*Table3[[#This Row],[IVA]]</f>
        <v>792.87</v>
      </c>
      <c r="AE1139" s="15">
        <f>Table3[[#This Row],[PrimaComercial Anual Asistencia]]</f>
        <v>6099</v>
      </c>
      <c r="AF1139">
        <v>2394</v>
      </c>
      <c r="AG1139">
        <v>6099</v>
      </c>
    </row>
    <row r="1140" spans="1:33" x14ac:dyDescent="0.25">
      <c r="A1140" t="s">
        <v>19</v>
      </c>
      <c r="B1140">
        <v>700002</v>
      </c>
      <c r="C1140">
        <v>33</v>
      </c>
      <c r="D1140" s="2">
        <f>Table3[[#This Row],[PrimaTécnica]]-Table3[[#This Row],[PrimaTécnica]]*SUM(Table3[[#This Row],[Gastos Adm]:[Cobranza]])</f>
        <v>2661.7978614240001</v>
      </c>
      <c r="E1140">
        <v>1077.817104</v>
      </c>
      <c r="F1140">
        <v>0.15</v>
      </c>
      <c r="G1140">
        <v>0.05</v>
      </c>
      <c r="H1140">
        <v>0.01</v>
      </c>
      <c r="I1140">
        <v>0.01</v>
      </c>
      <c r="J1140" s="8">
        <f>Table3[[#This Row],[PrimaTécnica]]*Table3[[#This Row],[Gastos Adm]]</f>
        <v>511.88420412000005</v>
      </c>
      <c r="K1140" s="8">
        <f>Table3[[#This Row],[PrimaTécnica]]*Table3[[#This Row],[Utilidad]]</f>
        <v>170.62806804000002</v>
      </c>
      <c r="L1140" s="8">
        <f>Table3[[#This Row],[PrimaTécnica]]*Table3[[#This Row],[Marketing]]</f>
        <v>34.125613608000002</v>
      </c>
      <c r="M1140" s="8">
        <f>Table3[[#This Row],[PrimaTécnica]]*Table3[[#This Row],[Cobranza]]</f>
        <v>34.125613608000002</v>
      </c>
      <c r="N114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140">
        <v>21.84</v>
      </c>
      <c r="P1140">
        <v>54.6</v>
      </c>
      <c r="Q1140">
        <v>80.64</v>
      </c>
      <c r="R1140">
        <v>44.377200000000002</v>
      </c>
      <c r="S1140">
        <v>0.2</v>
      </c>
      <c r="T1140">
        <v>0.02</v>
      </c>
      <c r="U1140" s="8">
        <f>Table3[[#This Row],[PrimaNeta]]*Table3[[#This Row],[Comisión]]</f>
        <v>903.50464020000004</v>
      </c>
      <c r="V1140" s="15">
        <f>Table3[[#This Row],[PrimaComercial Anual]]-Table3[[#This Row],[PrimaComercial Anual]]*SUM(Table3[[#This Row],[APS]:[IVA]])</f>
        <v>4517.523201</v>
      </c>
      <c r="W1140" s="2">
        <v>1.4800000000000001E-2</v>
      </c>
      <c r="X1140" s="2">
        <v>8.4501000000000007E-2</v>
      </c>
      <c r="Y1140">
        <v>0.03</v>
      </c>
      <c r="Z1140">
        <v>0.13</v>
      </c>
      <c r="AA1140" s="20">
        <f>Table3[[#This Row],[APS]]*Table3[[#This Row],[PrimaComercial Anual]]</f>
        <v>90.265200000000007</v>
      </c>
      <c r="AB1140" s="8">
        <f>Table3[[#This Row],[PrimaComercial Anual]]*Table3[[#This Row],[Recargo adicional]]</f>
        <v>515.37159900000006</v>
      </c>
      <c r="AC1140" s="8">
        <f>Table3[[#This Row],[PrimaComercial Anual]]*Table3[[#This Row],[IT]]</f>
        <v>182.97</v>
      </c>
      <c r="AD1140" s="8">
        <f>Table3[[#This Row],[PrimaComercial Anual]]*Table3[[#This Row],[IVA]]</f>
        <v>792.87</v>
      </c>
      <c r="AE1140" s="15">
        <f>Table3[[#This Row],[PrimaComercial Anual Asistencia]]</f>
        <v>6099</v>
      </c>
      <c r="AF1140">
        <v>2394</v>
      </c>
      <c r="AG1140">
        <v>6099</v>
      </c>
    </row>
    <row r="1141" spans="1:33" x14ac:dyDescent="0.25">
      <c r="A1141" t="s">
        <v>19</v>
      </c>
      <c r="B1141">
        <v>700002</v>
      </c>
      <c r="C1141">
        <v>34</v>
      </c>
      <c r="D1141" s="2">
        <f>Table3[[#This Row],[PrimaTécnica]]-Table3[[#This Row],[PrimaTécnica]]*SUM(Table3[[#This Row],[Gastos Adm]:[Cobranza]])</f>
        <v>2661.7978614240001</v>
      </c>
      <c r="E1141">
        <v>1077.817104</v>
      </c>
      <c r="F1141">
        <v>0.15</v>
      </c>
      <c r="G1141">
        <v>0.05</v>
      </c>
      <c r="H1141">
        <v>0.01</v>
      </c>
      <c r="I1141">
        <v>0.01</v>
      </c>
      <c r="J1141" s="8">
        <f>Table3[[#This Row],[PrimaTécnica]]*Table3[[#This Row],[Gastos Adm]]</f>
        <v>511.88420412000005</v>
      </c>
      <c r="K1141" s="8">
        <f>Table3[[#This Row],[PrimaTécnica]]*Table3[[#This Row],[Utilidad]]</f>
        <v>170.62806804000002</v>
      </c>
      <c r="L1141" s="8">
        <f>Table3[[#This Row],[PrimaTécnica]]*Table3[[#This Row],[Marketing]]</f>
        <v>34.125613608000002</v>
      </c>
      <c r="M1141" s="8">
        <f>Table3[[#This Row],[PrimaTécnica]]*Table3[[#This Row],[Cobranza]]</f>
        <v>34.125613608000002</v>
      </c>
      <c r="N114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141">
        <v>21.84</v>
      </c>
      <c r="P1141">
        <v>54.6</v>
      </c>
      <c r="Q1141">
        <v>80.64</v>
      </c>
      <c r="R1141">
        <v>44.377200000000002</v>
      </c>
      <c r="S1141">
        <v>0.2</v>
      </c>
      <c r="T1141">
        <v>0.02</v>
      </c>
      <c r="U1141" s="8">
        <f>Table3[[#This Row],[PrimaNeta]]*Table3[[#This Row],[Comisión]]</f>
        <v>903.50464020000004</v>
      </c>
      <c r="V1141" s="15">
        <f>Table3[[#This Row],[PrimaComercial Anual]]-Table3[[#This Row],[PrimaComercial Anual]]*SUM(Table3[[#This Row],[APS]:[IVA]])</f>
        <v>4517.523201</v>
      </c>
      <c r="W1141" s="2">
        <v>1.4800000000000001E-2</v>
      </c>
      <c r="X1141" s="2">
        <v>8.4501000000000007E-2</v>
      </c>
      <c r="Y1141">
        <v>0.03</v>
      </c>
      <c r="Z1141">
        <v>0.13</v>
      </c>
      <c r="AA1141" s="20">
        <f>Table3[[#This Row],[APS]]*Table3[[#This Row],[PrimaComercial Anual]]</f>
        <v>90.265200000000007</v>
      </c>
      <c r="AB1141" s="8">
        <f>Table3[[#This Row],[PrimaComercial Anual]]*Table3[[#This Row],[Recargo adicional]]</f>
        <v>515.37159900000006</v>
      </c>
      <c r="AC1141" s="8">
        <f>Table3[[#This Row],[PrimaComercial Anual]]*Table3[[#This Row],[IT]]</f>
        <v>182.97</v>
      </c>
      <c r="AD1141" s="8">
        <f>Table3[[#This Row],[PrimaComercial Anual]]*Table3[[#This Row],[IVA]]</f>
        <v>792.87</v>
      </c>
      <c r="AE1141" s="15">
        <f>Table3[[#This Row],[PrimaComercial Anual Asistencia]]</f>
        <v>6099</v>
      </c>
      <c r="AF1141">
        <v>2394</v>
      </c>
      <c r="AG1141">
        <v>6099</v>
      </c>
    </row>
    <row r="1142" spans="1:33" x14ac:dyDescent="0.25">
      <c r="A1142" t="s">
        <v>19</v>
      </c>
      <c r="B1142">
        <v>700002</v>
      </c>
      <c r="C1142">
        <v>35</v>
      </c>
      <c r="D1142" s="2">
        <f>Table3[[#This Row],[PrimaTécnica]]-Table3[[#This Row],[PrimaTécnica]]*SUM(Table3[[#This Row],[Gastos Adm]:[Cobranza]])</f>
        <v>2661.7978614240001</v>
      </c>
      <c r="E1142">
        <v>1077.817104</v>
      </c>
      <c r="F1142">
        <v>0.15</v>
      </c>
      <c r="G1142">
        <v>0.05</v>
      </c>
      <c r="H1142">
        <v>0.01</v>
      </c>
      <c r="I1142">
        <v>0.01</v>
      </c>
      <c r="J1142" s="8">
        <f>Table3[[#This Row],[PrimaTécnica]]*Table3[[#This Row],[Gastos Adm]]</f>
        <v>511.88420412000005</v>
      </c>
      <c r="K1142" s="8">
        <f>Table3[[#This Row],[PrimaTécnica]]*Table3[[#This Row],[Utilidad]]</f>
        <v>170.62806804000002</v>
      </c>
      <c r="L1142" s="8">
        <f>Table3[[#This Row],[PrimaTécnica]]*Table3[[#This Row],[Marketing]]</f>
        <v>34.125613608000002</v>
      </c>
      <c r="M1142" s="8">
        <f>Table3[[#This Row],[PrimaTécnica]]*Table3[[#This Row],[Cobranza]]</f>
        <v>34.125613608000002</v>
      </c>
      <c r="N114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142">
        <v>21.84</v>
      </c>
      <c r="P1142">
        <v>54.6</v>
      </c>
      <c r="Q1142">
        <v>80.64</v>
      </c>
      <c r="R1142">
        <v>44.377200000000002</v>
      </c>
      <c r="S1142">
        <v>0.2</v>
      </c>
      <c r="T1142">
        <v>0.02</v>
      </c>
      <c r="U1142" s="8">
        <f>Table3[[#This Row],[PrimaNeta]]*Table3[[#This Row],[Comisión]]</f>
        <v>903.50464020000004</v>
      </c>
      <c r="V1142" s="15">
        <f>Table3[[#This Row],[PrimaComercial Anual]]-Table3[[#This Row],[PrimaComercial Anual]]*SUM(Table3[[#This Row],[APS]:[IVA]])</f>
        <v>4517.523201</v>
      </c>
      <c r="W1142" s="2">
        <v>1.4800000000000001E-2</v>
      </c>
      <c r="X1142" s="2">
        <v>8.4501000000000007E-2</v>
      </c>
      <c r="Y1142">
        <v>0.03</v>
      </c>
      <c r="Z1142">
        <v>0.13</v>
      </c>
      <c r="AA1142" s="20">
        <f>Table3[[#This Row],[APS]]*Table3[[#This Row],[PrimaComercial Anual]]</f>
        <v>90.265200000000007</v>
      </c>
      <c r="AB1142" s="8">
        <f>Table3[[#This Row],[PrimaComercial Anual]]*Table3[[#This Row],[Recargo adicional]]</f>
        <v>515.37159900000006</v>
      </c>
      <c r="AC1142" s="8">
        <f>Table3[[#This Row],[PrimaComercial Anual]]*Table3[[#This Row],[IT]]</f>
        <v>182.97</v>
      </c>
      <c r="AD1142" s="8">
        <f>Table3[[#This Row],[PrimaComercial Anual]]*Table3[[#This Row],[IVA]]</f>
        <v>792.87</v>
      </c>
      <c r="AE1142" s="15">
        <f>Table3[[#This Row],[PrimaComercial Anual Asistencia]]</f>
        <v>6099</v>
      </c>
      <c r="AF1142">
        <v>2394</v>
      </c>
      <c r="AG1142">
        <v>6099</v>
      </c>
    </row>
    <row r="1143" spans="1:33" x14ac:dyDescent="0.25">
      <c r="A1143" t="s">
        <v>19</v>
      </c>
      <c r="B1143">
        <v>700002</v>
      </c>
      <c r="C1143">
        <v>36</v>
      </c>
      <c r="D1143" s="2">
        <f>Table3[[#This Row],[PrimaTécnica]]-Table3[[#This Row],[PrimaTécnica]]*SUM(Table3[[#This Row],[Gastos Adm]:[Cobranza]])</f>
        <v>2661.7978614240001</v>
      </c>
      <c r="E1143">
        <v>1077.817104</v>
      </c>
      <c r="F1143">
        <v>0.15</v>
      </c>
      <c r="G1143">
        <v>0.05</v>
      </c>
      <c r="H1143">
        <v>0.01</v>
      </c>
      <c r="I1143">
        <v>0.01</v>
      </c>
      <c r="J1143" s="8">
        <f>Table3[[#This Row],[PrimaTécnica]]*Table3[[#This Row],[Gastos Adm]]</f>
        <v>511.88420412000005</v>
      </c>
      <c r="K1143" s="8">
        <f>Table3[[#This Row],[PrimaTécnica]]*Table3[[#This Row],[Utilidad]]</f>
        <v>170.62806804000002</v>
      </c>
      <c r="L1143" s="8">
        <f>Table3[[#This Row],[PrimaTécnica]]*Table3[[#This Row],[Marketing]]</f>
        <v>34.125613608000002</v>
      </c>
      <c r="M1143" s="8">
        <f>Table3[[#This Row],[PrimaTécnica]]*Table3[[#This Row],[Cobranza]]</f>
        <v>34.125613608000002</v>
      </c>
      <c r="N114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143">
        <v>21.84</v>
      </c>
      <c r="P1143">
        <v>54.6</v>
      </c>
      <c r="Q1143">
        <v>80.64</v>
      </c>
      <c r="R1143">
        <v>44.377200000000002</v>
      </c>
      <c r="S1143">
        <v>0.2</v>
      </c>
      <c r="T1143">
        <v>0.02</v>
      </c>
      <c r="U1143" s="8">
        <f>Table3[[#This Row],[PrimaNeta]]*Table3[[#This Row],[Comisión]]</f>
        <v>903.50464020000004</v>
      </c>
      <c r="V1143" s="15">
        <f>Table3[[#This Row],[PrimaComercial Anual]]-Table3[[#This Row],[PrimaComercial Anual]]*SUM(Table3[[#This Row],[APS]:[IVA]])</f>
        <v>4517.523201</v>
      </c>
      <c r="W1143" s="2">
        <v>1.4800000000000001E-2</v>
      </c>
      <c r="X1143" s="2">
        <v>8.4501000000000007E-2</v>
      </c>
      <c r="Y1143">
        <v>0.03</v>
      </c>
      <c r="Z1143">
        <v>0.13</v>
      </c>
      <c r="AA1143" s="20">
        <f>Table3[[#This Row],[APS]]*Table3[[#This Row],[PrimaComercial Anual]]</f>
        <v>90.265200000000007</v>
      </c>
      <c r="AB1143" s="8">
        <f>Table3[[#This Row],[PrimaComercial Anual]]*Table3[[#This Row],[Recargo adicional]]</f>
        <v>515.37159900000006</v>
      </c>
      <c r="AC1143" s="8">
        <f>Table3[[#This Row],[PrimaComercial Anual]]*Table3[[#This Row],[IT]]</f>
        <v>182.97</v>
      </c>
      <c r="AD1143" s="8">
        <f>Table3[[#This Row],[PrimaComercial Anual]]*Table3[[#This Row],[IVA]]</f>
        <v>792.87</v>
      </c>
      <c r="AE1143" s="15">
        <f>Table3[[#This Row],[PrimaComercial Anual Asistencia]]</f>
        <v>6099</v>
      </c>
      <c r="AF1143">
        <v>2394</v>
      </c>
      <c r="AG1143">
        <v>6099</v>
      </c>
    </row>
    <row r="1144" spans="1:33" x14ac:dyDescent="0.25">
      <c r="A1144" t="s">
        <v>19</v>
      </c>
      <c r="B1144">
        <v>700002</v>
      </c>
      <c r="C1144">
        <v>37</v>
      </c>
      <c r="D1144" s="2">
        <f>Table3[[#This Row],[PrimaTécnica]]-Table3[[#This Row],[PrimaTécnica]]*SUM(Table3[[#This Row],[Gastos Adm]:[Cobranza]])</f>
        <v>2661.7978614240001</v>
      </c>
      <c r="E1144">
        <v>1077.817104</v>
      </c>
      <c r="F1144">
        <v>0.15</v>
      </c>
      <c r="G1144">
        <v>0.05</v>
      </c>
      <c r="H1144">
        <v>0.01</v>
      </c>
      <c r="I1144">
        <v>0.01</v>
      </c>
      <c r="J1144" s="8">
        <f>Table3[[#This Row],[PrimaTécnica]]*Table3[[#This Row],[Gastos Adm]]</f>
        <v>511.88420412000005</v>
      </c>
      <c r="K1144" s="8">
        <f>Table3[[#This Row],[PrimaTécnica]]*Table3[[#This Row],[Utilidad]]</f>
        <v>170.62806804000002</v>
      </c>
      <c r="L1144" s="8">
        <f>Table3[[#This Row],[PrimaTécnica]]*Table3[[#This Row],[Marketing]]</f>
        <v>34.125613608000002</v>
      </c>
      <c r="M1144" s="8">
        <f>Table3[[#This Row],[PrimaTécnica]]*Table3[[#This Row],[Cobranza]]</f>
        <v>34.125613608000002</v>
      </c>
      <c r="N114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144">
        <v>21.84</v>
      </c>
      <c r="P1144">
        <v>54.6</v>
      </c>
      <c r="Q1144">
        <v>80.64</v>
      </c>
      <c r="R1144">
        <v>44.377200000000002</v>
      </c>
      <c r="S1144">
        <v>0.2</v>
      </c>
      <c r="T1144">
        <v>0.02</v>
      </c>
      <c r="U1144" s="8">
        <f>Table3[[#This Row],[PrimaNeta]]*Table3[[#This Row],[Comisión]]</f>
        <v>903.50464020000004</v>
      </c>
      <c r="V1144" s="15">
        <f>Table3[[#This Row],[PrimaComercial Anual]]-Table3[[#This Row],[PrimaComercial Anual]]*SUM(Table3[[#This Row],[APS]:[IVA]])</f>
        <v>4517.523201</v>
      </c>
      <c r="W1144" s="2">
        <v>1.4800000000000001E-2</v>
      </c>
      <c r="X1144" s="2">
        <v>8.4501000000000007E-2</v>
      </c>
      <c r="Y1144">
        <v>0.03</v>
      </c>
      <c r="Z1144">
        <v>0.13</v>
      </c>
      <c r="AA1144" s="20">
        <f>Table3[[#This Row],[APS]]*Table3[[#This Row],[PrimaComercial Anual]]</f>
        <v>90.265200000000007</v>
      </c>
      <c r="AB1144" s="8">
        <f>Table3[[#This Row],[PrimaComercial Anual]]*Table3[[#This Row],[Recargo adicional]]</f>
        <v>515.37159900000006</v>
      </c>
      <c r="AC1144" s="8">
        <f>Table3[[#This Row],[PrimaComercial Anual]]*Table3[[#This Row],[IT]]</f>
        <v>182.97</v>
      </c>
      <c r="AD1144" s="8">
        <f>Table3[[#This Row],[PrimaComercial Anual]]*Table3[[#This Row],[IVA]]</f>
        <v>792.87</v>
      </c>
      <c r="AE1144" s="15">
        <f>Table3[[#This Row],[PrimaComercial Anual Asistencia]]</f>
        <v>6099</v>
      </c>
      <c r="AF1144">
        <v>2394</v>
      </c>
      <c r="AG1144">
        <v>6099</v>
      </c>
    </row>
    <row r="1145" spans="1:33" x14ac:dyDescent="0.25">
      <c r="A1145" t="s">
        <v>19</v>
      </c>
      <c r="B1145">
        <v>700002</v>
      </c>
      <c r="C1145">
        <v>38</v>
      </c>
      <c r="D1145" s="2">
        <f>Table3[[#This Row],[PrimaTécnica]]-Table3[[#This Row],[PrimaTécnica]]*SUM(Table3[[#This Row],[Gastos Adm]:[Cobranza]])</f>
        <v>2661.7978614240001</v>
      </c>
      <c r="E1145">
        <v>1077.817104</v>
      </c>
      <c r="F1145">
        <v>0.15</v>
      </c>
      <c r="G1145">
        <v>0.05</v>
      </c>
      <c r="H1145">
        <v>0.01</v>
      </c>
      <c r="I1145">
        <v>0.01</v>
      </c>
      <c r="J1145" s="8">
        <f>Table3[[#This Row],[PrimaTécnica]]*Table3[[#This Row],[Gastos Adm]]</f>
        <v>511.88420412000005</v>
      </c>
      <c r="K1145" s="8">
        <f>Table3[[#This Row],[PrimaTécnica]]*Table3[[#This Row],[Utilidad]]</f>
        <v>170.62806804000002</v>
      </c>
      <c r="L1145" s="8">
        <f>Table3[[#This Row],[PrimaTécnica]]*Table3[[#This Row],[Marketing]]</f>
        <v>34.125613608000002</v>
      </c>
      <c r="M1145" s="8">
        <f>Table3[[#This Row],[PrimaTécnica]]*Table3[[#This Row],[Cobranza]]</f>
        <v>34.125613608000002</v>
      </c>
      <c r="N114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145">
        <v>21.84</v>
      </c>
      <c r="P1145">
        <v>54.6</v>
      </c>
      <c r="Q1145">
        <v>80.64</v>
      </c>
      <c r="R1145">
        <v>44.377200000000002</v>
      </c>
      <c r="S1145">
        <v>0.2</v>
      </c>
      <c r="T1145">
        <v>0.02</v>
      </c>
      <c r="U1145" s="8">
        <f>Table3[[#This Row],[PrimaNeta]]*Table3[[#This Row],[Comisión]]</f>
        <v>903.50464020000004</v>
      </c>
      <c r="V1145" s="15">
        <f>Table3[[#This Row],[PrimaComercial Anual]]-Table3[[#This Row],[PrimaComercial Anual]]*SUM(Table3[[#This Row],[APS]:[IVA]])</f>
        <v>4517.523201</v>
      </c>
      <c r="W1145" s="2">
        <v>1.4800000000000001E-2</v>
      </c>
      <c r="X1145" s="2">
        <v>8.4501000000000007E-2</v>
      </c>
      <c r="Y1145">
        <v>0.03</v>
      </c>
      <c r="Z1145">
        <v>0.13</v>
      </c>
      <c r="AA1145" s="20">
        <f>Table3[[#This Row],[APS]]*Table3[[#This Row],[PrimaComercial Anual]]</f>
        <v>90.265200000000007</v>
      </c>
      <c r="AB1145" s="8">
        <f>Table3[[#This Row],[PrimaComercial Anual]]*Table3[[#This Row],[Recargo adicional]]</f>
        <v>515.37159900000006</v>
      </c>
      <c r="AC1145" s="8">
        <f>Table3[[#This Row],[PrimaComercial Anual]]*Table3[[#This Row],[IT]]</f>
        <v>182.97</v>
      </c>
      <c r="AD1145" s="8">
        <f>Table3[[#This Row],[PrimaComercial Anual]]*Table3[[#This Row],[IVA]]</f>
        <v>792.87</v>
      </c>
      <c r="AE1145" s="15">
        <f>Table3[[#This Row],[PrimaComercial Anual Asistencia]]</f>
        <v>6099</v>
      </c>
      <c r="AF1145">
        <v>2394</v>
      </c>
      <c r="AG1145">
        <v>6099</v>
      </c>
    </row>
    <row r="1146" spans="1:33" x14ac:dyDescent="0.25">
      <c r="A1146" t="s">
        <v>19</v>
      </c>
      <c r="B1146">
        <v>700002</v>
      </c>
      <c r="C1146">
        <v>39</v>
      </c>
      <c r="D1146" s="2">
        <f>Table3[[#This Row],[PrimaTécnica]]-Table3[[#This Row],[PrimaTécnica]]*SUM(Table3[[#This Row],[Gastos Adm]:[Cobranza]])</f>
        <v>2661.7978614240001</v>
      </c>
      <c r="E1146">
        <v>1077.817104</v>
      </c>
      <c r="F1146">
        <v>0.15</v>
      </c>
      <c r="G1146">
        <v>0.05</v>
      </c>
      <c r="H1146">
        <v>0.01</v>
      </c>
      <c r="I1146">
        <v>0.01</v>
      </c>
      <c r="J1146" s="8">
        <f>Table3[[#This Row],[PrimaTécnica]]*Table3[[#This Row],[Gastos Adm]]</f>
        <v>511.88420412000005</v>
      </c>
      <c r="K1146" s="8">
        <f>Table3[[#This Row],[PrimaTécnica]]*Table3[[#This Row],[Utilidad]]</f>
        <v>170.62806804000002</v>
      </c>
      <c r="L1146" s="8">
        <f>Table3[[#This Row],[PrimaTécnica]]*Table3[[#This Row],[Marketing]]</f>
        <v>34.125613608000002</v>
      </c>
      <c r="M1146" s="8">
        <f>Table3[[#This Row],[PrimaTécnica]]*Table3[[#This Row],[Cobranza]]</f>
        <v>34.125613608000002</v>
      </c>
      <c r="N114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146">
        <v>21.84</v>
      </c>
      <c r="P1146">
        <v>54.6</v>
      </c>
      <c r="Q1146">
        <v>80.64</v>
      </c>
      <c r="R1146">
        <v>44.377200000000002</v>
      </c>
      <c r="S1146">
        <v>0.2</v>
      </c>
      <c r="T1146">
        <v>0.02</v>
      </c>
      <c r="U1146" s="8">
        <f>Table3[[#This Row],[PrimaNeta]]*Table3[[#This Row],[Comisión]]</f>
        <v>903.50464020000004</v>
      </c>
      <c r="V1146" s="15">
        <f>Table3[[#This Row],[PrimaComercial Anual]]-Table3[[#This Row],[PrimaComercial Anual]]*SUM(Table3[[#This Row],[APS]:[IVA]])</f>
        <v>4517.523201</v>
      </c>
      <c r="W1146" s="2">
        <v>1.4800000000000001E-2</v>
      </c>
      <c r="X1146" s="2">
        <v>8.4501000000000007E-2</v>
      </c>
      <c r="Y1146">
        <v>0.03</v>
      </c>
      <c r="Z1146">
        <v>0.13</v>
      </c>
      <c r="AA1146" s="20">
        <f>Table3[[#This Row],[APS]]*Table3[[#This Row],[PrimaComercial Anual]]</f>
        <v>90.265200000000007</v>
      </c>
      <c r="AB1146" s="8">
        <f>Table3[[#This Row],[PrimaComercial Anual]]*Table3[[#This Row],[Recargo adicional]]</f>
        <v>515.37159900000006</v>
      </c>
      <c r="AC1146" s="8">
        <f>Table3[[#This Row],[PrimaComercial Anual]]*Table3[[#This Row],[IT]]</f>
        <v>182.97</v>
      </c>
      <c r="AD1146" s="8">
        <f>Table3[[#This Row],[PrimaComercial Anual]]*Table3[[#This Row],[IVA]]</f>
        <v>792.87</v>
      </c>
      <c r="AE1146" s="15">
        <f>Table3[[#This Row],[PrimaComercial Anual Asistencia]]</f>
        <v>6099</v>
      </c>
      <c r="AF1146">
        <v>2394</v>
      </c>
      <c r="AG1146">
        <v>6099</v>
      </c>
    </row>
    <row r="1147" spans="1:33" x14ac:dyDescent="0.25">
      <c r="A1147" t="s">
        <v>19</v>
      </c>
      <c r="B1147">
        <v>700002</v>
      </c>
      <c r="C1147">
        <v>40</v>
      </c>
      <c r="D1147" s="2">
        <f>Table3[[#This Row],[PrimaTécnica]]-Table3[[#This Row],[PrimaTécnica]]*SUM(Table3[[#This Row],[Gastos Adm]:[Cobranza]])</f>
        <v>3694.5289970783988</v>
      </c>
      <c r="E1147">
        <v>287.41789439999997</v>
      </c>
      <c r="F1147">
        <v>0.15</v>
      </c>
      <c r="G1147">
        <v>0.05</v>
      </c>
      <c r="H1147">
        <v>0.01</v>
      </c>
      <c r="I1147">
        <v>0.01</v>
      </c>
      <c r="J1147" s="8">
        <f>Table3[[#This Row],[PrimaTécnica]]*Table3[[#This Row],[Gastos Adm]]</f>
        <v>710.48634559199979</v>
      </c>
      <c r="K1147" s="8">
        <f>Table3[[#This Row],[PrimaTécnica]]*Table3[[#This Row],[Utilidad]]</f>
        <v>236.82878186399995</v>
      </c>
      <c r="L1147" s="8">
        <f>Table3[[#This Row],[PrimaTécnica]]*Table3[[#This Row],[Marketing]]</f>
        <v>47.365756372799986</v>
      </c>
      <c r="M1147" s="8">
        <f>Table3[[#This Row],[PrimaTécnica]]*Table3[[#This Row],[Cobranza]]</f>
        <v>47.365756372799986</v>
      </c>
      <c r="N114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4736.5756372799988</v>
      </c>
      <c r="O1147">
        <v>21.84</v>
      </c>
      <c r="P1147">
        <v>54.6</v>
      </c>
      <c r="Q1147">
        <v>80.64</v>
      </c>
      <c r="R1147">
        <v>44.377200000000002</v>
      </c>
      <c r="S1147">
        <v>0.2</v>
      </c>
      <c r="T1147">
        <v>0.02</v>
      </c>
      <c r="U1147" s="8">
        <f>Table3[[#This Row],[PrimaNeta]]*Table3[[#This Row],[Comisión]]</f>
        <v>1234.5082093199999</v>
      </c>
      <c r="V1147" s="15">
        <f>Table3[[#This Row],[PrimaComercial Anual]]-Table3[[#This Row],[PrimaComercial Anual]]*SUM(Table3[[#This Row],[APS]:[IVA]])</f>
        <v>6172.5410465999994</v>
      </c>
      <c r="W1147" s="2">
        <v>1.4800000000000001E-2</v>
      </c>
      <c r="X1147" s="2">
        <v>8.4501000000000007E-2</v>
      </c>
      <c r="Y1147">
        <v>0.03</v>
      </c>
      <c r="Z1147">
        <v>0.13</v>
      </c>
      <c r="AA1147" s="20">
        <f>Table3[[#This Row],[APS]]*Table3[[#This Row],[PrimaComercial Anual]]</f>
        <v>123.33432000000001</v>
      </c>
      <c r="AB1147" s="8">
        <f>Table3[[#This Row],[PrimaComercial Anual]]*Table3[[#This Row],[Recargo adicional]]</f>
        <v>704.18063340000003</v>
      </c>
      <c r="AC1147" s="8">
        <f>Table3[[#This Row],[PrimaComercial Anual]]*Table3[[#This Row],[IT]]</f>
        <v>250.00199999999998</v>
      </c>
      <c r="AD1147" s="8">
        <f>Table3[[#This Row],[PrimaComercial Anual]]*Table3[[#This Row],[IVA]]</f>
        <v>1083.3420000000001</v>
      </c>
      <c r="AE1147" s="15">
        <f>Table3[[#This Row],[PrimaComercial Anual Asistencia]]</f>
        <v>8333.4</v>
      </c>
      <c r="AF1147">
        <v>638.4</v>
      </c>
      <c r="AG1147">
        <v>8333.4</v>
      </c>
    </row>
    <row r="1148" spans="1:33" x14ac:dyDescent="0.25">
      <c r="A1148" t="s">
        <v>19</v>
      </c>
      <c r="B1148">
        <v>700002</v>
      </c>
      <c r="C1148">
        <v>41</v>
      </c>
      <c r="D1148" s="2">
        <f>Table3[[#This Row],[PrimaTécnica]]-Table3[[#This Row],[PrimaTécnica]]*SUM(Table3[[#This Row],[Gastos Adm]:[Cobranza]])</f>
        <v>3694.5289970783988</v>
      </c>
      <c r="E1148">
        <v>287.41789439999997</v>
      </c>
      <c r="F1148">
        <v>0.15</v>
      </c>
      <c r="G1148">
        <v>0.05</v>
      </c>
      <c r="H1148">
        <v>0.01</v>
      </c>
      <c r="I1148">
        <v>0.01</v>
      </c>
      <c r="J1148" s="8">
        <f>Table3[[#This Row],[PrimaTécnica]]*Table3[[#This Row],[Gastos Adm]]</f>
        <v>710.48634559199979</v>
      </c>
      <c r="K1148" s="8">
        <f>Table3[[#This Row],[PrimaTécnica]]*Table3[[#This Row],[Utilidad]]</f>
        <v>236.82878186399995</v>
      </c>
      <c r="L1148" s="8">
        <f>Table3[[#This Row],[PrimaTécnica]]*Table3[[#This Row],[Marketing]]</f>
        <v>47.365756372799986</v>
      </c>
      <c r="M1148" s="8">
        <f>Table3[[#This Row],[PrimaTécnica]]*Table3[[#This Row],[Cobranza]]</f>
        <v>47.365756372799986</v>
      </c>
      <c r="N114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4736.5756372799988</v>
      </c>
      <c r="O1148">
        <v>21.84</v>
      </c>
      <c r="P1148">
        <v>54.6</v>
      </c>
      <c r="Q1148">
        <v>80.64</v>
      </c>
      <c r="R1148">
        <v>44.377200000000002</v>
      </c>
      <c r="S1148">
        <v>0.2</v>
      </c>
      <c r="T1148">
        <v>0.02</v>
      </c>
      <c r="U1148" s="8">
        <f>Table3[[#This Row],[PrimaNeta]]*Table3[[#This Row],[Comisión]]</f>
        <v>1234.5082093199999</v>
      </c>
      <c r="V1148" s="15">
        <f>Table3[[#This Row],[PrimaComercial Anual]]-Table3[[#This Row],[PrimaComercial Anual]]*SUM(Table3[[#This Row],[APS]:[IVA]])</f>
        <v>6172.5410465999994</v>
      </c>
      <c r="W1148" s="2">
        <v>1.4800000000000001E-2</v>
      </c>
      <c r="X1148" s="2">
        <v>8.4501000000000007E-2</v>
      </c>
      <c r="Y1148">
        <v>0.03</v>
      </c>
      <c r="Z1148">
        <v>0.13</v>
      </c>
      <c r="AA1148" s="20">
        <f>Table3[[#This Row],[APS]]*Table3[[#This Row],[PrimaComercial Anual]]</f>
        <v>123.33432000000001</v>
      </c>
      <c r="AB1148" s="8">
        <f>Table3[[#This Row],[PrimaComercial Anual]]*Table3[[#This Row],[Recargo adicional]]</f>
        <v>704.18063340000003</v>
      </c>
      <c r="AC1148" s="8">
        <f>Table3[[#This Row],[PrimaComercial Anual]]*Table3[[#This Row],[IT]]</f>
        <v>250.00199999999998</v>
      </c>
      <c r="AD1148" s="8">
        <f>Table3[[#This Row],[PrimaComercial Anual]]*Table3[[#This Row],[IVA]]</f>
        <v>1083.3420000000001</v>
      </c>
      <c r="AE1148" s="15">
        <f>Table3[[#This Row],[PrimaComercial Anual Asistencia]]</f>
        <v>8333.4</v>
      </c>
      <c r="AF1148">
        <v>638.4</v>
      </c>
      <c r="AG1148">
        <v>8333.4</v>
      </c>
    </row>
    <row r="1149" spans="1:33" x14ac:dyDescent="0.25">
      <c r="A1149" t="s">
        <v>19</v>
      </c>
      <c r="B1149">
        <v>700002</v>
      </c>
      <c r="C1149">
        <v>42</v>
      </c>
      <c r="D1149" s="2">
        <f>Table3[[#This Row],[PrimaTécnica]]-Table3[[#This Row],[PrimaTécnica]]*SUM(Table3[[#This Row],[Gastos Adm]:[Cobranza]])</f>
        <v>3694.5289970783988</v>
      </c>
      <c r="E1149">
        <v>287.41789439999997</v>
      </c>
      <c r="F1149">
        <v>0.15</v>
      </c>
      <c r="G1149">
        <v>0.05</v>
      </c>
      <c r="H1149">
        <v>0.01</v>
      </c>
      <c r="I1149">
        <v>0.01</v>
      </c>
      <c r="J1149" s="8">
        <f>Table3[[#This Row],[PrimaTécnica]]*Table3[[#This Row],[Gastos Adm]]</f>
        <v>710.48634559199979</v>
      </c>
      <c r="K1149" s="8">
        <f>Table3[[#This Row],[PrimaTécnica]]*Table3[[#This Row],[Utilidad]]</f>
        <v>236.82878186399995</v>
      </c>
      <c r="L1149" s="8">
        <f>Table3[[#This Row],[PrimaTécnica]]*Table3[[#This Row],[Marketing]]</f>
        <v>47.365756372799986</v>
      </c>
      <c r="M1149" s="8">
        <f>Table3[[#This Row],[PrimaTécnica]]*Table3[[#This Row],[Cobranza]]</f>
        <v>47.365756372799986</v>
      </c>
      <c r="N114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4736.5756372799988</v>
      </c>
      <c r="O1149">
        <v>21.84</v>
      </c>
      <c r="P1149">
        <v>54.6</v>
      </c>
      <c r="Q1149">
        <v>80.64</v>
      </c>
      <c r="R1149">
        <v>44.377200000000002</v>
      </c>
      <c r="S1149">
        <v>0.2</v>
      </c>
      <c r="T1149">
        <v>0.02</v>
      </c>
      <c r="U1149" s="8">
        <f>Table3[[#This Row],[PrimaNeta]]*Table3[[#This Row],[Comisión]]</f>
        <v>1234.5082093199999</v>
      </c>
      <c r="V1149" s="15">
        <f>Table3[[#This Row],[PrimaComercial Anual]]-Table3[[#This Row],[PrimaComercial Anual]]*SUM(Table3[[#This Row],[APS]:[IVA]])</f>
        <v>6172.5410465999994</v>
      </c>
      <c r="W1149" s="2">
        <v>1.4800000000000001E-2</v>
      </c>
      <c r="X1149" s="2">
        <v>8.4501000000000007E-2</v>
      </c>
      <c r="Y1149">
        <v>0.03</v>
      </c>
      <c r="Z1149">
        <v>0.13</v>
      </c>
      <c r="AA1149" s="20">
        <f>Table3[[#This Row],[APS]]*Table3[[#This Row],[PrimaComercial Anual]]</f>
        <v>123.33432000000001</v>
      </c>
      <c r="AB1149" s="8">
        <f>Table3[[#This Row],[PrimaComercial Anual]]*Table3[[#This Row],[Recargo adicional]]</f>
        <v>704.18063340000003</v>
      </c>
      <c r="AC1149" s="8">
        <f>Table3[[#This Row],[PrimaComercial Anual]]*Table3[[#This Row],[IT]]</f>
        <v>250.00199999999998</v>
      </c>
      <c r="AD1149" s="8">
        <f>Table3[[#This Row],[PrimaComercial Anual]]*Table3[[#This Row],[IVA]]</f>
        <v>1083.3420000000001</v>
      </c>
      <c r="AE1149" s="15">
        <f>Table3[[#This Row],[PrimaComercial Anual Asistencia]]</f>
        <v>8333.4</v>
      </c>
      <c r="AF1149">
        <v>638.4</v>
      </c>
      <c r="AG1149">
        <v>8333.4</v>
      </c>
    </row>
    <row r="1150" spans="1:33" x14ac:dyDescent="0.25">
      <c r="A1150" t="s">
        <v>19</v>
      </c>
      <c r="B1150">
        <v>700002</v>
      </c>
      <c r="C1150">
        <v>43</v>
      </c>
      <c r="D1150" s="2">
        <f>Table3[[#This Row],[PrimaTécnica]]-Table3[[#This Row],[PrimaTécnica]]*SUM(Table3[[#This Row],[Gastos Adm]:[Cobranza]])</f>
        <v>3694.5289970783988</v>
      </c>
      <c r="E1150">
        <v>287.41789439999997</v>
      </c>
      <c r="F1150">
        <v>0.15</v>
      </c>
      <c r="G1150">
        <v>0.05</v>
      </c>
      <c r="H1150">
        <v>0.01</v>
      </c>
      <c r="I1150">
        <v>0.01</v>
      </c>
      <c r="J1150" s="8">
        <f>Table3[[#This Row],[PrimaTécnica]]*Table3[[#This Row],[Gastos Adm]]</f>
        <v>710.48634559199979</v>
      </c>
      <c r="K1150" s="8">
        <f>Table3[[#This Row],[PrimaTécnica]]*Table3[[#This Row],[Utilidad]]</f>
        <v>236.82878186399995</v>
      </c>
      <c r="L1150" s="8">
        <f>Table3[[#This Row],[PrimaTécnica]]*Table3[[#This Row],[Marketing]]</f>
        <v>47.365756372799986</v>
      </c>
      <c r="M1150" s="8">
        <f>Table3[[#This Row],[PrimaTécnica]]*Table3[[#This Row],[Cobranza]]</f>
        <v>47.365756372799986</v>
      </c>
      <c r="N115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4736.5756372799988</v>
      </c>
      <c r="O1150">
        <v>21.84</v>
      </c>
      <c r="P1150">
        <v>54.6</v>
      </c>
      <c r="Q1150">
        <v>80.64</v>
      </c>
      <c r="R1150">
        <v>44.377200000000002</v>
      </c>
      <c r="S1150">
        <v>0.2</v>
      </c>
      <c r="T1150">
        <v>0.02</v>
      </c>
      <c r="U1150" s="8">
        <f>Table3[[#This Row],[PrimaNeta]]*Table3[[#This Row],[Comisión]]</f>
        <v>1234.5082093199999</v>
      </c>
      <c r="V1150" s="15">
        <f>Table3[[#This Row],[PrimaComercial Anual]]-Table3[[#This Row],[PrimaComercial Anual]]*SUM(Table3[[#This Row],[APS]:[IVA]])</f>
        <v>6172.5410465999994</v>
      </c>
      <c r="W1150" s="2">
        <v>1.4800000000000001E-2</v>
      </c>
      <c r="X1150" s="2">
        <v>8.4501000000000007E-2</v>
      </c>
      <c r="Y1150">
        <v>0.03</v>
      </c>
      <c r="Z1150">
        <v>0.13</v>
      </c>
      <c r="AA1150" s="20">
        <f>Table3[[#This Row],[APS]]*Table3[[#This Row],[PrimaComercial Anual]]</f>
        <v>123.33432000000001</v>
      </c>
      <c r="AB1150" s="8">
        <f>Table3[[#This Row],[PrimaComercial Anual]]*Table3[[#This Row],[Recargo adicional]]</f>
        <v>704.18063340000003</v>
      </c>
      <c r="AC1150" s="8">
        <f>Table3[[#This Row],[PrimaComercial Anual]]*Table3[[#This Row],[IT]]</f>
        <v>250.00199999999998</v>
      </c>
      <c r="AD1150" s="8">
        <f>Table3[[#This Row],[PrimaComercial Anual]]*Table3[[#This Row],[IVA]]</f>
        <v>1083.3420000000001</v>
      </c>
      <c r="AE1150" s="15">
        <f>Table3[[#This Row],[PrimaComercial Anual Asistencia]]</f>
        <v>8333.4</v>
      </c>
      <c r="AF1150">
        <v>638.4</v>
      </c>
      <c r="AG1150">
        <v>8333.4</v>
      </c>
    </row>
    <row r="1151" spans="1:33" x14ac:dyDescent="0.25">
      <c r="A1151" t="s">
        <v>19</v>
      </c>
      <c r="B1151">
        <v>700002</v>
      </c>
      <c r="C1151">
        <v>44</v>
      </c>
      <c r="D1151" s="2">
        <f>Table3[[#This Row],[PrimaTécnica]]-Table3[[#This Row],[PrimaTécnica]]*SUM(Table3[[#This Row],[Gastos Adm]:[Cobranza]])</f>
        <v>3694.5289970783988</v>
      </c>
      <c r="E1151">
        <v>287.41789439999997</v>
      </c>
      <c r="F1151">
        <v>0.15</v>
      </c>
      <c r="G1151">
        <v>0.05</v>
      </c>
      <c r="H1151">
        <v>0.01</v>
      </c>
      <c r="I1151">
        <v>0.01</v>
      </c>
      <c r="J1151" s="8">
        <f>Table3[[#This Row],[PrimaTécnica]]*Table3[[#This Row],[Gastos Adm]]</f>
        <v>710.48634559199979</v>
      </c>
      <c r="K1151" s="8">
        <f>Table3[[#This Row],[PrimaTécnica]]*Table3[[#This Row],[Utilidad]]</f>
        <v>236.82878186399995</v>
      </c>
      <c r="L1151" s="8">
        <f>Table3[[#This Row],[PrimaTécnica]]*Table3[[#This Row],[Marketing]]</f>
        <v>47.365756372799986</v>
      </c>
      <c r="M1151" s="8">
        <f>Table3[[#This Row],[PrimaTécnica]]*Table3[[#This Row],[Cobranza]]</f>
        <v>47.365756372799986</v>
      </c>
      <c r="N115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4736.5756372799988</v>
      </c>
      <c r="O1151">
        <v>21.84</v>
      </c>
      <c r="P1151">
        <v>54.6</v>
      </c>
      <c r="Q1151">
        <v>80.64</v>
      </c>
      <c r="R1151">
        <v>44.377200000000002</v>
      </c>
      <c r="S1151">
        <v>0.2</v>
      </c>
      <c r="T1151">
        <v>0.02</v>
      </c>
      <c r="U1151" s="8">
        <f>Table3[[#This Row],[PrimaNeta]]*Table3[[#This Row],[Comisión]]</f>
        <v>1234.5082093199999</v>
      </c>
      <c r="V1151" s="15">
        <f>Table3[[#This Row],[PrimaComercial Anual]]-Table3[[#This Row],[PrimaComercial Anual]]*SUM(Table3[[#This Row],[APS]:[IVA]])</f>
        <v>6172.5410465999994</v>
      </c>
      <c r="W1151" s="2">
        <v>1.4800000000000001E-2</v>
      </c>
      <c r="X1151" s="2">
        <v>8.4501000000000007E-2</v>
      </c>
      <c r="Y1151">
        <v>0.03</v>
      </c>
      <c r="Z1151">
        <v>0.13</v>
      </c>
      <c r="AA1151" s="20">
        <f>Table3[[#This Row],[APS]]*Table3[[#This Row],[PrimaComercial Anual]]</f>
        <v>123.33432000000001</v>
      </c>
      <c r="AB1151" s="8">
        <f>Table3[[#This Row],[PrimaComercial Anual]]*Table3[[#This Row],[Recargo adicional]]</f>
        <v>704.18063340000003</v>
      </c>
      <c r="AC1151" s="8">
        <f>Table3[[#This Row],[PrimaComercial Anual]]*Table3[[#This Row],[IT]]</f>
        <v>250.00199999999998</v>
      </c>
      <c r="AD1151" s="8">
        <f>Table3[[#This Row],[PrimaComercial Anual]]*Table3[[#This Row],[IVA]]</f>
        <v>1083.3420000000001</v>
      </c>
      <c r="AE1151" s="15">
        <f>Table3[[#This Row],[PrimaComercial Anual Asistencia]]</f>
        <v>8333.4</v>
      </c>
      <c r="AF1151">
        <v>638.4</v>
      </c>
      <c r="AG1151">
        <v>8333.4</v>
      </c>
    </row>
    <row r="1152" spans="1:33" x14ac:dyDescent="0.25">
      <c r="A1152" t="s">
        <v>19</v>
      </c>
      <c r="B1152">
        <v>700002</v>
      </c>
      <c r="C1152">
        <v>45</v>
      </c>
      <c r="D1152" s="2">
        <f>Table3[[#This Row],[PrimaTécnica]]-Table3[[#This Row],[PrimaTécnica]]*SUM(Table3[[#This Row],[Gastos Adm]:[Cobranza]])</f>
        <v>3694.5289970783988</v>
      </c>
      <c r="E1152">
        <v>287.41789439999997</v>
      </c>
      <c r="F1152">
        <v>0.15</v>
      </c>
      <c r="G1152">
        <v>0.05</v>
      </c>
      <c r="H1152">
        <v>0.01</v>
      </c>
      <c r="I1152">
        <v>0.01</v>
      </c>
      <c r="J1152" s="8">
        <f>Table3[[#This Row],[PrimaTécnica]]*Table3[[#This Row],[Gastos Adm]]</f>
        <v>710.48634559199979</v>
      </c>
      <c r="K1152" s="8">
        <f>Table3[[#This Row],[PrimaTécnica]]*Table3[[#This Row],[Utilidad]]</f>
        <v>236.82878186399995</v>
      </c>
      <c r="L1152" s="8">
        <f>Table3[[#This Row],[PrimaTécnica]]*Table3[[#This Row],[Marketing]]</f>
        <v>47.365756372799986</v>
      </c>
      <c r="M1152" s="8">
        <f>Table3[[#This Row],[PrimaTécnica]]*Table3[[#This Row],[Cobranza]]</f>
        <v>47.365756372799986</v>
      </c>
      <c r="N115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4736.5756372799988</v>
      </c>
      <c r="O1152">
        <v>21.84</v>
      </c>
      <c r="P1152">
        <v>54.6</v>
      </c>
      <c r="Q1152">
        <v>80.64</v>
      </c>
      <c r="R1152">
        <v>44.377200000000002</v>
      </c>
      <c r="S1152">
        <v>0.2</v>
      </c>
      <c r="T1152">
        <v>0.02</v>
      </c>
      <c r="U1152" s="8">
        <f>Table3[[#This Row],[PrimaNeta]]*Table3[[#This Row],[Comisión]]</f>
        <v>1234.5082093199999</v>
      </c>
      <c r="V1152" s="15">
        <f>Table3[[#This Row],[PrimaComercial Anual]]-Table3[[#This Row],[PrimaComercial Anual]]*SUM(Table3[[#This Row],[APS]:[IVA]])</f>
        <v>6172.5410465999994</v>
      </c>
      <c r="W1152" s="2">
        <v>1.4800000000000001E-2</v>
      </c>
      <c r="X1152" s="2">
        <v>8.4501000000000007E-2</v>
      </c>
      <c r="Y1152">
        <v>0.03</v>
      </c>
      <c r="Z1152">
        <v>0.13</v>
      </c>
      <c r="AA1152" s="20">
        <f>Table3[[#This Row],[APS]]*Table3[[#This Row],[PrimaComercial Anual]]</f>
        <v>123.33432000000001</v>
      </c>
      <c r="AB1152" s="8">
        <f>Table3[[#This Row],[PrimaComercial Anual]]*Table3[[#This Row],[Recargo adicional]]</f>
        <v>704.18063340000003</v>
      </c>
      <c r="AC1152" s="8">
        <f>Table3[[#This Row],[PrimaComercial Anual]]*Table3[[#This Row],[IT]]</f>
        <v>250.00199999999998</v>
      </c>
      <c r="AD1152" s="8">
        <f>Table3[[#This Row],[PrimaComercial Anual]]*Table3[[#This Row],[IVA]]</f>
        <v>1083.3420000000001</v>
      </c>
      <c r="AE1152" s="15">
        <f>Table3[[#This Row],[PrimaComercial Anual Asistencia]]</f>
        <v>8333.4</v>
      </c>
      <c r="AF1152">
        <v>638.4</v>
      </c>
      <c r="AG1152">
        <v>8333.4</v>
      </c>
    </row>
    <row r="1153" spans="1:33" x14ac:dyDescent="0.25">
      <c r="A1153" t="s">
        <v>19</v>
      </c>
      <c r="B1153">
        <v>700002</v>
      </c>
      <c r="C1153">
        <v>46</v>
      </c>
      <c r="D1153" s="2">
        <f>Table3[[#This Row],[PrimaTécnica]]-Table3[[#This Row],[PrimaTécnica]]*SUM(Table3[[#This Row],[Gastos Adm]:[Cobranza]])</f>
        <v>3694.5289970783988</v>
      </c>
      <c r="E1153">
        <v>287.41789439999997</v>
      </c>
      <c r="F1153">
        <v>0.15</v>
      </c>
      <c r="G1153">
        <v>0.05</v>
      </c>
      <c r="H1153">
        <v>0.01</v>
      </c>
      <c r="I1153">
        <v>0.01</v>
      </c>
      <c r="J1153" s="8">
        <f>Table3[[#This Row],[PrimaTécnica]]*Table3[[#This Row],[Gastos Adm]]</f>
        <v>710.48634559199979</v>
      </c>
      <c r="K1153" s="8">
        <f>Table3[[#This Row],[PrimaTécnica]]*Table3[[#This Row],[Utilidad]]</f>
        <v>236.82878186399995</v>
      </c>
      <c r="L1153" s="8">
        <f>Table3[[#This Row],[PrimaTécnica]]*Table3[[#This Row],[Marketing]]</f>
        <v>47.365756372799986</v>
      </c>
      <c r="M1153" s="8">
        <f>Table3[[#This Row],[PrimaTécnica]]*Table3[[#This Row],[Cobranza]]</f>
        <v>47.365756372799986</v>
      </c>
      <c r="N115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4736.5756372799988</v>
      </c>
      <c r="O1153">
        <v>21.84</v>
      </c>
      <c r="P1153">
        <v>54.6</v>
      </c>
      <c r="Q1153">
        <v>80.64</v>
      </c>
      <c r="R1153">
        <v>44.377200000000002</v>
      </c>
      <c r="S1153">
        <v>0.2</v>
      </c>
      <c r="T1153">
        <v>0.02</v>
      </c>
      <c r="U1153" s="8">
        <f>Table3[[#This Row],[PrimaNeta]]*Table3[[#This Row],[Comisión]]</f>
        <v>1234.5082093199999</v>
      </c>
      <c r="V1153" s="15">
        <f>Table3[[#This Row],[PrimaComercial Anual]]-Table3[[#This Row],[PrimaComercial Anual]]*SUM(Table3[[#This Row],[APS]:[IVA]])</f>
        <v>6172.5410465999994</v>
      </c>
      <c r="W1153" s="2">
        <v>1.4800000000000001E-2</v>
      </c>
      <c r="X1153" s="2">
        <v>8.4501000000000007E-2</v>
      </c>
      <c r="Y1153">
        <v>0.03</v>
      </c>
      <c r="Z1153">
        <v>0.13</v>
      </c>
      <c r="AA1153" s="20">
        <f>Table3[[#This Row],[APS]]*Table3[[#This Row],[PrimaComercial Anual]]</f>
        <v>123.33432000000001</v>
      </c>
      <c r="AB1153" s="8">
        <f>Table3[[#This Row],[PrimaComercial Anual]]*Table3[[#This Row],[Recargo adicional]]</f>
        <v>704.18063340000003</v>
      </c>
      <c r="AC1153" s="8">
        <f>Table3[[#This Row],[PrimaComercial Anual]]*Table3[[#This Row],[IT]]</f>
        <v>250.00199999999998</v>
      </c>
      <c r="AD1153" s="8">
        <f>Table3[[#This Row],[PrimaComercial Anual]]*Table3[[#This Row],[IVA]]</f>
        <v>1083.3420000000001</v>
      </c>
      <c r="AE1153" s="15">
        <f>Table3[[#This Row],[PrimaComercial Anual Asistencia]]</f>
        <v>8333.4</v>
      </c>
      <c r="AF1153">
        <v>638.4</v>
      </c>
      <c r="AG1153">
        <v>8333.4</v>
      </c>
    </row>
    <row r="1154" spans="1:33" x14ac:dyDescent="0.25">
      <c r="A1154" t="s">
        <v>19</v>
      </c>
      <c r="B1154">
        <v>700002</v>
      </c>
      <c r="C1154">
        <v>47</v>
      </c>
      <c r="D1154" s="2">
        <f>Table3[[#This Row],[PrimaTécnica]]-Table3[[#This Row],[PrimaTécnica]]*SUM(Table3[[#This Row],[Gastos Adm]:[Cobranza]])</f>
        <v>3694.5289970783988</v>
      </c>
      <c r="E1154">
        <v>287.41789439999997</v>
      </c>
      <c r="F1154">
        <v>0.15</v>
      </c>
      <c r="G1154">
        <v>0.05</v>
      </c>
      <c r="H1154">
        <v>0.01</v>
      </c>
      <c r="I1154">
        <v>0.01</v>
      </c>
      <c r="J1154" s="8">
        <f>Table3[[#This Row],[PrimaTécnica]]*Table3[[#This Row],[Gastos Adm]]</f>
        <v>710.48634559199979</v>
      </c>
      <c r="K1154" s="8">
        <f>Table3[[#This Row],[PrimaTécnica]]*Table3[[#This Row],[Utilidad]]</f>
        <v>236.82878186399995</v>
      </c>
      <c r="L1154" s="8">
        <f>Table3[[#This Row],[PrimaTécnica]]*Table3[[#This Row],[Marketing]]</f>
        <v>47.365756372799986</v>
      </c>
      <c r="M1154" s="8">
        <f>Table3[[#This Row],[PrimaTécnica]]*Table3[[#This Row],[Cobranza]]</f>
        <v>47.365756372799986</v>
      </c>
      <c r="N115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4736.5756372799988</v>
      </c>
      <c r="O1154">
        <v>21.84</v>
      </c>
      <c r="P1154">
        <v>54.6</v>
      </c>
      <c r="Q1154">
        <v>80.64</v>
      </c>
      <c r="R1154">
        <v>44.377200000000002</v>
      </c>
      <c r="S1154">
        <v>0.2</v>
      </c>
      <c r="T1154">
        <v>0.02</v>
      </c>
      <c r="U1154" s="8">
        <f>Table3[[#This Row],[PrimaNeta]]*Table3[[#This Row],[Comisión]]</f>
        <v>1234.5082093199999</v>
      </c>
      <c r="V1154" s="15">
        <f>Table3[[#This Row],[PrimaComercial Anual]]-Table3[[#This Row],[PrimaComercial Anual]]*SUM(Table3[[#This Row],[APS]:[IVA]])</f>
        <v>6172.5410465999994</v>
      </c>
      <c r="W1154" s="2">
        <v>1.4800000000000001E-2</v>
      </c>
      <c r="X1154" s="2">
        <v>8.4501000000000007E-2</v>
      </c>
      <c r="Y1154">
        <v>0.03</v>
      </c>
      <c r="Z1154">
        <v>0.13</v>
      </c>
      <c r="AA1154" s="20">
        <f>Table3[[#This Row],[APS]]*Table3[[#This Row],[PrimaComercial Anual]]</f>
        <v>123.33432000000001</v>
      </c>
      <c r="AB1154" s="8">
        <f>Table3[[#This Row],[PrimaComercial Anual]]*Table3[[#This Row],[Recargo adicional]]</f>
        <v>704.18063340000003</v>
      </c>
      <c r="AC1154" s="8">
        <f>Table3[[#This Row],[PrimaComercial Anual]]*Table3[[#This Row],[IT]]</f>
        <v>250.00199999999998</v>
      </c>
      <c r="AD1154" s="8">
        <f>Table3[[#This Row],[PrimaComercial Anual]]*Table3[[#This Row],[IVA]]</f>
        <v>1083.3420000000001</v>
      </c>
      <c r="AE1154" s="15">
        <f>Table3[[#This Row],[PrimaComercial Anual Asistencia]]</f>
        <v>8333.4</v>
      </c>
      <c r="AF1154">
        <v>638.4</v>
      </c>
      <c r="AG1154">
        <v>8333.4</v>
      </c>
    </row>
    <row r="1155" spans="1:33" x14ac:dyDescent="0.25">
      <c r="A1155" t="s">
        <v>19</v>
      </c>
      <c r="B1155">
        <v>700002</v>
      </c>
      <c r="C1155">
        <v>48</v>
      </c>
      <c r="D1155" s="2">
        <f>Table3[[#This Row],[PrimaTécnica]]-Table3[[#This Row],[PrimaTécnica]]*SUM(Table3[[#This Row],[Gastos Adm]:[Cobranza]])</f>
        <v>3694.5289970783988</v>
      </c>
      <c r="E1155">
        <v>287.41789439999997</v>
      </c>
      <c r="F1155">
        <v>0.15</v>
      </c>
      <c r="G1155">
        <v>0.05</v>
      </c>
      <c r="H1155">
        <v>0.01</v>
      </c>
      <c r="I1155">
        <v>0.01</v>
      </c>
      <c r="J1155" s="8">
        <f>Table3[[#This Row],[PrimaTécnica]]*Table3[[#This Row],[Gastos Adm]]</f>
        <v>710.48634559199979</v>
      </c>
      <c r="K1155" s="8">
        <f>Table3[[#This Row],[PrimaTécnica]]*Table3[[#This Row],[Utilidad]]</f>
        <v>236.82878186399995</v>
      </c>
      <c r="L1155" s="8">
        <f>Table3[[#This Row],[PrimaTécnica]]*Table3[[#This Row],[Marketing]]</f>
        <v>47.365756372799986</v>
      </c>
      <c r="M1155" s="8">
        <f>Table3[[#This Row],[PrimaTécnica]]*Table3[[#This Row],[Cobranza]]</f>
        <v>47.365756372799986</v>
      </c>
      <c r="N115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4736.5756372799988</v>
      </c>
      <c r="O1155">
        <v>21.84</v>
      </c>
      <c r="P1155">
        <v>54.6</v>
      </c>
      <c r="Q1155">
        <v>80.64</v>
      </c>
      <c r="R1155">
        <v>44.377200000000002</v>
      </c>
      <c r="S1155">
        <v>0.2</v>
      </c>
      <c r="T1155">
        <v>0.02</v>
      </c>
      <c r="U1155" s="8">
        <f>Table3[[#This Row],[PrimaNeta]]*Table3[[#This Row],[Comisión]]</f>
        <v>1234.5082093199999</v>
      </c>
      <c r="V1155" s="15">
        <f>Table3[[#This Row],[PrimaComercial Anual]]-Table3[[#This Row],[PrimaComercial Anual]]*SUM(Table3[[#This Row],[APS]:[IVA]])</f>
        <v>6172.5410465999994</v>
      </c>
      <c r="W1155" s="2">
        <v>1.4800000000000001E-2</v>
      </c>
      <c r="X1155" s="2">
        <v>8.4501000000000007E-2</v>
      </c>
      <c r="Y1155">
        <v>0.03</v>
      </c>
      <c r="Z1155">
        <v>0.13</v>
      </c>
      <c r="AA1155" s="20">
        <f>Table3[[#This Row],[APS]]*Table3[[#This Row],[PrimaComercial Anual]]</f>
        <v>123.33432000000001</v>
      </c>
      <c r="AB1155" s="8">
        <f>Table3[[#This Row],[PrimaComercial Anual]]*Table3[[#This Row],[Recargo adicional]]</f>
        <v>704.18063340000003</v>
      </c>
      <c r="AC1155" s="8">
        <f>Table3[[#This Row],[PrimaComercial Anual]]*Table3[[#This Row],[IT]]</f>
        <v>250.00199999999998</v>
      </c>
      <c r="AD1155" s="8">
        <f>Table3[[#This Row],[PrimaComercial Anual]]*Table3[[#This Row],[IVA]]</f>
        <v>1083.3420000000001</v>
      </c>
      <c r="AE1155" s="15">
        <f>Table3[[#This Row],[PrimaComercial Anual Asistencia]]</f>
        <v>8333.4</v>
      </c>
      <c r="AF1155">
        <v>638.4</v>
      </c>
      <c r="AG1155">
        <v>8333.4</v>
      </c>
    </row>
    <row r="1156" spans="1:33" x14ac:dyDescent="0.25">
      <c r="A1156" t="s">
        <v>19</v>
      </c>
      <c r="B1156">
        <v>700002</v>
      </c>
      <c r="C1156">
        <v>49</v>
      </c>
      <c r="D1156" s="2">
        <f>Table3[[#This Row],[PrimaTécnica]]-Table3[[#This Row],[PrimaTécnica]]*SUM(Table3[[#This Row],[Gastos Adm]:[Cobranza]])</f>
        <v>3694.5289970783988</v>
      </c>
      <c r="E1156">
        <v>287.41789439999997</v>
      </c>
      <c r="F1156">
        <v>0.15</v>
      </c>
      <c r="G1156">
        <v>0.05</v>
      </c>
      <c r="H1156">
        <v>0.01</v>
      </c>
      <c r="I1156">
        <v>0.01</v>
      </c>
      <c r="J1156" s="8">
        <f>Table3[[#This Row],[PrimaTécnica]]*Table3[[#This Row],[Gastos Adm]]</f>
        <v>710.48634559199979</v>
      </c>
      <c r="K1156" s="8">
        <f>Table3[[#This Row],[PrimaTécnica]]*Table3[[#This Row],[Utilidad]]</f>
        <v>236.82878186399995</v>
      </c>
      <c r="L1156" s="8">
        <f>Table3[[#This Row],[PrimaTécnica]]*Table3[[#This Row],[Marketing]]</f>
        <v>47.365756372799986</v>
      </c>
      <c r="M1156" s="8">
        <f>Table3[[#This Row],[PrimaTécnica]]*Table3[[#This Row],[Cobranza]]</f>
        <v>47.365756372799986</v>
      </c>
      <c r="N115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4736.5756372799988</v>
      </c>
      <c r="O1156">
        <v>21.84</v>
      </c>
      <c r="P1156">
        <v>54.6</v>
      </c>
      <c r="Q1156">
        <v>80.64</v>
      </c>
      <c r="R1156">
        <v>44.377200000000002</v>
      </c>
      <c r="S1156">
        <v>0.2</v>
      </c>
      <c r="T1156">
        <v>0.02</v>
      </c>
      <c r="U1156" s="8">
        <f>Table3[[#This Row],[PrimaNeta]]*Table3[[#This Row],[Comisión]]</f>
        <v>1234.5082093199999</v>
      </c>
      <c r="V1156" s="15">
        <f>Table3[[#This Row],[PrimaComercial Anual]]-Table3[[#This Row],[PrimaComercial Anual]]*SUM(Table3[[#This Row],[APS]:[IVA]])</f>
        <v>6172.5410465999994</v>
      </c>
      <c r="W1156" s="2">
        <v>1.4800000000000001E-2</v>
      </c>
      <c r="X1156" s="2">
        <v>8.4501000000000007E-2</v>
      </c>
      <c r="Y1156">
        <v>0.03</v>
      </c>
      <c r="Z1156">
        <v>0.13</v>
      </c>
      <c r="AA1156" s="20">
        <f>Table3[[#This Row],[APS]]*Table3[[#This Row],[PrimaComercial Anual]]</f>
        <v>123.33432000000001</v>
      </c>
      <c r="AB1156" s="8">
        <f>Table3[[#This Row],[PrimaComercial Anual]]*Table3[[#This Row],[Recargo adicional]]</f>
        <v>704.18063340000003</v>
      </c>
      <c r="AC1156" s="8">
        <f>Table3[[#This Row],[PrimaComercial Anual]]*Table3[[#This Row],[IT]]</f>
        <v>250.00199999999998</v>
      </c>
      <c r="AD1156" s="8">
        <f>Table3[[#This Row],[PrimaComercial Anual]]*Table3[[#This Row],[IVA]]</f>
        <v>1083.3420000000001</v>
      </c>
      <c r="AE1156" s="15">
        <f>Table3[[#This Row],[PrimaComercial Anual Asistencia]]</f>
        <v>8333.4</v>
      </c>
      <c r="AF1156">
        <v>638.4</v>
      </c>
      <c r="AG1156">
        <v>8333.4</v>
      </c>
    </row>
    <row r="1157" spans="1:33" x14ac:dyDescent="0.25">
      <c r="A1157" t="s">
        <v>17</v>
      </c>
      <c r="B1157">
        <v>1750000</v>
      </c>
      <c r="C1157">
        <v>0</v>
      </c>
      <c r="D1157" s="2">
        <f>Table3[[#This Row],[PrimaTécnica]]-Table3[[#This Row],[PrimaTécnica]]*SUM(Table3[[#This Row],[Gastos Adm]:[Cobranza]])</f>
        <v>3436.3462131647993</v>
      </c>
      <c r="E1157">
        <v>0</v>
      </c>
      <c r="F1157">
        <v>0.15</v>
      </c>
      <c r="G1157">
        <v>0.05</v>
      </c>
      <c r="H1157">
        <v>0.01</v>
      </c>
      <c r="I1157">
        <v>0.01</v>
      </c>
      <c r="J1157" s="8">
        <f>Table3[[#This Row],[PrimaTécnica]]*Table3[[#This Row],[Gastos Adm]]</f>
        <v>660.83581022399994</v>
      </c>
      <c r="K1157" s="8">
        <f>Table3[[#This Row],[PrimaTécnica]]*Table3[[#This Row],[Utilidad]]</f>
        <v>220.27860340799998</v>
      </c>
      <c r="L1157" s="8">
        <f>Table3[[#This Row],[PrimaTécnica]]*Table3[[#This Row],[Marketing]]</f>
        <v>44.0557206816</v>
      </c>
      <c r="M1157" s="8">
        <f>Table3[[#This Row],[PrimaTécnica]]*Table3[[#This Row],[Cobranza]]</f>
        <v>44.0557206816</v>
      </c>
      <c r="N115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1157">
        <v>21.84</v>
      </c>
      <c r="P1157">
        <v>54.6</v>
      </c>
      <c r="Q1157">
        <v>80.64</v>
      </c>
      <c r="R1157">
        <v>44.377200000000002</v>
      </c>
      <c r="S1157">
        <v>0.2</v>
      </c>
      <c r="T1157">
        <v>0.02</v>
      </c>
      <c r="U1157" s="8">
        <f>Table3[[#This Row],[PrimaNeta]]*Table3[[#This Row],[Comisión]]</f>
        <v>1151.7573170400001</v>
      </c>
      <c r="V1157" s="15">
        <f>Table3[[#This Row],[PrimaComercial Anual]]-Table3[[#This Row],[PrimaComercial Anual]]*SUM(Table3[[#This Row],[APS]:[IVA]])</f>
        <v>5758.7865852000004</v>
      </c>
      <c r="W1157" s="2">
        <v>1.4800000000000001E-2</v>
      </c>
      <c r="X1157" s="2">
        <v>8.4501000000000007E-2</v>
      </c>
      <c r="Y1157">
        <v>0.03</v>
      </c>
      <c r="Z1157">
        <v>0.13</v>
      </c>
      <c r="AA1157" s="20">
        <f>Table3[[#This Row],[APS]]*Table3[[#This Row],[PrimaComercial Anual]]</f>
        <v>115.06704000000001</v>
      </c>
      <c r="AB1157" s="8">
        <f>Table3[[#This Row],[PrimaComercial Anual]]*Table3[[#This Row],[Recargo adicional]]</f>
        <v>656.9783748000001</v>
      </c>
      <c r="AC1157" s="8">
        <f>Table3[[#This Row],[PrimaComercial Anual]]*Table3[[#This Row],[IT]]</f>
        <v>233.244</v>
      </c>
      <c r="AD1157" s="8">
        <f>Table3[[#This Row],[PrimaComercial Anual]]*Table3[[#This Row],[IVA]]</f>
        <v>1010.724</v>
      </c>
      <c r="AE1157" s="15">
        <f>Table3[[#This Row],[PrimaComercial Anual Asistencia]]</f>
        <v>7774.8</v>
      </c>
      <c r="AG1157">
        <v>7774.8</v>
      </c>
    </row>
    <row r="1158" spans="1:33" x14ac:dyDescent="0.25">
      <c r="A1158" t="s">
        <v>17</v>
      </c>
      <c r="B1158">
        <v>1750000</v>
      </c>
      <c r="C1158">
        <v>1</v>
      </c>
      <c r="D1158" s="2">
        <f>Table3[[#This Row],[PrimaTécnica]]-Table3[[#This Row],[PrimaTécnica]]*SUM(Table3[[#This Row],[Gastos Adm]:[Cobranza]])</f>
        <v>3436.3462131647993</v>
      </c>
      <c r="E1158">
        <v>0</v>
      </c>
      <c r="F1158">
        <v>0.15</v>
      </c>
      <c r="G1158">
        <v>0.05</v>
      </c>
      <c r="H1158">
        <v>0.01</v>
      </c>
      <c r="I1158">
        <v>0.01</v>
      </c>
      <c r="J1158" s="8">
        <f>Table3[[#This Row],[PrimaTécnica]]*Table3[[#This Row],[Gastos Adm]]</f>
        <v>660.83581022399994</v>
      </c>
      <c r="K1158" s="8">
        <f>Table3[[#This Row],[PrimaTécnica]]*Table3[[#This Row],[Utilidad]]</f>
        <v>220.27860340799998</v>
      </c>
      <c r="L1158" s="8">
        <f>Table3[[#This Row],[PrimaTécnica]]*Table3[[#This Row],[Marketing]]</f>
        <v>44.0557206816</v>
      </c>
      <c r="M1158" s="8">
        <f>Table3[[#This Row],[PrimaTécnica]]*Table3[[#This Row],[Cobranza]]</f>
        <v>44.0557206816</v>
      </c>
      <c r="N115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1158">
        <v>21.84</v>
      </c>
      <c r="P1158">
        <v>54.6</v>
      </c>
      <c r="Q1158">
        <v>80.64</v>
      </c>
      <c r="R1158">
        <v>44.377200000000002</v>
      </c>
      <c r="S1158">
        <v>0.2</v>
      </c>
      <c r="T1158">
        <v>0.02</v>
      </c>
      <c r="U1158" s="8">
        <f>Table3[[#This Row],[PrimaNeta]]*Table3[[#This Row],[Comisión]]</f>
        <v>1151.7573170400001</v>
      </c>
      <c r="V1158" s="15">
        <f>Table3[[#This Row],[PrimaComercial Anual]]-Table3[[#This Row],[PrimaComercial Anual]]*SUM(Table3[[#This Row],[APS]:[IVA]])</f>
        <v>5758.7865852000004</v>
      </c>
      <c r="W1158" s="2">
        <v>1.4800000000000001E-2</v>
      </c>
      <c r="X1158" s="2">
        <v>8.4501000000000007E-2</v>
      </c>
      <c r="Y1158">
        <v>0.03</v>
      </c>
      <c r="Z1158">
        <v>0.13</v>
      </c>
      <c r="AA1158" s="20">
        <f>Table3[[#This Row],[APS]]*Table3[[#This Row],[PrimaComercial Anual]]</f>
        <v>115.06704000000001</v>
      </c>
      <c r="AB1158" s="8">
        <f>Table3[[#This Row],[PrimaComercial Anual]]*Table3[[#This Row],[Recargo adicional]]</f>
        <v>656.9783748000001</v>
      </c>
      <c r="AC1158" s="8">
        <f>Table3[[#This Row],[PrimaComercial Anual]]*Table3[[#This Row],[IT]]</f>
        <v>233.244</v>
      </c>
      <c r="AD1158" s="8">
        <f>Table3[[#This Row],[PrimaComercial Anual]]*Table3[[#This Row],[IVA]]</f>
        <v>1010.724</v>
      </c>
      <c r="AE1158" s="15">
        <f>Table3[[#This Row],[PrimaComercial Anual Asistencia]]</f>
        <v>7774.8</v>
      </c>
      <c r="AG1158">
        <v>7774.8</v>
      </c>
    </row>
    <row r="1159" spans="1:33" x14ac:dyDescent="0.25">
      <c r="A1159" t="s">
        <v>17</v>
      </c>
      <c r="B1159">
        <v>1750000</v>
      </c>
      <c r="C1159">
        <v>2</v>
      </c>
      <c r="D1159" s="2">
        <f>Table3[[#This Row],[PrimaTécnica]]-Table3[[#This Row],[PrimaTécnica]]*SUM(Table3[[#This Row],[Gastos Adm]:[Cobranza]])</f>
        <v>3436.3462131647993</v>
      </c>
      <c r="E1159">
        <v>0</v>
      </c>
      <c r="F1159">
        <v>0.15</v>
      </c>
      <c r="G1159">
        <v>0.05</v>
      </c>
      <c r="H1159">
        <v>0.01</v>
      </c>
      <c r="I1159">
        <v>0.01</v>
      </c>
      <c r="J1159" s="8">
        <f>Table3[[#This Row],[PrimaTécnica]]*Table3[[#This Row],[Gastos Adm]]</f>
        <v>660.83581022399994</v>
      </c>
      <c r="K1159" s="8">
        <f>Table3[[#This Row],[PrimaTécnica]]*Table3[[#This Row],[Utilidad]]</f>
        <v>220.27860340799998</v>
      </c>
      <c r="L1159" s="8">
        <f>Table3[[#This Row],[PrimaTécnica]]*Table3[[#This Row],[Marketing]]</f>
        <v>44.0557206816</v>
      </c>
      <c r="M1159" s="8">
        <f>Table3[[#This Row],[PrimaTécnica]]*Table3[[#This Row],[Cobranza]]</f>
        <v>44.0557206816</v>
      </c>
      <c r="N115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1159">
        <v>21.84</v>
      </c>
      <c r="P1159">
        <v>54.6</v>
      </c>
      <c r="Q1159">
        <v>80.64</v>
      </c>
      <c r="R1159">
        <v>44.377200000000002</v>
      </c>
      <c r="S1159">
        <v>0.2</v>
      </c>
      <c r="T1159">
        <v>0.02</v>
      </c>
      <c r="U1159" s="8">
        <f>Table3[[#This Row],[PrimaNeta]]*Table3[[#This Row],[Comisión]]</f>
        <v>1151.7573170400001</v>
      </c>
      <c r="V1159" s="15">
        <f>Table3[[#This Row],[PrimaComercial Anual]]-Table3[[#This Row],[PrimaComercial Anual]]*SUM(Table3[[#This Row],[APS]:[IVA]])</f>
        <v>5758.7865852000004</v>
      </c>
      <c r="W1159" s="2">
        <v>1.4800000000000001E-2</v>
      </c>
      <c r="X1159" s="2">
        <v>8.4501000000000007E-2</v>
      </c>
      <c r="Y1159">
        <v>0.03</v>
      </c>
      <c r="Z1159">
        <v>0.13</v>
      </c>
      <c r="AA1159" s="20">
        <f>Table3[[#This Row],[APS]]*Table3[[#This Row],[PrimaComercial Anual]]</f>
        <v>115.06704000000001</v>
      </c>
      <c r="AB1159" s="8">
        <f>Table3[[#This Row],[PrimaComercial Anual]]*Table3[[#This Row],[Recargo adicional]]</f>
        <v>656.9783748000001</v>
      </c>
      <c r="AC1159" s="8">
        <f>Table3[[#This Row],[PrimaComercial Anual]]*Table3[[#This Row],[IT]]</f>
        <v>233.244</v>
      </c>
      <c r="AD1159" s="8">
        <f>Table3[[#This Row],[PrimaComercial Anual]]*Table3[[#This Row],[IVA]]</f>
        <v>1010.724</v>
      </c>
      <c r="AE1159" s="15">
        <f>Table3[[#This Row],[PrimaComercial Anual Asistencia]]</f>
        <v>7774.8</v>
      </c>
      <c r="AG1159">
        <v>7774.8</v>
      </c>
    </row>
    <row r="1160" spans="1:33" x14ac:dyDescent="0.25">
      <c r="A1160" t="s">
        <v>17</v>
      </c>
      <c r="B1160">
        <v>1750000</v>
      </c>
      <c r="C1160">
        <v>3</v>
      </c>
      <c r="D1160" s="2">
        <f>Table3[[#This Row],[PrimaTécnica]]-Table3[[#This Row],[PrimaTécnica]]*SUM(Table3[[#This Row],[Gastos Adm]:[Cobranza]])</f>
        <v>2514.2648420447999</v>
      </c>
      <c r="E1160">
        <v>0</v>
      </c>
      <c r="F1160">
        <v>0.15</v>
      </c>
      <c r="G1160">
        <v>0.05</v>
      </c>
      <c r="H1160">
        <v>0.01</v>
      </c>
      <c r="I1160">
        <v>0.01</v>
      </c>
      <c r="J1160" s="8">
        <f>Table3[[#This Row],[PrimaTécnica]]*Table3[[#This Row],[Gastos Adm]]</f>
        <v>483.512469624</v>
      </c>
      <c r="K1160" s="8">
        <f>Table3[[#This Row],[PrimaTécnica]]*Table3[[#This Row],[Utilidad]]</f>
        <v>161.170823208</v>
      </c>
      <c r="L1160" s="8">
        <f>Table3[[#This Row],[PrimaTécnica]]*Table3[[#This Row],[Marketing]]</f>
        <v>32.234164641600003</v>
      </c>
      <c r="M1160" s="8">
        <f>Table3[[#This Row],[PrimaTécnica]]*Table3[[#This Row],[Cobranza]]</f>
        <v>32.234164641600003</v>
      </c>
      <c r="N116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3223.41646416</v>
      </c>
      <c r="O1160">
        <v>21.84</v>
      </c>
      <c r="P1160">
        <v>54.6</v>
      </c>
      <c r="Q1160">
        <v>80.64</v>
      </c>
      <c r="R1160">
        <v>44.377200000000002</v>
      </c>
      <c r="S1160">
        <v>0.2</v>
      </c>
      <c r="T1160">
        <v>0.02</v>
      </c>
      <c r="U1160" s="8">
        <f>Table3[[#This Row],[PrimaNeta]]*Table3[[#This Row],[Comisión]]</f>
        <v>856.21841604000008</v>
      </c>
      <c r="V1160" s="15">
        <f>Table3[[#This Row],[PrimaComercial Anual]]-Table3[[#This Row],[PrimaComercial Anual]]*SUM(Table3[[#This Row],[APS]:[IVA]])</f>
        <v>4281.0920802000001</v>
      </c>
      <c r="W1160" s="2">
        <v>1.4800000000000001E-2</v>
      </c>
      <c r="X1160" s="2">
        <v>8.4501000000000007E-2</v>
      </c>
      <c r="Y1160">
        <v>0.03</v>
      </c>
      <c r="Z1160">
        <v>0.13</v>
      </c>
      <c r="AA1160" s="20">
        <f>Table3[[#This Row],[APS]]*Table3[[#This Row],[PrimaComercial Anual]]</f>
        <v>85.54104000000001</v>
      </c>
      <c r="AB1160" s="8">
        <f>Table3[[#This Row],[PrimaComercial Anual]]*Table3[[#This Row],[Recargo adicional]]</f>
        <v>488.39887980000003</v>
      </c>
      <c r="AC1160" s="8">
        <f>Table3[[#This Row],[PrimaComercial Anual]]*Table3[[#This Row],[IT]]</f>
        <v>173.39400000000001</v>
      </c>
      <c r="AD1160" s="8">
        <f>Table3[[#This Row],[PrimaComercial Anual]]*Table3[[#This Row],[IVA]]</f>
        <v>751.37400000000002</v>
      </c>
      <c r="AE1160" s="15">
        <f>Table3[[#This Row],[PrimaComercial Anual Asistencia]]</f>
        <v>5779.8</v>
      </c>
      <c r="AG1160">
        <v>5779.8</v>
      </c>
    </row>
    <row r="1161" spans="1:33" x14ac:dyDescent="0.25">
      <c r="A1161" t="s">
        <v>17</v>
      </c>
      <c r="B1161">
        <v>1750000</v>
      </c>
      <c r="C1161">
        <v>4</v>
      </c>
      <c r="D1161" s="2">
        <f>Table3[[#This Row],[PrimaTécnica]]-Table3[[#This Row],[PrimaTécnica]]*SUM(Table3[[#This Row],[Gastos Adm]:[Cobranza]])</f>
        <v>2514.2648420447999</v>
      </c>
      <c r="E1161">
        <v>0</v>
      </c>
      <c r="F1161">
        <v>0.15</v>
      </c>
      <c r="G1161">
        <v>0.05</v>
      </c>
      <c r="H1161">
        <v>0.01</v>
      </c>
      <c r="I1161">
        <v>0.01</v>
      </c>
      <c r="J1161" s="8">
        <f>Table3[[#This Row],[PrimaTécnica]]*Table3[[#This Row],[Gastos Adm]]</f>
        <v>483.512469624</v>
      </c>
      <c r="K1161" s="8">
        <f>Table3[[#This Row],[PrimaTécnica]]*Table3[[#This Row],[Utilidad]]</f>
        <v>161.170823208</v>
      </c>
      <c r="L1161" s="8">
        <f>Table3[[#This Row],[PrimaTécnica]]*Table3[[#This Row],[Marketing]]</f>
        <v>32.234164641600003</v>
      </c>
      <c r="M1161" s="8">
        <f>Table3[[#This Row],[PrimaTécnica]]*Table3[[#This Row],[Cobranza]]</f>
        <v>32.234164641600003</v>
      </c>
      <c r="N116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3223.41646416</v>
      </c>
      <c r="O1161">
        <v>21.84</v>
      </c>
      <c r="P1161">
        <v>54.6</v>
      </c>
      <c r="Q1161">
        <v>80.64</v>
      </c>
      <c r="R1161">
        <v>44.377200000000002</v>
      </c>
      <c r="S1161">
        <v>0.2</v>
      </c>
      <c r="T1161">
        <v>0.02</v>
      </c>
      <c r="U1161" s="8">
        <f>Table3[[#This Row],[PrimaNeta]]*Table3[[#This Row],[Comisión]]</f>
        <v>856.21841604000008</v>
      </c>
      <c r="V1161" s="15">
        <f>Table3[[#This Row],[PrimaComercial Anual]]-Table3[[#This Row],[PrimaComercial Anual]]*SUM(Table3[[#This Row],[APS]:[IVA]])</f>
        <v>4281.0920802000001</v>
      </c>
      <c r="W1161" s="2">
        <v>1.4800000000000001E-2</v>
      </c>
      <c r="X1161" s="2">
        <v>8.4501000000000007E-2</v>
      </c>
      <c r="Y1161">
        <v>0.03</v>
      </c>
      <c r="Z1161">
        <v>0.13</v>
      </c>
      <c r="AA1161" s="20">
        <f>Table3[[#This Row],[APS]]*Table3[[#This Row],[PrimaComercial Anual]]</f>
        <v>85.54104000000001</v>
      </c>
      <c r="AB1161" s="8">
        <f>Table3[[#This Row],[PrimaComercial Anual]]*Table3[[#This Row],[Recargo adicional]]</f>
        <v>488.39887980000003</v>
      </c>
      <c r="AC1161" s="8">
        <f>Table3[[#This Row],[PrimaComercial Anual]]*Table3[[#This Row],[IT]]</f>
        <v>173.39400000000001</v>
      </c>
      <c r="AD1161" s="8">
        <f>Table3[[#This Row],[PrimaComercial Anual]]*Table3[[#This Row],[IVA]]</f>
        <v>751.37400000000002</v>
      </c>
      <c r="AE1161" s="15">
        <f>Table3[[#This Row],[PrimaComercial Anual Asistencia]]</f>
        <v>5779.8</v>
      </c>
      <c r="AG1161">
        <v>5779.8</v>
      </c>
    </row>
    <row r="1162" spans="1:33" x14ac:dyDescent="0.25">
      <c r="A1162" t="s">
        <v>17</v>
      </c>
      <c r="B1162">
        <v>1750000</v>
      </c>
      <c r="C1162">
        <v>5</v>
      </c>
      <c r="D1162" s="2">
        <f>Table3[[#This Row],[PrimaTécnica]]-Table3[[#This Row],[PrimaTécnica]]*SUM(Table3[[#This Row],[Gastos Adm]:[Cobranza]])</f>
        <v>2514.2648420447999</v>
      </c>
      <c r="E1162">
        <v>0</v>
      </c>
      <c r="F1162">
        <v>0.15</v>
      </c>
      <c r="G1162">
        <v>0.05</v>
      </c>
      <c r="H1162">
        <v>0.01</v>
      </c>
      <c r="I1162">
        <v>0.01</v>
      </c>
      <c r="J1162" s="8">
        <f>Table3[[#This Row],[PrimaTécnica]]*Table3[[#This Row],[Gastos Adm]]</f>
        <v>483.512469624</v>
      </c>
      <c r="K1162" s="8">
        <f>Table3[[#This Row],[PrimaTécnica]]*Table3[[#This Row],[Utilidad]]</f>
        <v>161.170823208</v>
      </c>
      <c r="L1162" s="8">
        <f>Table3[[#This Row],[PrimaTécnica]]*Table3[[#This Row],[Marketing]]</f>
        <v>32.234164641600003</v>
      </c>
      <c r="M1162" s="8">
        <f>Table3[[#This Row],[PrimaTécnica]]*Table3[[#This Row],[Cobranza]]</f>
        <v>32.234164641600003</v>
      </c>
      <c r="N116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3223.41646416</v>
      </c>
      <c r="O1162">
        <v>21.84</v>
      </c>
      <c r="P1162">
        <v>54.6</v>
      </c>
      <c r="Q1162">
        <v>80.64</v>
      </c>
      <c r="R1162">
        <v>44.377200000000002</v>
      </c>
      <c r="S1162">
        <v>0.2</v>
      </c>
      <c r="T1162">
        <v>0.02</v>
      </c>
      <c r="U1162" s="8">
        <f>Table3[[#This Row],[PrimaNeta]]*Table3[[#This Row],[Comisión]]</f>
        <v>856.21841604000008</v>
      </c>
      <c r="V1162" s="15">
        <f>Table3[[#This Row],[PrimaComercial Anual]]-Table3[[#This Row],[PrimaComercial Anual]]*SUM(Table3[[#This Row],[APS]:[IVA]])</f>
        <v>4281.0920802000001</v>
      </c>
      <c r="W1162" s="2">
        <v>1.4800000000000001E-2</v>
      </c>
      <c r="X1162" s="2">
        <v>8.4501000000000007E-2</v>
      </c>
      <c r="Y1162">
        <v>0.03</v>
      </c>
      <c r="Z1162">
        <v>0.13</v>
      </c>
      <c r="AA1162" s="20">
        <f>Table3[[#This Row],[APS]]*Table3[[#This Row],[PrimaComercial Anual]]</f>
        <v>85.54104000000001</v>
      </c>
      <c r="AB1162" s="8">
        <f>Table3[[#This Row],[PrimaComercial Anual]]*Table3[[#This Row],[Recargo adicional]]</f>
        <v>488.39887980000003</v>
      </c>
      <c r="AC1162" s="8">
        <f>Table3[[#This Row],[PrimaComercial Anual]]*Table3[[#This Row],[IT]]</f>
        <v>173.39400000000001</v>
      </c>
      <c r="AD1162" s="8">
        <f>Table3[[#This Row],[PrimaComercial Anual]]*Table3[[#This Row],[IVA]]</f>
        <v>751.37400000000002</v>
      </c>
      <c r="AE1162" s="15">
        <f>Table3[[#This Row],[PrimaComercial Anual Asistencia]]</f>
        <v>5779.8</v>
      </c>
      <c r="AG1162">
        <v>5779.8</v>
      </c>
    </row>
    <row r="1163" spans="1:33" x14ac:dyDescent="0.25">
      <c r="A1163" t="s">
        <v>17</v>
      </c>
      <c r="B1163">
        <v>1750000</v>
      </c>
      <c r="C1163">
        <v>6</v>
      </c>
      <c r="D1163" s="2">
        <f>Table3[[#This Row],[PrimaTécnica]]-Table3[[#This Row],[PrimaTécnica]]*SUM(Table3[[#This Row],[Gastos Adm]:[Cobranza]])</f>
        <v>2366.7318226655998</v>
      </c>
      <c r="E1163">
        <v>0</v>
      </c>
      <c r="F1163">
        <v>0.15</v>
      </c>
      <c r="G1163">
        <v>0.05</v>
      </c>
      <c r="H1163">
        <v>0.01</v>
      </c>
      <c r="I1163">
        <v>0.01</v>
      </c>
      <c r="J1163" s="8">
        <f>Table3[[#This Row],[PrimaTécnica]]*Table3[[#This Row],[Gastos Adm]]</f>
        <v>455.14073512800002</v>
      </c>
      <c r="K1163" s="8">
        <f>Table3[[#This Row],[PrimaTécnica]]*Table3[[#This Row],[Utilidad]]</f>
        <v>151.71357837600002</v>
      </c>
      <c r="L1163" s="8">
        <f>Table3[[#This Row],[PrimaTécnica]]*Table3[[#This Row],[Marketing]]</f>
        <v>30.342715675200001</v>
      </c>
      <c r="M1163" s="8">
        <f>Table3[[#This Row],[PrimaTécnica]]*Table3[[#This Row],[Cobranza]]</f>
        <v>30.342715675200001</v>
      </c>
      <c r="N116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3034.2715675200002</v>
      </c>
      <c r="O1163">
        <v>21.84</v>
      </c>
      <c r="P1163">
        <v>54.6</v>
      </c>
      <c r="Q1163">
        <v>80.64</v>
      </c>
      <c r="R1163">
        <v>44.377200000000002</v>
      </c>
      <c r="S1163">
        <v>0.2</v>
      </c>
      <c r="T1163">
        <v>0.02</v>
      </c>
      <c r="U1163" s="8">
        <f>Table3[[#This Row],[PrimaNeta]]*Table3[[#This Row],[Comisión]]</f>
        <v>808.93219188000012</v>
      </c>
      <c r="V1163" s="15">
        <f>Table3[[#This Row],[PrimaComercial Anual]]-Table3[[#This Row],[PrimaComercial Anual]]*SUM(Table3[[#This Row],[APS]:[IVA]])</f>
        <v>4044.6609594000001</v>
      </c>
      <c r="W1163" s="2">
        <v>1.4800000000000001E-2</v>
      </c>
      <c r="X1163" s="2">
        <v>8.4501000000000007E-2</v>
      </c>
      <c r="Y1163">
        <v>0.03</v>
      </c>
      <c r="Z1163">
        <v>0.13</v>
      </c>
      <c r="AA1163" s="20">
        <f>Table3[[#This Row],[APS]]*Table3[[#This Row],[PrimaComercial Anual]]</f>
        <v>80.816880000000012</v>
      </c>
      <c r="AB1163" s="8">
        <f>Table3[[#This Row],[PrimaComercial Anual]]*Table3[[#This Row],[Recargo adicional]]</f>
        <v>461.42616060000006</v>
      </c>
      <c r="AC1163" s="8">
        <f>Table3[[#This Row],[PrimaComercial Anual]]*Table3[[#This Row],[IT]]</f>
        <v>163.81800000000001</v>
      </c>
      <c r="AD1163" s="8">
        <f>Table3[[#This Row],[PrimaComercial Anual]]*Table3[[#This Row],[IVA]]</f>
        <v>709.87800000000004</v>
      </c>
      <c r="AE1163" s="15">
        <f>Table3[[#This Row],[PrimaComercial Anual Asistencia]]</f>
        <v>5460.6</v>
      </c>
      <c r="AG1163">
        <v>5460.6</v>
      </c>
    </row>
    <row r="1164" spans="1:33" x14ac:dyDescent="0.25">
      <c r="A1164" t="s">
        <v>17</v>
      </c>
      <c r="B1164">
        <v>1750000</v>
      </c>
      <c r="C1164">
        <v>7</v>
      </c>
      <c r="D1164" s="2">
        <f>Table3[[#This Row],[PrimaTécnica]]-Table3[[#This Row],[PrimaTécnica]]*SUM(Table3[[#This Row],[Gastos Adm]:[Cobranza]])</f>
        <v>2366.7318226655998</v>
      </c>
      <c r="E1164">
        <v>0</v>
      </c>
      <c r="F1164">
        <v>0.15</v>
      </c>
      <c r="G1164">
        <v>0.05</v>
      </c>
      <c r="H1164">
        <v>0.01</v>
      </c>
      <c r="I1164">
        <v>0.01</v>
      </c>
      <c r="J1164" s="8">
        <f>Table3[[#This Row],[PrimaTécnica]]*Table3[[#This Row],[Gastos Adm]]</f>
        <v>455.14073512800002</v>
      </c>
      <c r="K1164" s="8">
        <f>Table3[[#This Row],[PrimaTécnica]]*Table3[[#This Row],[Utilidad]]</f>
        <v>151.71357837600002</v>
      </c>
      <c r="L1164" s="8">
        <f>Table3[[#This Row],[PrimaTécnica]]*Table3[[#This Row],[Marketing]]</f>
        <v>30.342715675200001</v>
      </c>
      <c r="M1164" s="8">
        <f>Table3[[#This Row],[PrimaTécnica]]*Table3[[#This Row],[Cobranza]]</f>
        <v>30.342715675200001</v>
      </c>
      <c r="N116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3034.2715675200002</v>
      </c>
      <c r="O1164">
        <v>21.84</v>
      </c>
      <c r="P1164">
        <v>54.6</v>
      </c>
      <c r="Q1164">
        <v>80.64</v>
      </c>
      <c r="R1164">
        <v>44.377200000000002</v>
      </c>
      <c r="S1164">
        <v>0.2</v>
      </c>
      <c r="T1164">
        <v>0.02</v>
      </c>
      <c r="U1164" s="8">
        <f>Table3[[#This Row],[PrimaNeta]]*Table3[[#This Row],[Comisión]]</f>
        <v>808.93219188000012</v>
      </c>
      <c r="V1164" s="15">
        <f>Table3[[#This Row],[PrimaComercial Anual]]-Table3[[#This Row],[PrimaComercial Anual]]*SUM(Table3[[#This Row],[APS]:[IVA]])</f>
        <v>4044.6609594000001</v>
      </c>
      <c r="W1164" s="2">
        <v>1.4800000000000001E-2</v>
      </c>
      <c r="X1164" s="2">
        <v>8.4501000000000007E-2</v>
      </c>
      <c r="Y1164">
        <v>0.03</v>
      </c>
      <c r="Z1164">
        <v>0.13</v>
      </c>
      <c r="AA1164" s="20">
        <f>Table3[[#This Row],[APS]]*Table3[[#This Row],[PrimaComercial Anual]]</f>
        <v>80.816880000000012</v>
      </c>
      <c r="AB1164" s="8">
        <f>Table3[[#This Row],[PrimaComercial Anual]]*Table3[[#This Row],[Recargo adicional]]</f>
        <v>461.42616060000006</v>
      </c>
      <c r="AC1164" s="8">
        <f>Table3[[#This Row],[PrimaComercial Anual]]*Table3[[#This Row],[IT]]</f>
        <v>163.81800000000001</v>
      </c>
      <c r="AD1164" s="8">
        <f>Table3[[#This Row],[PrimaComercial Anual]]*Table3[[#This Row],[IVA]]</f>
        <v>709.87800000000004</v>
      </c>
      <c r="AE1164" s="15">
        <f>Table3[[#This Row],[PrimaComercial Anual Asistencia]]</f>
        <v>5460.6</v>
      </c>
      <c r="AG1164">
        <v>5460.6</v>
      </c>
    </row>
    <row r="1165" spans="1:33" x14ac:dyDescent="0.25">
      <c r="A1165" t="s">
        <v>17</v>
      </c>
      <c r="B1165">
        <v>1750000</v>
      </c>
      <c r="C1165">
        <v>8</v>
      </c>
      <c r="D1165" s="2">
        <f>Table3[[#This Row],[PrimaTécnica]]-Table3[[#This Row],[PrimaTécnica]]*SUM(Table3[[#This Row],[Gastos Adm]:[Cobranza]])</f>
        <v>2366.7318226655998</v>
      </c>
      <c r="E1165">
        <v>0</v>
      </c>
      <c r="F1165">
        <v>0.15</v>
      </c>
      <c r="G1165">
        <v>0.05</v>
      </c>
      <c r="H1165">
        <v>0.01</v>
      </c>
      <c r="I1165">
        <v>0.01</v>
      </c>
      <c r="J1165" s="8">
        <f>Table3[[#This Row],[PrimaTécnica]]*Table3[[#This Row],[Gastos Adm]]</f>
        <v>455.14073512800002</v>
      </c>
      <c r="K1165" s="8">
        <f>Table3[[#This Row],[PrimaTécnica]]*Table3[[#This Row],[Utilidad]]</f>
        <v>151.71357837600002</v>
      </c>
      <c r="L1165" s="8">
        <f>Table3[[#This Row],[PrimaTécnica]]*Table3[[#This Row],[Marketing]]</f>
        <v>30.342715675200001</v>
      </c>
      <c r="M1165" s="8">
        <f>Table3[[#This Row],[PrimaTécnica]]*Table3[[#This Row],[Cobranza]]</f>
        <v>30.342715675200001</v>
      </c>
      <c r="N116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3034.2715675200002</v>
      </c>
      <c r="O1165">
        <v>21.84</v>
      </c>
      <c r="P1165">
        <v>54.6</v>
      </c>
      <c r="Q1165">
        <v>80.64</v>
      </c>
      <c r="R1165">
        <v>44.377200000000002</v>
      </c>
      <c r="S1165">
        <v>0.2</v>
      </c>
      <c r="T1165">
        <v>0.02</v>
      </c>
      <c r="U1165" s="8">
        <f>Table3[[#This Row],[PrimaNeta]]*Table3[[#This Row],[Comisión]]</f>
        <v>808.93219188000012</v>
      </c>
      <c r="V1165" s="15">
        <f>Table3[[#This Row],[PrimaComercial Anual]]-Table3[[#This Row],[PrimaComercial Anual]]*SUM(Table3[[#This Row],[APS]:[IVA]])</f>
        <v>4044.6609594000001</v>
      </c>
      <c r="W1165" s="2">
        <v>1.4800000000000001E-2</v>
      </c>
      <c r="X1165" s="2">
        <v>8.4501000000000007E-2</v>
      </c>
      <c r="Y1165">
        <v>0.03</v>
      </c>
      <c r="Z1165">
        <v>0.13</v>
      </c>
      <c r="AA1165" s="20">
        <f>Table3[[#This Row],[APS]]*Table3[[#This Row],[PrimaComercial Anual]]</f>
        <v>80.816880000000012</v>
      </c>
      <c r="AB1165" s="8">
        <f>Table3[[#This Row],[PrimaComercial Anual]]*Table3[[#This Row],[Recargo adicional]]</f>
        <v>461.42616060000006</v>
      </c>
      <c r="AC1165" s="8">
        <f>Table3[[#This Row],[PrimaComercial Anual]]*Table3[[#This Row],[IT]]</f>
        <v>163.81800000000001</v>
      </c>
      <c r="AD1165" s="8">
        <f>Table3[[#This Row],[PrimaComercial Anual]]*Table3[[#This Row],[IVA]]</f>
        <v>709.87800000000004</v>
      </c>
      <c r="AE1165" s="15">
        <f>Table3[[#This Row],[PrimaComercial Anual Asistencia]]</f>
        <v>5460.6</v>
      </c>
      <c r="AG1165">
        <v>5460.6</v>
      </c>
    </row>
    <row r="1166" spans="1:33" x14ac:dyDescent="0.25">
      <c r="A1166" t="s">
        <v>17</v>
      </c>
      <c r="B1166">
        <v>1750000</v>
      </c>
      <c r="C1166">
        <v>9</v>
      </c>
      <c r="D1166" s="2">
        <f>Table3[[#This Row],[PrimaTécnica]]-Table3[[#This Row],[PrimaTécnica]]*SUM(Table3[[#This Row],[Gastos Adm]:[Cobranza]])</f>
        <v>2366.7318226655998</v>
      </c>
      <c r="E1166">
        <v>0</v>
      </c>
      <c r="F1166">
        <v>0.15</v>
      </c>
      <c r="G1166">
        <v>0.05</v>
      </c>
      <c r="H1166">
        <v>0.01</v>
      </c>
      <c r="I1166">
        <v>0.01</v>
      </c>
      <c r="J1166" s="8">
        <f>Table3[[#This Row],[PrimaTécnica]]*Table3[[#This Row],[Gastos Adm]]</f>
        <v>455.14073512800002</v>
      </c>
      <c r="K1166" s="8">
        <f>Table3[[#This Row],[PrimaTécnica]]*Table3[[#This Row],[Utilidad]]</f>
        <v>151.71357837600002</v>
      </c>
      <c r="L1166" s="8">
        <f>Table3[[#This Row],[PrimaTécnica]]*Table3[[#This Row],[Marketing]]</f>
        <v>30.342715675200001</v>
      </c>
      <c r="M1166" s="8">
        <f>Table3[[#This Row],[PrimaTécnica]]*Table3[[#This Row],[Cobranza]]</f>
        <v>30.342715675200001</v>
      </c>
      <c r="N116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3034.2715675200002</v>
      </c>
      <c r="O1166">
        <v>21.84</v>
      </c>
      <c r="P1166">
        <v>54.6</v>
      </c>
      <c r="Q1166">
        <v>80.64</v>
      </c>
      <c r="R1166">
        <v>44.377200000000002</v>
      </c>
      <c r="S1166">
        <v>0.2</v>
      </c>
      <c r="T1166">
        <v>0.02</v>
      </c>
      <c r="U1166" s="8">
        <f>Table3[[#This Row],[PrimaNeta]]*Table3[[#This Row],[Comisión]]</f>
        <v>808.93219188000012</v>
      </c>
      <c r="V1166" s="15">
        <f>Table3[[#This Row],[PrimaComercial Anual]]-Table3[[#This Row],[PrimaComercial Anual]]*SUM(Table3[[#This Row],[APS]:[IVA]])</f>
        <v>4044.6609594000001</v>
      </c>
      <c r="W1166" s="2">
        <v>1.4800000000000001E-2</v>
      </c>
      <c r="X1166" s="2">
        <v>8.4501000000000007E-2</v>
      </c>
      <c r="Y1166">
        <v>0.03</v>
      </c>
      <c r="Z1166">
        <v>0.13</v>
      </c>
      <c r="AA1166" s="20">
        <f>Table3[[#This Row],[APS]]*Table3[[#This Row],[PrimaComercial Anual]]</f>
        <v>80.816880000000012</v>
      </c>
      <c r="AB1166" s="8">
        <f>Table3[[#This Row],[PrimaComercial Anual]]*Table3[[#This Row],[Recargo adicional]]</f>
        <v>461.42616060000006</v>
      </c>
      <c r="AC1166" s="8">
        <f>Table3[[#This Row],[PrimaComercial Anual]]*Table3[[#This Row],[IT]]</f>
        <v>163.81800000000001</v>
      </c>
      <c r="AD1166" s="8">
        <f>Table3[[#This Row],[PrimaComercial Anual]]*Table3[[#This Row],[IVA]]</f>
        <v>709.87800000000004</v>
      </c>
      <c r="AE1166" s="15">
        <f>Table3[[#This Row],[PrimaComercial Anual Asistencia]]</f>
        <v>5460.6</v>
      </c>
      <c r="AG1166">
        <v>5460.6</v>
      </c>
    </row>
    <row r="1167" spans="1:33" x14ac:dyDescent="0.25">
      <c r="A1167" t="s">
        <v>17</v>
      </c>
      <c r="B1167">
        <v>1750000</v>
      </c>
      <c r="C1167">
        <v>10</v>
      </c>
      <c r="D1167" s="2">
        <f>Table3[[#This Row],[PrimaTécnica]]-Table3[[#This Row],[PrimaTécnica]]*SUM(Table3[[#This Row],[Gastos Adm]:[Cobranza]])</f>
        <v>2366.7318226655998</v>
      </c>
      <c r="E1167">
        <v>0</v>
      </c>
      <c r="F1167">
        <v>0.15</v>
      </c>
      <c r="G1167">
        <v>0.05</v>
      </c>
      <c r="H1167">
        <v>0.01</v>
      </c>
      <c r="I1167">
        <v>0.01</v>
      </c>
      <c r="J1167" s="8">
        <f>Table3[[#This Row],[PrimaTécnica]]*Table3[[#This Row],[Gastos Adm]]</f>
        <v>455.14073512800002</v>
      </c>
      <c r="K1167" s="8">
        <f>Table3[[#This Row],[PrimaTécnica]]*Table3[[#This Row],[Utilidad]]</f>
        <v>151.71357837600002</v>
      </c>
      <c r="L1167" s="8">
        <f>Table3[[#This Row],[PrimaTécnica]]*Table3[[#This Row],[Marketing]]</f>
        <v>30.342715675200001</v>
      </c>
      <c r="M1167" s="8">
        <f>Table3[[#This Row],[PrimaTécnica]]*Table3[[#This Row],[Cobranza]]</f>
        <v>30.342715675200001</v>
      </c>
      <c r="N116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3034.2715675200002</v>
      </c>
      <c r="O1167">
        <v>21.84</v>
      </c>
      <c r="P1167">
        <v>54.6</v>
      </c>
      <c r="Q1167">
        <v>80.64</v>
      </c>
      <c r="R1167">
        <v>44.377200000000002</v>
      </c>
      <c r="S1167">
        <v>0.2</v>
      </c>
      <c r="T1167">
        <v>0.02</v>
      </c>
      <c r="U1167" s="8">
        <f>Table3[[#This Row],[PrimaNeta]]*Table3[[#This Row],[Comisión]]</f>
        <v>808.93219188000012</v>
      </c>
      <c r="V1167" s="15">
        <f>Table3[[#This Row],[PrimaComercial Anual]]-Table3[[#This Row],[PrimaComercial Anual]]*SUM(Table3[[#This Row],[APS]:[IVA]])</f>
        <v>4044.6609594000001</v>
      </c>
      <c r="W1167" s="2">
        <v>1.4800000000000001E-2</v>
      </c>
      <c r="X1167" s="2">
        <v>8.4501000000000007E-2</v>
      </c>
      <c r="Y1167">
        <v>0.03</v>
      </c>
      <c r="Z1167">
        <v>0.13</v>
      </c>
      <c r="AA1167" s="20">
        <f>Table3[[#This Row],[APS]]*Table3[[#This Row],[PrimaComercial Anual]]</f>
        <v>80.816880000000012</v>
      </c>
      <c r="AB1167" s="8">
        <f>Table3[[#This Row],[PrimaComercial Anual]]*Table3[[#This Row],[Recargo adicional]]</f>
        <v>461.42616060000006</v>
      </c>
      <c r="AC1167" s="8">
        <f>Table3[[#This Row],[PrimaComercial Anual]]*Table3[[#This Row],[IT]]</f>
        <v>163.81800000000001</v>
      </c>
      <c r="AD1167" s="8">
        <f>Table3[[#This Row],[PrimaComercial Anual]]*Table3[[#This Row],[IVA]]</f>
        <v>709.87800000000004</v>
      </c>
      <c r="AE1167" s="15">
        <f>Table3[[#This Row],[PrimaComercial Anual Asistencia]]</f>
        <v>5460.6</v>
      </c>
      <c r="AG1167">
        <v>5460.6</v>
      </c>
    </row>
    <row r="1168" spans="1:33" x14ac:dyDescent="0.25">
      <c r="A1168" t="s">
        <v>17</v>
      </c>
      <c r="B1168">
        <v>1750000</v>
      </c>
      <c r="C1168">
        <v>11</v>
      </c>
      <c r="D1168" s="2">
        <f>Table3[[#This Row],[PrimaTécnica]]-Table3[[#This Row],[PrimaTécnica]]*SUM(Table3[[#This Row],[Gastos Adm]:[Cobranza]])</f>
        <v>2366.7318226655998</v>
      </c>
      <c r="E1168">
        <v>0</v>
      </c>
      <c r="F1168">
        <v>0.15</v>
      </c>
      <c r="G1168">
        <v>0.05</v>
      </c>
      <c r="H1168">
        <v>0.01</v>
      </c>
      <c r="I1168">
        <v>0.01</v>
      </c>
      <c r="J1168" s="8">
        <f>Table3[[#This Row],[PrimaTécnica]]*Table3[[#This Row],[Gastos Adm]]</f>
        <v>455.14073512800002</v>
      </c>
      <c r="K1168" s="8">
        <f>Table3[[#This Row],[PrimaTécnica]]*Table3[[#This Row],[Utilidad]]</f>
        <v>151.71357837600002</v>
      </c>
      <c r="L1168" s="8">
        <f>Table3[[#This Row],[PrimaTécnica]]*Table3[[#This Row],[Marketing]]</f>
        <v>30.342715675200001</v>
      </c>
      <c r="M1168" s="8">
        <f>Table3[[#This Row],[PrimaTécnica]]*Table3[[#This Row],[Cobranza]]</f>
        <v>30.342715675200001</v>
      </c>
      <c r="N116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3034.2715675200002</v>
      </c>
      <c r="O1168">
        <v>21.84</v>
      </c>
      <c r="P1168">
        <v>54.6</v>
      </c>
      <c r="Q1168">
        <v>80.64</v>
      </c>
      <c r="R1168">
        <v>44.377200000000002</v>
      </c>
      <c r="S1168">
        <v>0.2</v>
      </c>
      <c r="T1168">
        <v>0.02</v>
      </c>
      <c r="U1168" s="8">
        <f>Table3[[#This Row],[PrimaNeta]]*Table3[[#This Row],[Comisión]]</f>
        <v>808.93219188000012</v>
      </c>
      <c r="V1168" s="15">
        <f>Table3[[#This Row],[PrimaComercial Anual]]-Table3[[#This Row],[PrimaComercial Anual]]*SUM(Table3[[#This Row],[APS]:[IVA]])</f>
        <v>4044.6609594000001</v>
      </c>
      <c r="W1168" s="2">
        <v>1.4800000000000001E-2</v>
      </c>
      <c r="X1168" s="2">
        <v>8.4501000000000007E-2</v>
      </c>
      <c r="Y1168">
        <v>0.03</v>
      </c>
      <c r="Z1168">
        <v>0.13</v>
      </c>
      <c r="AA1168" s="20">
        <f>Table3[[#This Row],[APS]]*Table3[[#This Row],[PrimaComercial Anual]]</f>
        <v>80.816880000000012</v>
      </c>
      <c r="AB1168" s="8">
        <f>Table3[[#This Row],[PrimaComercial Anual]]*Table3[[#This Row],[Recargo adicional]]</f>
        <v>461.42616060000006</v>
      </c>
      <c r="AC1168" s="8">
        <f>Table3[[#This Row],[PrimaComercial Anual]]*Table3[[#This Row],[IT]]</f>
        <v>163.81800000000001</v>
      </c>
      <c r="AD1168" s="8">
        <f>Table3[[#This Row],[PrimaComercial Anual]]*Table3[[#This Row],[IVA]]</f>
        <v>709.87800000000004</v>
      </c>
      <c r="AE1168" s="15">
        <f>Table3[[#This Row],[PrimaComercial Anual Asistencia]]</f>
        <v>5460.6</v>
      </c>
      <c r="AG1168">
        <v>5460.6</v>
      </c>
    </row>
    <row r="1169" spans="1:33" x14ac:dyDescent="0.25">
      <c r="A1169" t="s">
        <v>17</v>
      </c>
      <c r="B1169">
        <v>1750000</v>
      </c>
      <c r="C1169">
        <v>12</v>
      </c>
      <c r="D1169" s="2">
        <f>Table3[[#This Row],[PrimaTécnica]]-Table3[[#This Row],[PrimaTécnica]]*SUM(Table3[[#This Row],[Gastos Adm]:[Cobranza]])</f>
        <v>2366.7318226655998</v>
      </c>
      <c r="E1169">
        <v>0</v>
      </c>
      <c r="F1169">
        <v>0.15</v>
      </c>
      <c r="G1169">
        <v>0.05</v>
      </c>
      <c r="H1169">
        <v>0.01</v>
      </c>
      <c r="I1169">
        <v>0.01</v>
      </c>
      <c r="J1169" s="8">
        <f>Table3[[#This Row],[PrimaTécnica]]*Table3[[#This Row],[Gastos Adm]]</f>
        <v>455.14073512800002</v>
      </c>
      <c r="K1169" s="8">
        <f>Table3[[#This Row],[PrimaTécnica]]*Table3[[#This Row],[Utilidad]]</f>
        <v>151.71357837600002</v>
      </c>
      <c r="L1169" s="8">
        <f>Table3[[#This Row],[PrimaTécnica]]*Table3[[#This Row],[Marketing]]</f>
        <v>30.342715675200001</v>
      </c>
      <c r="M1169" s="8">
        <f>Table3[[#This Row],[PrimaTécnica]]*Table3[[#This Row],[Cobranza]]</f>
        <v>30.342715675200001</v>
      </c>
      <c r="N116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3034.2715675200002</v>
      </c>
      <c r="O1169">
        <v>21.84</v>
      </c>
      <c r="P1169">
        <v>54.6</v>
      </c>
      <c r="Q1169">
        <v>80.64</v>
      </c>
      <c r="R1169">
        <v>44.377200000000002</v>
      </c>
      <c r="S1169">
        <v>0.2</v>
      </c>
      <c r="T1169">
        <v>0.02</v>
      </c>
      <c r="U1169" s="8">
        <f>Table3[[#This Row],[PrimaNeta]]*Table3[[#This Row],[Comisión]]</f>
        <v>808.93219188000012</v>
      </c>
      <c r="V1169" s="15">
        <f>Table3[[#This Row],[PrimaComercial Anual]]-Table3[[#This Row],[PrimaComercial Anual]]*SUM(Table3[[#This Row],[APS]:[IVA]])</f>
        <v>4044.6609594000001</v>
      </c>
      <c r="W1169" s="2">
        <v>1.4800000000000001E-2</v>
      </c>
      <c r="X1169" s="2">
        <v>8.4501000000000007E-2</v>
      </c>
      <c r="Y1169">
        <v>0.03</v>
      </c>
      <c r="Z1169">
        <v>0.13</v>
      </c>
      <c r="AA1169" s="20">
        <f>Table3[[#This Row],[APS]]*Table3[[#This Row],[PrimaComercial Anual]]</f>
        <v>80.816880000000012</v>
      </c>
      <c r="AB1169" s="8">
        <f>Table3[[#This Row],[PrimaComercial Anual]]*Table3[[#This Row],[Recargo adicional]]</f>
        <v>461.42616060000006</v>
      </c>
      <c r="AC1169" s="8">
        <f>Table3[[#This Row],[PrimaComercial Anual]]*Table3[[#This Row],[IT]]</f>
        <v>163.81800000000001</v>
      </c>
      <c r="AD1169" s="8">
        <f>Table3[[#This Row],[PrimaComercial Anual]]*Table3[[#This Row],[IVA]]</f>
        <v>709.87800000000004</v>
      </c>
      <c r="AE1169" s="15">
        <f>Table3[[#This Row],[PrimaComercial Anual Asistencia]]</f>
        <v>5460.6</v>
      </c>
      <c r="AG1169">
        <v>5460.6</v>
      </c>
    </row>
    <row r="1170" spans="1:33" x14ac:dyDescent="0.25">
      <c r="A1170" t="s">
        <v>17</v>
      </c>
      <c r="B1170">
        <v>1750000</v>
      </c>
      <c r="C1170">
        <v>13</v>
      </c>
      <c r="D1170" s="2">
        <f>Table3[[#This Row],[PrimaTécnica]]-Table3[[#This Row],[PrimaTécnica]]*SUM(Table3[[#This Row],[Gastos Adm]:[Cobranza]])</f>
        <v>2366.7318226655998</v>
      </c>
      <c r="E1170">
        <v>0</v>
      </c>
      <c r="F1170">
        <v>0.15</v>
      </c>
      <c r="G1170">
        <v>0.05</v>
      </c>
      <c r="H1170">
        <v>0.01</v>
      </c>
      <c r="I1170">
        <v>0.01</v>
      </c>
      <c r="J1170" s="8">
        <f>Table3[[#This Row],[PrimaTécnica]]*Table3[[#This Row],[Gastos Adm]]</f>
        <v>455.14073512800002</v>
      </c>
      <c r="K1170" s="8">
        <f>Table3[[#This Row],[PrimaTécnica]]*Table3[[#This Row],[Utilidad]]</f>
        <v>151.71357837600002</v>
      </c>
      <c r="L1170" s="8">
        <f>Table3[[#This Row],[PrimaTécnica]]*Table3[[#This Row],[Marketing]]</f>
        <v>30.342715675200001</v>
      </c>
      <c r="M1170" s="8">
        <f>Table3[[#This Row],[PrimaTécnica]]*Table3[[#This Row],[Cobranza]]</f>
        <v>30.342715675200001</v>
      </c>
      <c r="N117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3034.2715675200002</v>
      </c>
      <c r="O1170">
        <v>21.84</v>
      </c>
      <c r="P1170">
        <v>54.6</v>
      </c>
      <c r="Q1170">
        <v>80.64</v>
      </c>
      <c r="R1170">
        <v>44.377200000000002</v>
      </c>
      <c r="S1170">
        <v>0.2</v>
      </c>
      <c r="T1170">
        <v>0.02</v>
      </c>
      <c r="U1170" s="8">
        <f>Table3[[#This Row],[PrimaNeta]]*Table3[[#This Row],[Comisión]]</f>
        <v>808.93219188000012</v>
      </c>
      <c r="V1170" s="15">
        <f>Table3[[#This Row],[PrimaComercial Anual]]-Table3[[#This Row],[PrimaComercial Anual]]*SUM(Table3[[#This Row],[APS]:[IVA]])</f>
        <v>4044.6609594000001</v>
      </c>
      <c r="W1170" s="2">
        <v>1.4800000000000001E-2</v>
      </c>
      <c r="X1170" s="2">
        <v>8.4501000000000007E-2</v>
      </c>
      <c r="Y1170">
        <v>0.03</v>
      </c>
      <c r="Z1170">
        <v>0.13</v>
      </c>
      <c r="AA1170" s="20">
        <f>Table3[[#This Row],[APS]]*Table3[[#This Row],[PrimaComercial Anual]]</f>
        <v>80.816880000000012</v>
      </c>
      <c r="AB1170" s="8">
        <f>Table3[[#This Row],[PrimaComercial Anual]]*Table3[[#This Row],[Recargo adicional]]</f>
        <v>461.42616060000006</v>
      </c>
      <c r="AC1170" s="8">
        <f>Table3[[#This Row],[PrimaComercial Anual]]*Table3[[#This Row],[IT]]</f>
        <v>163.81800000000001</v>
      </c>
      <c r="AD1170" s="8">
        <f>Table3[[#This Row],[PrimaComercial Anual]]*Table3[[#This Row],[IVA]]</f>
        <v>709.87800000000004</v>
      </c>
      <c r="AE1170" s="15">
        <f>Table3[[#This Row],[PrimaComercial Anual Asistencia]]</f>
        <v>5460.6</v>
      </c>
      <c r="AG1170">
        <v>5460.6</v>
      </c>
    </row>
    <row r="1171" spans="1:33" x14ac:dyDescent="0.25">
      <c r="A1171" t="s">
        <v>17</v>
      </c>
      <c r="B1171">
        <v>1750000</v>
      </c>
      <c r="C1171">
        <v>14</v>
      </c>
      <c r="D1171" s="2">
        <f>Table3[[#This Row],[PrimaTécnica]]-Table3[[#This Row],[PrimaTécnica]]*SUM(Table3[[#This Row],[Gastos Adm]:[Cobranza]])</f>
        <v>2366.7318226655998</v>
      </c>
      <c r="E1171">
        <v>0</v>
      </c>
      <c r="F1171">
        <v>0.15</v>
      </c>
      <c r="G1171">
        <v>0.05</v>
      </c>
      <c r="H1171">
        <v>0.01</v>
      </c>
      <c r="I1171">
        <v>0.01</v>
      </c>
      <c r="J1171" s="8">
        <f>Table3[[#This Row],[PrimaTécnica]]*Table3[[#This Row],[Gastos Adm]]</f>
        <v>455.14073512800002</v>
      </c>
      <c r="K1171" s="8">
        <f>Table3[[#This Row],[PrimaTécnica]]*Table3[[#This Row],[Utilidad]]</f>
        <v>151.71357837600002</v>
      </c>
      <c r="L1171" s="8">
        <f>Table3[[#This Row],[PrimaTécnica]]*Table3[[#This Row],[Marketing]]</f>
        <v>30.342715675200001</v>
      </c>
      <c r="M1171" s="8">
        <f>Table3[[#This Row],[PrimaTécnica]]*Table3[[#This Row],[Cobranza]]</f>
        <v>30.342715675200001</v>
      </c>
      <c r="N117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3034.2715675200002</v>
      </c>
      <c r="O1171">
        <v>21.84</v>
      </c>
      <c r="P1171">
        <v>54.6</v>
      </c>
      <c r="Q1171">
        <v>80.64</v>
      </c>
      <c r="R1171">
        <v>44.377200000000002</v>
      </c>
      <c r="S1171">
        <v>0.2</v>
      </c>
      <c r="T1171">
        <v>0.02</v>
      </c>
      <c r="U1171" s="8">
        <f>Table3[[#This Row],[PrimaNeta]]*Table3[[#This Row],[Comisión]]</f>
        <v>808.93219188000012</v>
      </c>
      <c r="V1171" s="15">
        <f>Table3[[#This Row],[PrimaComercial Anual]]-Table3[[#This Row],[PrimaComercial Anual]]*SUM(Table3[[#This Row],[APS]:[IVA]])</f>
        <v>4044.6609594000001</v>
      </c>
      <c r="W1171" s="2">
        <v>1.4800000000000001E-2</v>
      </c>
      <c r="X1171" s="2">
        <v>8.4501000000000007E-2</v>
      </c>
      <c r="Y1171">
        <v>0.03</v>
      </c>
      <c r="Z1171">
        <v>0.13</v>
      </c>
      <c r="AA1171" s="20">
        <f>Table3[[#This Row],[APS]]*Table3[[#This Row],[PrimaComercial Anual]]</f>
        <v>80.816880000000012</v>
      </c>
      <c r="AB1171" s="8">
        <f>Table3[[#This Row],[PrimaComercial Anual]]*Table3[[#This Row],[Recargo adicional]]</f>
        <v>461.42616060000006</v>
      </c>
      <c r="AC1171" s="8">
        <f>Table3[[#This Row],[PrimaComercial Anual]]*Table3[[#This Row],[IT]]</f>
        <v>163.81800000000001</v>
      </c>
      <c r="AD1171" s="8">
        <f>Table3[[#This Row],[PrimaComercial Anual]]*Table3[[#This Row],[IVA]]</f>
        <v>709.87800000000004</v>
      </c>
      <c r="AE1171" s="15">
        <f>Table3[[#This Row],[PrimaComercial Anual Asistencia]]</f>
        <v>5460.6</v>
      </c>
      <c r="AG1171">
        <v>5460.6</v>
      </c>
    </row>
    <row r="1172" spans="1:33" x14ac:dyDescent="0.25">
      <c r="A1172" t="s">
        <v>17</v>
      </c>
      <c r="B1172">
        <v>1750000</v>
      </c>
      <c r="C1172">
        <v>15</v>
      </c>
      <c r="D1172" s="2">
        <f>Table3[[#This Row],[PrimaTécnica]]-Table3[[#This Row],[PrimaTécnica]]*SUM(Table3[[#This Row],[Gastos Adm]:[Cobranza]])</f>
        <v>2366.7318226655998</v>
      </c>
      <c r="E1172">
        <v>0</v>
      </c>
      <c r="F1172">
        <v>0.15</v>
      </c>
      <c r="G1172">
        <v>0.05</v>
      </c>
      <c r="H1172">
        <v>0.01</v>
      </c>
      <c r="I1172">
        <v>0.01</v>
      </c>
      <c r="J1172" s="8">
        <f>Table3[[#This Row],[PrimaTécnica]]*Table3[[#This Row],[Gastos Adm]]</f>
        <v>455.14073512800002</v>
      </c>
      <c r="K1172" s="8">
        <f>Table3[[#This Row],[PrimaTécnica]]*Table3[[#This Row],[Utilidad]]</f>
        <v>151.71357837600002</v>
      </c>
      <c r="L1172" s="8">
        <f>Table3[[#This Row],[PrimaTécnica]]*Table3[[#This Row],[Marketing]]</f>
        <v>30.342715675200001</v>
      </c>
      <c r="M1172" s="8">
        <f>Table3[[#This Row],[PrimaTécnica]]*Table3[[#This Row],[Cobranza]]</f>
        <v>30.342715675200001</v>
      </c>
      <c r="N117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3034.2715675200002</v>
      </c>
      <c r="O1172">
        <v>21.84</v>
      </c>
      <c r="P1172">
        <v>54.6</v>
      </c>
      <c r="Q1172">
        <v>80.64</v>
      </c>
      <c r="R1172">
        <v>44.377200000000002</v>
      </c>
      <c r="S1172">
        <v>0.2</v>
      </c>
      <c r="T1172">
        <v>0.02</v>
      </c>
      <c r="U1172" s="8">
        <f>Table3[[#This Row],[PrimaNeta]]*Table3[[#This Row],[Comisión]]</f>
        <v>808.93219188000012</v>
      </c>
      <c r="V1172" s="15">
        <f>Table3[[#This Row],[PrimaComercial Anual]]-Table3[[#This Row],[PrimaComercial Anual]]*SUM(Table3[[#This Row],[APS]:[IVA]])</f>
        <v>4044.6609594000001</v>
      </c>
      <c r="W1172" s="2">
        <v>1.4800000000000001E-2</v>
      </c>
      <c r="X1172" s="2">
        <v>8.4501000000000007E-2</v>
      </c>
      <c r="Y1172">
        <v>0.03</v>
      </c>
      <c r="Z1172">
        <v>0.13</v>
      </c>
      <c r="AA1172" s="20">
        <f>Table3[[#This Row],[APS]]*Table3[[#This Row],[PrimaComercial Anual]]</f>
        <v>80.816880000000012</v>
      </c>
      <c r="AB1172" s="8">
        <f>Table3[[#This Row],[PrimaComercial Anual]]*Table3[[#This Row],[Recargo adicional]]</f>
        <v>461.42616060000006</v>
      </c>
      <c r="AC1172" s="8">
        <f>Table3[[#This Row],[PrimaComercial Anual]]*Table3[[#This Row],[IT]]</f>
        <v>163.81800000000001</v>
      </c>
      <c r="AD1172" s="8">
        <f>Table3[[#This Row],[PrimaComercial Anual]]*Table3[[#This Row],[IVA]]</f>
        <v>709.87800000000004</v>
      </c>
      <c r="AE1172" s="15">
        <f>Table3[[#This Row],[PrimaComercial Anual Asistencia]]</f>
        <v>5460.6</v>
      </c>
      <c r="AG1172">
        <v>5460.6</v>
      </c>
    </row>
    <row r="1173" spans="1:33" x14ac:dyDescent="0.25">
      <c r="A1173" t="s">
        <v>17</v>
      </c>
      <c r="B1173">
        <v>1750000</v>
      </c>
      <c r="C1173">
        <v>16</v>
      </c>
      <c r="D1173" s="2">
        <f>Table3[[#This Row],[PrimaTécnica]]-Table3[[#This Row],[PrimaTécnica]]*SUM(Table3[[#This Row],[Gastos Adm]:[Cobranza]])</f>
        <v>2366.7318226655998</v>
      </c>
      <c r="E1173">
        <v>0</v>
      </c>
      <c r="F1173">
        <v>0.15</v>
      </c>
      <c r="G1173">
        <v>0.05</v>
      </c>
      <c r="H1173">
        <v>0.01</v>
      </c>
      <c r="I1173">
        <v>0.01</v>
      </c>
      <c r="J1173" s="8">
        <f>Table3[[#This Row],[PrimaTécnica]]*Table3[[#This Row],[Gastos Adm]]</f>
        <v>455.14073512800002</v>
      </c>
      <c r="K1173" s="8">
        <f>Table3[[#This Row],[PrimaTécnica]]*Table3[[#This Row],[Utilidad]]</f>
        <v>151.71357837600002</v>
      </c>
      <c r="L1173" s="8">
        <f>Table3[[#This Row],[PrimaTécnica]]*Table3[[#This Row],[Marketing]]</f>
        <v>30.342715675200001</v>
      </c>
      <c r="M1173" s="8">
        <f>Table3[[#This Row],[PrimaTécnica]]*Table3[[#This Row],[Cobranza]]</f>
        <v>30.342715675200001</v>
      </c>
      <c r="N117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3034.2715675200002</v>
      </c>
      <c r="O1173">
        <v>21.84</v>
      </c>
      <c r="P1173">
        <v>54.6</v>
      </c>
      <c r="Q1173">
        <v>80.64</v>
      </c>
      <c r="R1173">
        <v>44.377200000000002</v>
      </c>
      <c r="S1173">
        <v>0.2</v>
      </c>
      <c r="T1173">
        <v>0.02</v>
      </c>
      <c r="U1173" s="8">
        <f>Table3[[#This Row],[PrimaNeta]]*Table3[[#This Row],[Comisión]]</f>
        <v>808.93219188000012</v>
      </c>
      <c r="V1173" s="15">
        <f>Table3[[#This Row],[PrimaComercial Anual]]-Table3[[#This Row],[PrimaComercial Anual]]*SUM(Table3[[#This Row],[APS]:[IVA]])</f>
        <v>4044.6609594000001</v>
      </c>
      <c r="W1173" s="2">
        <v>1.4800000000000001E-2</v>
      </c>
      <c r="X1173" s="2">
        <v>8.4501000000000007E-2</v>
      </c>
      <c r="Y1173">
        <v>0.03</v>
      </c>
      <c r="Z1173">
        <v>0.13</v>
      </c>
      <c r="AA1173" s="20">
        <f>Table3[[#This Row],[APS]]*Table3[[#This Row],[PrimaComercial Anual]]</f>
        <v>80.816880000000012</v>
      </c>
      <c r="AB1173" s="8">
        <f>Table3[[#This Row],[PrimaComercial Anual]]*Table3[[#This Row],[Recargo adicional]]</f>
        <v>461.42616060000006</v>
      </c>
      <c r="AC1173" s="8">
        <f>Table3[[#This Row],[PrimaComercial Anual]]*Table3[[#This Row],[IT]]</f>
        <v>163.81800000000001</v>
      </c>
      <c r="AD1173" s="8">
        <f>Table3[[#This Row],[PrimaComercial Anual]]*Table3[[#This Row],[IVA]]</f>
        <v>709.87800000000004</v>
      </c>
      <c r="AE1173" s="15">
        <f>Table3[[#This Row],[PrimaComercial Anual Asistencia]]</f>
        <v>5460.6</v>
      </c>
      <c r="AG1173">
        <v>5460.6</v>
      </c>
    </row>
    <row r="1174" spans="1:33" x14ac:dyDescent="0.25">
      <c r="A1174" t="s">
        <v>17</v>
      </c>
      <c r="B1174">
        <v>1750000</v>
      </c>
      <c r="C1174">
        <v>17</v>
      </c>
      <c r="D1174" s="2">
        <f>Table3[[#This Row],[PrimaTécnica]]-Table3[[#This Row],[PrimaTécnica]]*SUM(Table3[[#This Row],[Gastos Adm]:[Cobranza]])</f>
        <v>2366.7318226655998</v>
      </c>
      <c r="E1174">
        <v>0</v>
      </c>
      <c r="F1174">
        <v>0.15</v>
      </c>
      <c r="G1174">
        <v>0.05</v>
      </c>
      <c r="H1174">
        <v>0.01</v>
      </c>
      <c r="I1174">
        <v>0.01</v>
      </c>
      <c r="J1174" s="8">
        <f>Table3[[#This Row],[PrimaTécnica]]*Table3[[#This Row],[Gastos Adm]]</f>
        <v>455.14073512800002</v>
      </c>
      <c r="K1174" s="8">
        <f>Table3[[#This Row],[PrimaTécnica]]*Table3[[#This Row],[Utilidad]]</f>
        <v>151.71357837600002</v>
      </c>
      <c r="L1174" s="8">
        <f>Table3[[#This Row],[PrimaTécnica]]*Table3[[#This Row],[Marketing]]</f>
        <v>30.342715675200001</v>
      </c>
      <c r="M1174" s="8">
        <f>Table3[[#This Row],[PrimaTécnica]]*Table3[[#This Row],[Cobranza]]</f>
        <v>30.342715675200001</v>
      </c>
      <c r="N117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3034.2715675200002</v>
      </c>
      <c r="O1174">
        <v>21.84</v>
      </c>
      <c r="P1174">
        <v>54.6</v>
      </c>
      <c r="Q1174">
        <v>80.64</v>
      </c>
      <c r="R1174">
        <v>44.377200000000002</v>
      </c>
      <c r="S1174">
        <v>0.2</v>
      </c>
      <c r="T1174">
        <v>0.02</v>
      </c>
      <c r="U1174" s="8">
        <f>Table3[[#This Row],[PrimaNeta]]*Table3[[#This Row],[Comisión]]</f>
        <v>808.93219188000012</v>
      </c>
      <c r="V1174" s="15">
        <f>Table3[[#This Row],[PrimaComercial Anual]]-Table3[[#This Row],[PrimaComercial Anual]]*SUM(Table3[[#This Row],[APS]:[IVA]])</f>
        <v>4044.6609594000001</v>
      </c>
      <c r="W1174" s="2">
        <v>1.4800000000000001E-2</v>
      </c>
      <c r="X1174" s="2">
        <v>8.4501000000000007E-2</v>
      </c>
      <c r="Y1174">
        <v>0.03</v>
      </c>
      <c r="Z1174">
        <v>0.13</v>
      </c>
      <c r="AA1174" s="20">
        <f>Table3[[#This Row],[APS]]*Table3[[#This Row],[PrimaComercial Anual]]</f>
        <v>80.816880000000012</v>
      </c>
      <c r="AB1174" s="8">
        <f>Table3[[#This Row],[PrimaComercial Anual]]*Table3[[#This Row],[Recargo adicional]]</f>
        <v>461.42616060000006</v>
      </c>
      <c r="AC1174" s="8">
        <f>Table3[[#This Row],[PrimaComercial Anual]]*Table3[[#This Row],[IT]]</f>
        <v>163.81800000000001</v>
      </c>
      <c r="AD1174" s="8">
        <f>Table3[[#This Row],[PrimaComercial Anual]]*Table3[[#This Row],[IVA]]</f>
        <v>709.87800000000004</v>
      </c>
      <c r="AE1174" s="15">
        <f>Table3[[#This Row],[PrimaComercial Anual Asistencia]]</f>
        <v>5460.6</v>
      </c>
      <c r="AG1174">
        <v>5460.6</v>
      </c>
    </row>
    <row r="1175" spans="1:33" x14ac:dyDescent="0.25">
      <c r="A1175" t="s">
        <v>17</v>
      </c>
      <c r="B1175">
        <v>1750000</v>
      </c>
      <c r="C1175">
        <v>18</v>
      </c>
      <c r="D1175" s="2">
        <f>Table3[[#This Row],[PrimaTécnica]]-Table3[[#This Row],[PrimaTécnica]]*SUM(Table3[[#This Row],[Gastos Adm]:[Cobranza]])</f>
        <v>2366.7318226655998</v>
      </c>
      <c r="E1175">
        <v>0</v>
      </c>
      <c r="F1175">
        <v>0.15</v>
      </c>
      <c r="G1175">
        <v>0.05</v>
      </c>
      <c r="H1175">
        <v>0.01</v>
      </c>
      <c r="I1175">
        <v>0.01</v>
      </c>
      <c r="J1175" s="8">
        <f>Table3[[#This Row],[PrimaTécnica]]*Table3[[#This Row],[Gastos Adm]]</f>
        <v>455.14073512800002</v>
      </c>
      <c r="K1175" s="8">
        <f>Table3[[#This Row],[PrimaTécnica]]*Table3[[#This Row],[Utilidad]]</f>
        <v>151.71357837600002</v>
      </c>
      <c r="L1175" s="8">
        <f>Table3[[#This Row],[PrimaTécnica]]*Table3[[#This Row],[Marketing]]</f>
        <v>30.342715675200001</v>
      </c>
      <c r="M1175" s="8">
        <f>Table3[[#This Row],[PrimaTécnica]]*Table3[[#This Row],[Cobranza]]</f>
        <v>30.342715675200001</v>
      </c>
      <c r="N117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3034.2715675200002</v>
      </c>
      <c r="O1175">
        <v>21.84</v>
      </c>
      <c r="P1175">
        <v>54.6</v>
      </c>
      <c r="Q1175">
        <v>80.64</v>
      </c>
      <c r="R1175">
        <v>44.377200000000002</v>
      </c>
      <c r="S1175">
        <v>0.2</v>
      </c>
      <c r="T1175">
        <v>0.02</v>
      </c>
      <c r="U1175" s="8">
        <f>Table3[[#This Row],[PrimaNeta]]*Table3[[#This Row],[Comisión]]</f>
        <v>808.93219188000012</v>
      </c>
      <c r="V1175" s="15">
        <f>Table3[[#This Row],[PrimaComercial Anual]]-Table3[[#This Row],[PrimaComercial Anual]]*SUM(Table3[[#This Row],[APS]:[IVA]])</f>
        <v>4044.6609594000001</v>
      </c>
      <c r="W1175" s="2">
        <v>1.4800000000000001E-2</v>
      </c>
      <c r="X1175" s="2">
        <v>8.4501000000000007E-2</v>
      </c>
      <c r="Y1175">
        <v>0.03</v>
      </c>
      <c r="Z1175">
        <v>0.13</v>
      </c>
      <c r="AA1175" s="20">
        <f>Table3[[#This Row],[APS]]*Table3[[#This Row],[PrimaComercial Anual]]</f>
        <v>80.816880000000012</v>
      </c>
      <c r="AB1175" s="8">
        <f>Table3[[#This Row],[PrimaComercial Anual]]*Table3[[#This Row],[Recargo adicional]]</f>
        <v>461.42616060000006</v>
      </c>
      <c r="AC1175" s="8">
        <f>Table3[[#This Row],[PrimaComercial Anual]]*Table3[[#This Row],[IT]]</f>
        <v>163.81800000000001</v>
      </c>
      <c r="AD1175" s="8">
        <f>Table3[[#This Row],[PrimaComercial Anual]]*Table3[[#This Row],[IVA]]</f>
        <v>709.87800000000004</v>
      </c>
      <c r="AE1175" s="15">
        <f>Table3[[#This Row],[PrimaComercial Anual Asistencia]]</f>
        <v>5460.6</v>
      </c>
      <c r="AG1175">
        <v>5460.6</v>
      </c>
    </row>
    <row r="1176" spans="1:33" x14ac:dyDescent="0.25">
      <c r="A1176" t="s">
        <v>17</v>
      </c>
      <c r="B1176">
        <v>1750000</v>
      </c>
      <c r="C1176">
        <v>19</v>
      </c>
      <c r="D1176" s="2">
        <f>Table3[[#This Row],[PrimaTécnica]]-Table3[[#This Row],[PrimaTécnica]]*SUM(Table3[[#This Row],[Gastos Adm]:[Cobranza]])</f>
        <v>2256.0820581312</v>
      </c>
      <c r="E1176">
        <v>0</v>
      </c>
      <c r="F1176">
        <v>0.15</v>
      </c>
      <c r="G1176">
        <v>0.05</v>
      </c>
      <c r="H1176">
        <v>0.01</v>
      </c>
      <c r="I1176">
        <v>0.01</v>
      </c>
      <c r="J1176" s="8">
        <f>Table3[[#This Row],[PrimaTécnica]]*Table3[[#This Row],[Gastos Adm]]</f>
        <v>433.86193425599998</v>
      </c>
      <c r="K1176" s="8">
        <f>Table3[[#This Row],[PrimaTécnica]]*Table3[[#This Row],[Utilidad]]</f>
        <v>144.620644752</v>
      </c>
      <c r="L1176" s="8">
        <f>Table3[[#This Row],[PrimaTécnica]]*Table3[[#This Row],[Marketing]]</f>
        <v>28.9241289504</v>
      </c>
      <c r="M1176" s="8">
        <f>Table3[[#This Row],[PrimaTécnica]]*Table3[[#This Row],[Cobranza]]</f>
        <v>28.9241289504</v>
      </c>
      <c r="N117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1176">
        <v>21.84</v>
      </c>
      <c r="P1176">
        <v>54.6</v>
      </c>
      <c r="Q1176">
        <v>80.64</v>
      </c>
      <c r="R1176">
        <v>44.377200000000002</v>
      </c>
      <c r="S1176">
        <v>0.2</v>
      </c>
      <c r="T1176">
        <v>0.02</v>
      </c>
      <c r="U1176" s="8">
        <f>Table3[[#This Row],[PrimaNeta]]*Table3[[#This Row],[Comisión]]</f>
        <v>773.46752375999995</v>
      </c>
      <c r="V1176" s="15">
        <f>Table3[[#This Row],[PrimaComercial Anual]]-Table3[[#This Row],[PrimaComercial Anual]]*SUM(Table3[[#This Row],[APS]:[IVA]])</f>
        <v>3867.3376187999997</v>
      </c>
      <c r="W1176" s="2">
        <v>1.4800000000000001E-2</v>
      </c>
      <c r="X1176" s="2">
        <v>8.4501000000000007E-2</v>
      </c>
      <c r="Y1176">
        <v>0.03</v>
      </c>
      <c r="Z1176">
        <v>0.13</v>
      </c>
      <c r="AA1176" s="20">
        <f>Table3[[#This Row],[APS]]*Table3[[#This Row],[PrimaComercial Anual]]</f>
        <v>77.273759999999996</v>
      </c>
      <c r="AB1176" s="8">
        <f>Table3[[#This Row],[PrimaComercial Anual]]*Table3[[#This Row],[Recargo adicional]]</f>
        <v>441.19662120000004</v>
      </c>
      <c r="AC1176" s="8">
        <f>Table3[[#This Row],[PrimaComercial Anual]]*Table3[[#This Row],[IT]]</f>
        <v>156.636</v>
      </c>
      <c r="AD1176" s="8">
        <f>Table3[[#This Row],[PrimaComercial Anual]]*Table3[[#This Row],[IVA]]</f>
        <v>678.75599999999997</v>
      </c>
      <c r="AE1176" s="15">
        <f>Table3[[#This Row],[PrimaComercial Anual Asistencia]]</f>
        <v>5221.2</v>
      </c>
      <c r="AG1176">
        <v>5221.2</v>
      </c>
    </row>
    <row r="1177" spans="1:33" x14ac:dyDescent="0.25">
      <c r="A1177" t="s">
        <v>17</v>
      </c>
      <c r="B1177">
        <v>1750000</v>
      </c>
      <c r="C1177">
        <v>20</v>
      </c>
      <c r="D1177" s="2">
        <f>Table3[[#This Row],[PrimaTécnica]]-Table3[[#This Row],[PrimaTécnica]]*SUM(Table3[[#This Row],[Gastos Adm]:[Cobranza]])</f>
        <v>2256.0820581312</v>
      </c>
      <c r="E1177">
        <v>0</v>
      </c>
      <c r="F1177">
        <v>0.15</v>
      </c>
      <c r="G1177">
        <v>0.05</v>
      </c>
      <c r="H1177">
        <v>0.01</v>
      </c>
      <c r="I1177">
        <v>0.01</v>
      </c>
      <c r="J1177" s="8">
        <f>Table3[[#This Row],[PrimaTécnica]]*Table3[[#This Row],[Gastos Adm]]</f>
        <v>433.86193425599998</v>
      </c>
      <c r="K1177" s="8">
        <f>Table3[[#This Row],[PrimaTécnica]]*Table3[[#This Row],[Utilidad]]</f>
        <v>144.620644752</v>
      </c>
      <c r="L1177" s="8">
        <f>Table3[[#This Row],[PrimaTécnica]]*Table3[[#This Row],[Marketing]]</f>
        <v>28.9241289504</v>
      </c>
      <c r="M1177" s="8">
        <f>Table3[[#This Row],[PrimaTécnica]]*Table3[[#This Row],[Cobranza]]</f>
        <v>28.9241289504</v>
      </c>
      <c r="N117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1177">
        <v>21.84</v>
      </c>
      <c r="P1177">
        <v>54.6</v>
      </c>
      <c r="Q1177">
        <v>80.64</v>
      </c>
      <c r="R1177">
        <v>44.377200000000002</v>
      </c>
      <c r="S1177">
        <v>0.2</v>
      </c>
      <c r="T1177">
        <v>0.02</v>
      </c>
      <c r="U1177" s="8">
        <f>Table3[[#This Row],[PrimaNeta]]*Table3[[#This Row],[Comisión]]</f>
        <v>773.46752375999995</v>
      </c>
      <c r="V1177" s="15">
        <f>Table3[[#This Row],[PrimaComercial Anual]]-Table3[[#This Row],[PrimaComercial Anual]]*SUM(Table3[[#This Row],[APS]:[IVA]])</f>
        <v>3867.3376187999997</v>
      </c>
      <c r="W1177" s="2">
        <v>1.4800000000000001E-2</v>
      </c>
      <c r="X1177" s="2">
        <v>8.4501000000000007E-2</v>
      </c>
      <c r="Y1177">
        <v>0.03</v>
      </c>
      <c r="Z1177">
        <v>0.13</v>
      </c>
      <c r="AA1177" s="20">
        <f>Table3[[#This Row],[APS]]*Table3[[#This Row],[PrimaComercial Anual]]</f>
        <v>77.273759999999996</v>
      </c>
      <c r="AB1177" s="8">
        <f>Table3[[#This Row],[PrimaComercial Anual]]*Table3[[#This Row],[Recargo adicional]]</f>
        <v>441.19662120000004</v>
      </c>
      <c r="AC1177" s="8">
        <f>Table3[[#This Row],[PrimaComercial Anual]]*Table3[[#This Row],[IT]]</f>
        <v>156.636</v>
      </c>
      <c r="AD1177" s="8">
        <f>Table3[[#This Row],[PrimaComercial Anual]]*Table3[[#This Row],[IVA]]</f>
        <v>678.75599999999997</v>
      </c>
      <c r="AE1177" s="15">
        <f>Table3[[#This Row],[PrimaComercial Anual Asistencia]]</f>
        <v>5221.2</v>
      </c>
      <c r="AG1177">
        <v>5221.2</v>
      </c>
    </row>
    <row r="1178" spans="1:33" x14ac:dyDescent="0.25">
      <c r="A1178" t="s">
        <v>17</v>
      </c>
      <c r="B1178">
        <v>1750000</v>
      </c>
      <c r="C1178">
        <v>21</v>
      </c>
      <c r="D1178" s="2">
        <f>Table3[[#This Row],[PrimaTécnica]]-Table3[[#This Row],[PrimaTécnica]]*SUM(Table3[[#This Row],[Gastos Adm]:[Cobranza]])</f>
        <v>2256.0820581312</v>
      </c>
      <c r="E1178">
        <v>0</v>
      </c>
      <c r="F1178">
        <v>0.15</v>
      </c>
      <c r="G1178">
        <v>0.05</v>
      </c>
      <c r="H1178">
        <v>0.01</v>
      </c>
      <c r="I1178">
        <v>0.01</v>
      </c>
      <c r="J1178" s="8">
        <f>Table3[[#This Row],[PrimaTécnica]]*Table3[[#This Row],[Gastos Adm]]</f>
        <v>433.86193425599998</v>
      </c>
      <c r="K1178" s="8">
        <f>Table3[[#This Row],[PrimaTécnica]]*Table3[[#This Row],[Utilidad]]</f>
        <v>144.620644752</v>
      </c>
      <c r="L1178" s="8">
        <f>Table3[[#This Row],[PrimaTécnica]]*Table3[[#This Row],[Marketing]]</f>
        <v>28.9241289504</v>
      </c>
      <c r="M1178" s="8">
        <f>Table3[[#This Row],[PrimaTécnica]]*Table3[[#This Row],[Cobranza]]</f>
        <v>28.9241289504</v>
      </c>
      <c r="N117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1178">
        <v>21.84</v>
      </c>
      <c r="P1178">
        <v>54.6</v>
      </c>
      <c r="Q1178">
        <v>80.64</v>
      </c>
      <c r="R1178">
        <v>44.377200000000002</v>
      </c>
      <c r="S1178">
        <v>0.2</v>
      </c>
      <c r="T1178">
        <v>0.02</v>
      </c>
      <c r="U1178" s="8">
        <f>Table3[[#This Row],[PrimaNeta]]*Table3[[#This Row],[Comisión]]</f>
        <v>773.46752375999995</v>
      </c>
      <c r="V1178" s="15">
        <f>Table3[[#This Row],[PrimaComercial Anual]]-Table3[[#This Row],[PrimaComercial Anual]]*SUM(Table3[[#This Row],[APS]:[IVA]])</f>
        <v>3867.3376187999997</v>
      </c>
      <c r="W1178" s="2">
        <v>1.4800000000000001E-2</v>
      </c>
      <c r="X1178" s="2">
        <v>8.4501000000000007E-2</v>
      </c>
      <c r="Y1178">
        <v>0.03</v>
      </c>
      <c r="Z1178">
        <v>0.13</v>
      </c>
      <c r="AA1178" s="20">
        <f>Table3[[#This Row],[APS]]*Table3[[#This Row],[PrimaComercial Anual]]</f>
        <v>77.273759999999996</v>
      </c>
      <c r="AB1178" s="8">
        <f>Table3[[#This Row],[PrimaComercial Anual]]*Table3[[#This Row],[Recargo adicional]]</f>
        <v>441.19662120000004</v>
      </c>
      <c r="AC1178" s="8">
        <f>Table3[[#This Row],[PrimaComercial Anual]]*Table3[[#This Row],[IT]]</f>
        <v>156.636</v>
      </c>
      <c r="AD1178" s="8">
        <f>Table3[[#This Row],[PrimaComercial Anual]]*Table3[[#This Row],[IVA]]</f>
        <v>678.75599999999997</v>
      </c>
      <c r="AE1178" s="15">
        <f>Table3[[#This Row],[PrimaComercial Anual Asistencia]]</f>
        <v>5221.2</v>
      </c>
      <c r="AG1178">
        <v>5221.2</v>
      </c>
    </row>
    <row r="1179" spans="1:33" x14ac:dyDescent="0.25">
      <c r="A1179" t="s">
        <v>17</v>
      </c>
      <c r="B1179">
        <v>1750000</v>
      </c>
      <c r="C1179">
        <v>22</v>
      </c>
      <c r="D1179" s="2">
        <f>Table3[[#This Row],[PrimaTécnica]]-Table3[[#This Row],[PrimaTécnica]]*SUM(Table3[[#This Row],[Gastos Adm]:[Cobranza]])</f>
        <v>2256.0820581312</v>
      </c>
      <c r="E1179">
        <v>0</v>
      </c>
      <c r="F1179">
        <v>0.15</v>
      </c>
      <c r="G1179">
        <v>0.05</v>
      </c>
      <c r="H1179">
        <v>0.01</v>
      </c>
      <c r="I1179">
        <v>0.01</v>
      </c>
      <c r="J1179" s="8">
        <f>Table3[[#This Row],[PrimaTécnica]]*Table3[[#This Row],[Gastos Adm]]</f>
        <v>433.86193425599998</v>
      </c>
      <c r="K1179" s="8">
        <f>Table3[[#This Row],[PrimaTécnica]]*Table3[[#This Row],[Utilidad]]</f>
        <v>144.620644752</v>
      </c>
      <c r="L1179" s="8">
        <f>Table3[[#This Row],[PrimaTécnica]]*Table3[[#This Row],[Marketing]]</f>
        <v>28.9241289504</v>
      </c>
      <c r="M1179" s="8">
        <f>Table3[[#This Row],[PrimaTécnica]]*Table3[[#This Row],[Cobranza]]</f>
        <v>28.9241289504</v>
      </c>
      <c r="N117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1179">
        <v>21.84</v>
      </c>
      <c r="P1179">
        <v>54.6</v>
      </c>
      <c r="Q1179">
        <v>80.64</v>
      </c>
      <c r="R1179">
        <v>44.377200000000002</v>
      </c>
      <c r="S1179">
        <v>0.2</v>
      </c>
      <c r="T1179">
        <v>0.02</v>
      </c>
      <c r="U1179" s="8">
        <f>Table3[[#This Row],[PrimaNeta]]*Table3[[#This Row],[Comisión]]</f>
        <v>773.46752375999995</v>
      </c>
      <c r="V1179" s="15">
        <f>Table3[[#This Row],[PrimaComercial Anual]]-Table3[[#This Row],[PrimaComercial Anual]]*SUM(Table3[[#This Row],[APS]:[IVA]])</f>
        <v>3867.3376187999997</v>
      </c>
      <c r="W1179" s="2">
        <v>1.4800000000000001E-2</v>
      </c>
      <c r="X1179" s="2">
        <v>8.4501000000000007E-2</v>
      </c>
      <c r="Y1179">
        <v>0.03</v>
      </c>
      <c r="Z1179">
        <v>0.13</v>
      </c>
      <c r="AA1179" s="20">
        <f>Table3[[#This Row],[APS]]*Table3[[#This Row],[PrimaComercial Anual]]</f>
        <v>77.273759999999996</v>
      </c>
      <c r="AB1179" s="8">
        <f>Table3[[#This Row],[PrimaComercial Anual]]*Table3[[#This Row],[Recargo adicional]]</f>
        <v>441.19662120000004</v>
      </c>
      <c r="AC1179" s="8">
        <f>Table3[[#This Row],[PrimaComercial Anual]]*Table3[[#This Row],[IT]]</f>
        <v>156.636</v>
      </c>
      <c r="AD1179" s="8">
        <f>Table3[[#This Row],[PrimaComercial Anual]]*Table3[[#This Row],[IVA]]</f>
        <v>678.75599999999997</v>
      </c>
      <c r="AE1179" s="15">
        <f>Table3[[#This Row],[PrimaComercial Anual Asistencia]]</f>
        <v>5221.2</v>
      </c>
      <c r="AG1179">
        <v>5221.2</v>
      </c>
    </row>
    <row r="1180" spans="1:33" x14ac:dyDescent="0.25">
      <c r="A1180" t="s">
        <v>17</v>
      </c>
      <c r="B1180">
        <v>1750000</v>
      </c>
      <c r="C1180">
        <v>23</v>
      </c>
      <c r="D1180" s="2">
        <f>Table3[[#This Row],[PrimaTécnica]]-Table3[[#This Row],[PrimaTécnica]]*SUM(Table3[[#This Row],[Gastos Adm]:[Cobranza]])</f>
        <v>2256.0820581312</v>
      </c>
      <c r="E1180">
        <v>0</v>
      </c>
      <c r="F1180">
        <v>0.15</v>
      </c>
      <c r="G1180">
        <v>0.05</v>
      </c>
      <c r="H1180">
        <v>0.01</v>
      </c>
      <c r="I1180">
        <v>0.01</v>
      </c>
      <c r="J1180" s="8">
        <f>Table3[[#This Row],[PrimaTécnica]]*Table3[[#This Row],[Gastos Adm]]</f>
        <v>433.86193425599998</v>
      </c>
      <c r="K1180" s="8">
        <f>Table3[[#This Row],[PrimaTécnica]]*Table3[[#This Row],[Utilidad]]</f>
        <v>144.620644752</v>
      </c>
      <c r="L1180" s="8">
        <f>Table3[[#This Row],[PrimaTécnica]]*Table3[[#This Row],[Marketing]]</f>
        <v>28.9241289504</v>
      </c>
      <c r="M1180" s="8">
        <f>Table3[[#This Row],[PrimaTécnica]]*Table3[[#This Row],[Cobranza]]</f>
        <v>28.9241289504</v>
      </c>
      <c r="N118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1180">
        <v>21.84</v>
      </c>
      <c r="P1180">
        <v>54.6</v>
      </c>
      <c r="Q1180">
        <v>80.64</v>
      </c>
      <c r="R1180">
        <v>44.377200000000002</v>
      </c>
      <c r="S1180">
        <v>0.2</v>
      </c>
      <c r="T1180">
        <v>0.02</v>
      </c>
      <c r="U1180" s="8">
        <f>Table3[[#This Row],[PrimaNeta]]*Table3[[#This Row],[Comisión]]</f>
        <v>773.46752375999995</v>
      </c>
      <c r="V1180" s="15">
        <f>Table3[[#This Row],[PrimaComercial Anual]]-Table3[[#This Row],[PrimaComercial Anual]]*SUM(Table3[[#This Row],[APS]:[IVA]])</f>
        <v>3867.3376187999997</v>
      </c>
      <c r="W1180" s="2">
        <v>1.4800000000000001E-2</v>
      </c>
      <c r="X1180" s="2">
        <v>8.4501000000000007E-2</v>
      </c>
      <c r="Y1180">
        <v>0.03</v>
      </c>
      <c r="Z1180">
        <v>0.13</v>
      </c>
      <c r="AA1180" s="20">
        <f>Table3[[#This Row],[APS]]*Table3[[#This Row],[PrimaComercial Anual]]</f>
        <v>77.273759999999996</v>
      </c>
      <c r="AB1180" s="8">
        <f>Table3[[#This Row],[PrimaComercial Anual]]*Table3[[#This Row],[Recargo adicional]]</f>
        <v>441.19662120000004</v>
      </c>
      <c r="AC1180" s="8">
        <f>Table3[[#This Row],[PrimaComercial Anual]]*Table3[[#This Row],[IT]]</f>
        <v>156.636</v>
      </c>
      <c r="AD1180" s="8">
        <f>Table3[[#This Row],[PrimaComercial Anual]]*Table3[[#This Row],[IVA]]</f>
        <v>678.75599999999997</v>
      </c>
      <c r="AE1180" s="15">
        <f>Table3[[#This Row],[PrimaComercial Anual Asistencia]]</f>
        <v>5221.2</v>
      </c>
      <c r="AG1180">
        <v>5221.2</v>
      </c>
    </row>
    <row r="1181" spans="1:33" x14ac:dyDescent="0.25">
      <c r="A1181" t="s">
        <v>17</v>
      </c>
      <c r="B1181">
        <v>1750000</v>
      </c>
      <c r="C1181">
        <v>24</v>
      </c>
      <c r="D1181" s="2">
        <f>Table3[[#This Row],[PrimaTécnica]]-Table3[[#This Row],[PrimaTécnica]]*SUM(Table3[[#This Row],[Gastos Adm]:[Cobranza]])</f>
        <v>2256.0820581312</v>
      </c>
      <c r="E1181">
        <v>0</v>
      </c>
      <c r="F1181">
        <v>0.15</v>
      </c>
      <c r="G1181">
        <v>0.05</v>
      </c>
      <c r="H1181">
        <v>0.01</v>
      </c>
      <c r="I1181">
        <v>0.01</v>
      </c>
      <c r="J1181" s="8">
        <f>Table3[[#This Row],[PrimaTécnica]]*Table3[[#This Row],[Gastos Adm]]</f>
        <v>433.86193425599998</v>
      </c>
      <c r="K1181" s="8">
        <f>Table3[[#This Row],[PrimaTécnica]]*Table3[[#This Row],[Utilidad]]</f>
        <v>144.620644752</v>
      </c>
      <c r="L1181" s="8">
        <f>Table3[[#This Row],[PrimaTécnica]]*Table3[[#This Row],[Marketing]]</f>
        <v>28.9241289504</v>
      </c>
      <c r="M1181" s="8">
        <f>Table3[[#This Row],[PrimaTécnica]]*Table3[[#This Row],[Cobranza]]</f>
        <v>28.9241289504</v>
      </c>
      <c r="N118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1181">
        <v>21.84</v>
      </c>
      <c r="P1181">
        <v>54.6</v>
      </c>
      <c r="Q1181">
        <v>80.64</v>
      </c>
      <c r="R1181">
        <v>44.377200000000002</v>
      </c>
      <c r="S1181">
        <v>0.2</v>
      </c>
      <c r="T1181">
        <v>0.02</v>
      </c>
      <c r="U1181" s="8">
        <f>Table3[[#This Row],[PrimaNeta]]*Table3[[#This Row],[Comisión]]</f>
        <v>773.46752375999995</v>
      </c>
      <c r="V1181" s="15">
        <f>Table3[[#This Row],[PrimaComercial Anual]]-Table3[[#This Row],[PrimaComercial Anual]]*SUM(Table3[[#This Row],[APS]:[IVA]])</f>
        <v>3867.3376187999997</v>
      </c>
      <c r="W1181" s="2">
        <v>1.4800000000000001E-2</v>
      </c>
      <c r="X1181" s="2">
        <v>8.4501000000000007E-2</v>
      </c>
      <c r="Y1181">
        <v>0.03</v>
      </c>
      <c r="Z1181">
        <v>0.13</v>
      </c>
      <c r="AA1181" s="20">
        <f>Table3[[#This Row],[APS]]*Table3[[#This Row],[PrimaComercial Anual]]</f>
        <v>77.273759999999996</v>
      </c>
      <c r="AB1181" s="8">
        <f>Table3[[#This Row],[PrimaComercial Anual]]*Table3[[#This Row],[Recargo adicional]]</f>
        <v>441.19662120000004</v>
      </c>
      <c r="AC1181" s="8">
        <f>Table3[[#This Row],[PrimaComercial Anual]]*Table3[[#This Row],[IT]]</f>
        <v>156.636</v>
      </c>
      <c r="AD1181" s="8">
        <f>Table3[[#This Row],[PrimaComercial Anual]]*Table3[[#This Row],[IVA]]</f>
        <v>678.75599999999997</v>
      </c>
      <c r="AE1181" s="15">
        <f>Table3[[#This Row],[PrimaComercial Anual Asistencia]]</f>
        <v>5221.2</v>
      </c>
      <c r="AG1181">
        <v>5221.2</v>
      </c>
    </row>
    <row r="1182" spans="1:33" x14ac:dyDescent="0.25">
      <c r="A1182" t="s">
        <v>17</v>
      </c>
      <c r="B1182">
        <v>1750000</v>
      </c>
      <c r="C1182">
        <v>25</v>
      </c>
      <c r="D1182" s="2">
        <f>Table3[[#This Row],[PrimaTécnica]]-Table3[[#This Row],[PrimaTécnica]]*SUM(Table3[[#This Row],[Gastos Adm]:[Cobranza]])</f>
        <v>2256.0820581312</v>
      </c>
      <c r="E1182">
        <v>0</v>
      </c>
      <c r="F1182">
        <v>0.15</v>
      </c>
      <c r="G1182">
        <v>0.05</v>
      </c>
      <c r="H1182">
        <v>0.01</v>
      </c>
      <c r="I1182">
        <v>0.01</v>
      </c>
      <c r="J1182" s="8">
        <f>Table3[[#This Row],[PrimaTécnica]]*Table3[[#This Row],[Gastos Adm]]</f>
        <v>433.86193425599998</v>
      </c>
      <c r="K1182" s="8">
        <f>Table3[[#This Row],[PrimaTécnica]]*Table3[[#This Row],[Utilidad]]</f>
        <v>144.620644752</v>
      </c>
      <c r="L1182" s="8">
        <f>Table3[[#This Row],[PrimaTécnica]]*Table3[[#This Row],[Marketing]]</f>
        <v>28.9241289504</v>
      </c>
      <c r="M1182" s="8">
        <f>Table3[[#This Row],[PrimaTécnica]]*Table3[[#This Row],[Cobranza]]</f>
        <v>28.9241289504</v>
      </c>
      <c r="N118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1182">
        <v>21.84</v>
      </c>
      <c r="P1182">
        <v>54.6</v>
      </c>
      <c r="Q1182">
        <v>80.64</v>
      </c>
      <c r="R1182">
        <v>44.377200000000002</v>
      </c>
      <c r="S1182">
        <v>0.2</v>
      </c>
      <c r="T1182">
        <v>0.02</v>
      </c>
      <c r="U1182" s="8">
        <f>Table3[[#This Row],[PrimaNeta]]*Table3[[#This Row],[Comisión]]</f>
        <v>773.46752375999995</v>
      </c>
      <c r="V1182" s="15">
        <f>Table3[[#This Row],[PrimaComercial Anual]]-Table3[[#This Row],[PrimaComercial Anual]]*SUM(Table3[[#This Row],[APS]:[IVA]])</f>
        <v>3867.3376187999997</v>
      </c>
      <c r="W1182" s="2">
        <v>1.4800000000000001E-2</v>
      </c>
      <c r="X1182" s="2">
        <v>8.4501000000000007E-2</v>
      </c>
      <c r="Y1182">
        <v>0.03</v>
      </c>
      <c r="Z1182">
        <v>0.13</v>
      </c>
      <c r="AA1182" s="20">
        <f>Table3[[#This Row],[APS]]*Table3[[#This Row],[PrimaComercial Anual]]</f>
        <v>77.273759999999996</v>
      </c>
      <c r="AB1182" s="8">
        <f>Table3[[#This Row],[PrimaComercial Anual]]*Table3[[#This Row],[Recargo adicional]]</f>
        <v>441.19662120000004</v>
      </c>
      <c r="AC1182" s="8">
        <f>Table3[[#This Row],[PrimaComercial Anual]]*Table3[[#This Row],[IT]]</f>
        <v>156.636</v>
      </c>
      <c r="AD1182" s="8">
        <f>Table3[[#This Row],[PrimaComercial Anual]]*Table3[[#This Row],[IVA]]</f>
        <v>678.75599999999997</v>
      </c>
      <c r="AE1182" s="15">
        <f>Table3[[#This Row],[PrimaComercial Anual Asistencia]]</f>
        <v>5221.2</v>
      </c>
      <c r="AG1182">
        <v>5221.2</v>
      </c>
    </row>
    <row r="1183" spans="1:33" x14ac:dyDescent="0.25">
      <c r="A1183" t="s">
        <v>17</v>
      </c>
      <c r="B1183">
        <v>1750000</v>
      </c>
      <c r="C1183">
        <v>26</v>
      </c>
      <c r="D1183" s="2">
        <f>Table3[[#This Row],[PrimaTécnica]]-Table3[[#This Row],[PrimaTécnica]]*SUM(Table3[[#This Row],[Gastos Adm]:[Cobranza]])</f>
        <v>2256.0820581312</v>
      </c>
      <c r="E1183">
        <v>0</v>
      </c>
      <c r="F1183">
        <v>0.15</v>
      </c>
      <c r="G1183">
        <v>0.05</v>
      </c>
      <c r="H1183">
        <v>0.01</v>
      </c>
      <c r="I1183">
        <v>0.01</v>
      </c>
      <c r="J1183" s="8">
        <f>Table3[[#This Row],[PrimaTécnica]]*Table3[[#This Row],[Gastos Adm]]</f>
        <v>433.86193425599998</v>
      </c>
      <c r="K1183" s="8">
        <f>Table3[[#This Row],[PrimaTécnica]]*Table3[[#This Row],[Utilidad]]</f>
        <v>144.620644752</v>
      </c>
      <c r="L1183" s="8">
        <f>Table3[[#This Row],[PrimaTécnica]]*Table3[[#This Row],[Marketing]]</f>
        <v>28.9241289504</v>
      </c>
      <c r="M1183" s="8">
        <f>Table3[[#This Row],[PrimaTécnica]]*Table3[[#This Row],[Cobranza]]</f>
        <v>28.9241289504</v>
      </c>
      <c r="N118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1183">
        <v>21.84</v>
      </c>
      <c r="P1183">
        <v>54.6</v>
      </c>
      <c r="Q1183">
        <v>80.64</v>
      </c>
      <c r="R1183">
        <v>44.377200000000002</v>
      </c>
      <c r="S1183">
        <v>0.2</v>
      </c>
      <c r="T1183">
        <v>0.02</v>
      </c>
      <c r="U1183" s="8">
        <f>Table3[[#This Row],[PrimaNeta]]*Table3[[#This Row],[Comisión]]</f>
        <v>773.46752375999995</v>
      </c>
      <c r="V1183" s="15">
        <f>Table3[[#This Row],[PrimaComercial Anual]]-Table3[[#This Row],[PrimaComercial Anual]]*SUM(Table3[[#This Row],[APS]:[IVA]])</f>
        <v>3867.3376187999997</v>
      </c>
      <c r="W1183" s="2">
        <v>1.4800000000000001E-2</v>
      </c>
      <c r="X1183" s="2">
        <v>8.4501000000000007E-2</v>
      </c>
      <c r="Y1183">
        <v>0.03</v>
      </c>
      <c r="Z1183">
        <v>0.13</v>
      </c>
      <c r="AA1183" s="20">
        <f>Table3[[#This Row],[APS]]*Table3[[#This Row],[PrimaComercial Anual]]</f>
        <v>77.273759999999996</v>
      </c>
      <c r="AB1183" s="8">
        <f>Table3[[#This Row],[PrimaComercial Anual]]*Table3[[#This Row],[Recargo adicional]]</f>
        <v>441.19662120000004</v>
      </c>
      <c r="AC1183" s="8">
        <f>Table3[[#This Row],[PrimaComercial Anual]]*Table3[[#This Row],[IT]]</f>
        <v>156.636</v>
      </c>
      <c r="AD1183" s="8">
        <f>Table3[[#This Row],[PrimaComercial Anual]]*Table3[[#This Row],[IVA]]</f>
        <v>678.75599999999997</v>
      </c>
      <c r="AE1183" s="15">
        <f>Table3[[#This Row],[PrimaComercial Anual Asistencia]]</f>
        <v>5221.2</v>
      </c>
      <c r="AG1183">
        <v>5221.2</v>
      </c>
    </row>
    <row r="1184" spans="1:33" x14ac:dyDescent="0.25">
      <c r="A1184" t="s">
        <v>17</v>
      </c>
      <c r="B1184">
        <v>1750000</v>
      </c>
      <c r="C1184">
        <v>27</v>
      </c>
      <c r="D1184" s="2">
        <f>Table3[[#This Row],[PrimaTécnica]]-Table3[[#This Row],[PrimaTécnica]]*SUM(Table3[[#This Row],[Gastos Adm]:[Cobranza]])</f>
        <v>2256.0820581312</v>
      </c>
      <c r="E1184">
        <v>0</v>
      </c>
      <c r="F1184">
        <v>0.15</v>
      </c>
      <c r="G1184">
        <v>0.05</v>
      </c>
      <c r="H1184">
        <v>0.01</v>
      </c>
      <c r="I1184">
        <v>0.01</v>
      </c>
      <c r="J1184" s="8">
        <f>Table3[[#This Row],[PrimaTécnica]]*Table3[[#This Row],[Gastos Adm]]</f>
        <v>433.86193425599998</v>
      </c>
      <c r="K1184" s="8">
        <f>Table3[[#This Row],[PrimaTécnica]]*Table3[[#This Row],[Utilidad]]</f>
        <v>144.620644752</v>
      </c>
      <c r="L1184" s="8">
        <f>Table3[[#This Row],[PrimaTécnica]]*Table3[[#This Row],[Marketing]]</f>
        <v>28.9241289504</v>
      </c>
      <c r="M1184" s="8">
        <f>Table3[[#This Row],[PrimaTécnica]]*Table3[[#This Row],[Cobranza]]</f>
        <v>28.9241289504</v>
      </c>
      <c r="N118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1184">
        <v>21.84</v>
      </c>
      <c r="P1184">
        <v>54.6</v>
      </c>
      <c r="Q1184">
        <v>80.64</v>
      </c>
      <c r="R1184">
        <v>44.377200000000002</v>
      </c>
      <c r="S1184">
        <v>0.2</v>
      </c>
      <c r="T1184">
        <v>0.02</v>
      </c>
      <c r="U1184" s="8">
        <f>Table3[[#This Row],[PrimaNeta]]*Table3[[#This Row],[Comisión]]</f>
        <v>773.46752375999995</v>
      </c>
      <c r="V1184" s="15">
        <f>Table3[[#This Row],[PrimaComercial Anual]]-Table3[[#This Row],[PrimaComercial Anual]]*SUM(Table3[[#This Row],[APS]:[IVA]])</f>
        <v>3867.3376187999997</v>
      </c>
      <c r="W1184" s="2">
        <v>1.4800000000000001E-2</v>
      </c>
      <c r="X1184" s="2">
        <v>8.4501000000000007E-2</v>
      </c>
      <c r="Y1184">
        <v>0.03</v>
      </c>
      <c r="Z1184">
        <v>0.13</v>
      </c>
      <c r="AA1184" s="20">
        <f>Table3[[#This Row],[APS]]*Table3[[#This Row],[PrimaComercial Anual]]</f>
        <v>77.273759999999996</v>
      </c>
      <c r="AB1184" s="8">
        <f>Table3[[#This Row],[PrimaComercial Anual]]*Table3[[#This Row],[Recargo adicional]]</f>
        <v>441.19662120000004</v>
      </c>
      <c r="AC1184" s="8">
        <f>Table3[[#This Row],[PrimaComercial Anual]]*Table3[[#This Row],[IT]]</f>
        <v>156.636</v>
      </c>
      <c r="AD1184" s="8">
        <f>Table3[[#This Row],[PrimaComercial Anual]]*Table3[[#This Row],[IVA]]</f>
        <v>678.75599999999997</v>
      </c>
      <c r="AE1184" s="15">
        <f>Table3[[#This Row],[PrimaComercial Anual Asistencia]]</f>
        <v>5221.2</v>
      </c>
      <c r="AG1184">
        <v>5221.2</v>
      </c>
    </row>
    <row r="1185" spans="1:33" x14ac:dyDescent="0.25">
      <c r="A1185" t="s">
        <v>17</v>
      </c>
      <c r="B1185">
        <v>1750000</v>
      </c>
      <c r="C1185">
        <v>28</v>
      </c>
      <c r="D1185" s="2">
        <f>Table3[[#This Row],[PrimaTécnica]]-Table3[[#This Row],[PrimaTécnica]]*SUM(Table3[[#This Row],[Gastos Adm]:[Cobranza]])</f>
        <v>2256.0820581312</v>
      </c>
      <c r="E1185">
        <v>0</v>
      </c>
      <c r="F1185">
        <v>0.15</v>
      </c>
      <c r="G1185">
        <v>0.05</v>
      </c>
      <c r="H1185">
        <v>0.01</v>
      </c>
      <c r="I1185">
        <v>0.01</v>
      </c>
      <c r="J1185" s="8">
        <f>Table3[[#This Row],[PrimaTécnica]]*Table3[[#This Row],[Gastos Adm]]</f>
        <v>433.86193425599998</v>
      </c>
      <c r="K1185" s="8">
        <f>Table3[[#This Row],[PrimaTécnica]]*Table3[[#This Row],[Utilidad]]</f>
        <v>144.620644752</v>
      </c>
      <c r="L1185" s="8">
        <f>Table3[[#This Row],[PrimaTécnica]]*Table3[[#This Row],[Marketing]]</f>
        <v>28.9241289504</v>
      </c>
      <c r="M1185" s="8">
        <f>Table3[[#This Row],[PrimaTécnica]]*Table3[[#This Row],[Cobranza]]</f>
        <v>28.9241289504</v>
      </c>
      <c r="N118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1185">
        <v>21.84</v>
      </c>
      <c r="P1185">
        <v>54.6</v>
      </c>
      <c r="Q1185">
        <v>80.64</v>
      </c>
      <c r="R1185">
        <v>44.377200000000002</v>
      </c>
      <c r="S1185">
        <v>0.2</v>
      </c>
      <c r="T1185">
        <v>0.02</v>
      </c>
      <c r="U1185" s="8">
        <f>Table3[[#This Row],[PrimaNeta]]*Table3[[#This Row],[Comisión]]</f>
        <v>773.46752375999995</v>
      </c>
      <c r="V1185" s="15">
        <f>Table3[[#This Row],[PrimaComercial Anual]]-Table3[[#This Row],[PrimaComercial Anual]]*SUM(Table3[[#This Row],[APS]:[IVA]])</f>
        <v>3867.3376187999997</v>
      </c>
      <c r="W1185" s="2">
        <v>1.4800000000000001E-2</v>
      </c>
      <c r="X1185" s="2">
        <v>8.4501000000000007E-2</v>
      </c>
      <c r="Y1185">
        <v>0.03</v>
      </c>
      <c r="Z1185">
        <v>0.13</v>
      </c>
      <c r="AA1185" s="20">
        <f>Table3[[#This Row],[APS]]*Table3[[#This Row],[PrimaComercial Anual]]</f>
        <v>77.273759999999996</v>
      </c>
      <c r="AB1185" s="8">
        <f>Table3[[#This Row],[PrimaComercial Anual]]*Table3[[#This Row],[Recargo adicional]]</f>
        <v>441.19662120000004</v>
      </c>
      <c r="AC1185" s="8">
        <f>Table3[[#This Row],[PrimaComercial Anual]]*Table3[[#This Row],[IT]]</f>
        <v>156.636</v>
      </c>
      <c r="AD1185" s="8">
        <f>Table3[[#This Row],[PrimaComercial Anual]]*Table3[[#This Row],[IVA]]</f>
        <v>678.75599999999997</v>
      </c>
      <c r="AE1185" s="15">
        <f>Table3[[#This Row],[PrimaComercial Anual Asistencia]]</f>
        <v>5221.2</v>
      </c>
      <c r="AG1185">
        <v>5221.2</v>
      </c>
    </row>
    <row r="1186" spans="1:33" x14ac:dyDescent="0.25">
      <c r="A1186" t="s">
        <v>17</v>
      </c>
      <c r="B1186">
        <v>1750000</v>
      </c>
      <c r="C1186">
        <v>29</v>
      </c>
      <c r="D1186" s="2">
        <f>Table3[[#This Row],[PrimaTécnica]]-Table3[[#This Row],[PrimaTécnica]]*SUM(Table3[[#This Row],[Gastos Adm]:[Cobranza]])</f>
        <v>2256.0820581312</v>
      </c>
      <c r="E1186">
        <v>0</v>
      </c>
      <c r="F1186">
        <v>0.15</v>
      </c>
      <c r="G1186">
        <v>0.05</v>
      </c>
      <c r="H1186">
        <v>0.01</v>
      </c>
      <c r="I1186">
        <v>0.01</v>
      </c>
      <c r="J1186" s="8">
        <f>Table3[[#This Row],[PrimaTécnica]]*Table3[[#This Row],[Gastos Adm]]</f>
        <v>433.86193425599998</v>
      </c>
      <c r="K1186" s="8">
        <f>Table3[[#This Row],[PrimaTécnica]]*Table3[[#This Row],[Utilidad]]</f>
        <v>144.620644752</v>
      </c>
      <c r="L1186" s="8">
        <f>Table3[[#This Row],[PrimaTécnica]]*Table3[[#This Row],[Marketing]]</f>
        <v>28.9241289504</v>
      </c>
      <c r="M1186" s="8">
        <f>Table3[[#This Row],[PrimaTécnica]]*Table3[[#This Row],[Cobranza]]</f>
        <v>28.9241289504</v>
      </c>
      <c r="N118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2892.41289504</v>
      </c>
      <c r="O1186">
        <v>21.84</v>
      </c>
      <c r="P1186">
        <v>54.6</v>
      </c>
      <c r="Q1186">
        <v>80.64</v>
      </c>
      <c r="R1186">
        <v>44.377200000000002</v>
      </c>
      <c r="S1186">
        <v>0.2</v>
      </c>
      <c r="T1186">
        <v>0.02</v>
      </c>
      <c r="U1186" s="8">
        <f>Table3[[#This Row],[PrimaNeta]]*Table3[[#This Row],[Comisión]]</f>
        <v>773.46752375999995</v>
      </c>
      <c r="V1186" s="15">
        <f>Table3[[#This Row],[PrimaComercial Anual]]-Table3[[#This Row],[PrimaComercial Anual]]*SUM(Table3[[#This Row],[APS]:[IVA]])</f>
        <v>3867.3376187999997</v>
      </c>
      <c r="W1186" s="2">
        <v>1.4800000000000001E-2</v>
      </c>
      <c r="X1186" s="2">
        <v>8.4501000000000007E-2</v>
      </c>
      <c r="Y1186">
        <v>0.03</v>
      </c>
      <c r="Z1186">
        <v>0.13</v>
      </c>
      <c r="AA1186" s="20">
        <f>Table3[[#This Row],[APS]]*Table3[[#This Row],[PrimaComercial Anual]]</f>
        <v>77.273759999999996</v>
      </c>
      <c r="AB1186" s="8">
        <f>Table3[[#This Row],[PrimaComercial Anual]]*Table3[[#This Row],[Recargo adicional]]</f>
        <v>441.19662120000004</v>
      </c>
      <c r="AC1186" s="8">
        <f>Table3[[#This Row],[PrimaComercial Anual]]*Table3[[#This Row],[IT]]</f>
        <v>156.636</v>
      </c>
      <c r="AD1186" s="8">
        <f>Table3[[#This Row],[PrimaComercial Anual]]*Table3[[#This Row],[IVA]]</f>
        <v>678.75599999999997</v>
      </c>
      <c r="AE1186" s="15">
        <f>Table3[[#This Row],[PrimaComercial Anual Asistencia]]</f>
        <v>5221.2</v>
      </c>
      <c r="AG1186">
        <v>5221.2</v>
      </c>
    </row>
    <row r="1187" spans="1:33" x14ac:dyDescent="0.25">
      <c r="A1187" t="s">
        <v>17</v>
      </c>
      <c r="B1187">
        <v>1750000</v>
      </c>
      <c r="C1187">
        <v>30</v>
      </c>
      <c r="D1187" s="2">
        <f>Table3[[#This Row],[PrimaTécnica]]-Table3[[#This Row],[PrimaTécnica]]*SUM(Table3[[#This Row],[Gastos Adm]:[Cobranza]])</f>
        <v>2403.6150775104002</v>
      </c>
      <c r="E1187">
        <v>0</v>
      </c>
      <c r="F1187">
        <v>0.15</v>
      </c>
      <c r="G1187">
        <v>0.05</v>
      </c>
      <c r="H1187">
        <v>0.01</v>
      </c>
      <c r="I1187">
        <v>0.01</v>
      </c>
      <c r="J1187" s="8">
        <f>Table3[[#This Row],[PrimaTécnica]]*Table3[[#This Row],[Gastos Adm]]</f>
        <v>462.23366875200003</v>
      </c>
      <c r="K1187" s="8">
        <f>Table3[[#This Row],[PrimaTécnica]]*Table3[[#This Row],[Utilidad]]</f>
        <v>154.07788958400002</v>
      </c>
      <c r="L1187" s="8">
        <f>Table3[[#This Row],[PrimaTécnica]]*Table3[[#This Row],[Marketing]]</f>
        <v>30.815577916800002</v>
      </c>
      <c r="M1187" s="8">
        <f>Table3[[#This Row],[PrimaTécnica]]*Table3[[#This Row],[Cobranza]]</f>
        <v>30.815577916800002</v>
      </c>
      <c r="N118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1187">
        <v>21.84</v>
      </c>
      <c r="P1187">
        <v>54.6</v>
      </c>
      <c r="Q1187">
        <v>80.64</v>
      </c>
      <c r="R1187">
        <v>44.377200000000002</v>
      </c>
      <c r="S1187">
        <v>0.2</v>
      </c>
      <c r="T1187">
        <v>0.02</v>
      </c>
      <c r="U1187" s="8">
        <f>Table3[[#This Row],[PrimaNeta]]*Table3[[#This Row],[Comisión]]</f>
        <v>820.75374792000002</v>
      </c>
      <c r="V1187" s="15">
        <f>Table3[[#This Row],[PrimaComercial Anual]]-Table3[[#This Row],[PrimaComercial Anual]]*SUM(Table3[[#This Row],[APS]:[IVA]])</f>
        <v>4103.7687396000001</v>
      </c>
      <c r="W1187" s="2">
        <v>1.4800000000000001E-2</v>
      </c>
      <c r="X1187" s="2">
        <v>8.4501000000000007E-2</v>
      </c>
      <c r="Y1187">
        <v>0.03</v>
      </c>
      <c r="Z1187">
        <v>0.13</v>
      </c>
      <c r="AA1187" s="20">
        <f>Table3[[#This Row],[APS]]*Table3[[#This Row],[PrimaComercial Anual]]</f>
        <v>81.997919999999993</v>
      </c>
      <c r="AB1187" s="8">
        <f>Table3[[#This Row],[PrimaComercial Anual]]*Table3[[#This Row],[Recargo adicional]]</f>
        <v>468.16934040000001</v>
      </c>
      <c r="AC1187" s="8">
        <f>Table3[[#This Row],[PrimaComercial Anual]]*Table3[[#This Row],[IT]]</f>
        <v>166.21199999999999</v>
      </c>
      <c r="AD1187" s="8">
        <f>Table3[[#This Row],[PrimaComercial Anual]]*Table3[[#This Row],[IVA]]</f>
        <v>720.25199999999995</v>
      </c>
      <c r="AE1187" s="15">
        <f>Table3[[#This Row],[PrimaComercial Anual Asistencia]]</f>
        <v>5540.4</v>
      </c>
      <c r="AG1187">
        <v>5540.4</v>
      </c>
    </row>
    <row r="1188" spans="1:33" x14ac:dyDescent="0.25">
      <c r="A1188" t="s">
        <v>17</v>
      </c>
      <c r="B1188">
        <v>1750000</v>
      </c>
      <c r="C1188">
        <v>31</v>
      </c>
      <c r="D1188" s="2">
        <f>Table3[[#This Row],[PrimaTécnica]]-Table3[[#This Row],[PrimaTécnica]]*SUM(Table3[[#This Row],[Gastos Adm]:[Cobranza]])</f>
        <v>2403.6150775104002</v>
      </c>
      <c r="E1188">
        <v>0</v>
      </c>
      <c r="F1188">
        <v>0.15</v>
      </c>
      <c r="G1188">
        <v>0.05</v>
      </c>
      <c r="H1188">
        <v>0.01</v>
      </c>
      <c r="I1188">
        <v>0.01</v>
      </c>
      <c r="J1188" s="8">
        <f>Table3[[#This Row],[PrimaTécnica]]*Table3[[#This Row],[Gastos Adm]]</f>
        <v>462.23366875200003</v>
      </c>
      <c r="K1188" s="8">
        <f>Table3[[#This Row],[PrimaTécnica]]*Table3[[#This Row],[Utilidad]]</f>
        <v>154.07788958400002</v>
      </c>
      <c r="L1188" s="8">
        <f>Table3[[#This Row],[PrimaTécnica]]*Table3[[#This Row],[Marketing]]</f>
        <v>30.815577916800002</v>
      </c>
      <c r="M1188" s="8">
        <f>Table3[[#This Row],[PrimaTécnica]]*Table3[[#This Row],[Cobranza]]</f>
        <v>30.815577916800002</v>
      </c>
      <c r="N118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1188">
        <v>21.84</v>
      </c>
      <c r="P1188">
        <v>54.6</v>
      </c>
      <c r="Q1188">
        <v>80.64</v>
      </c>
      <c r="R1188">
        <v>44.377200000000002</v>
      </c>
      <c r="S1188">
        <v>0.2</v>
      </c>
      <c r="T1188">
        <v>0.02</v>
      </c>
      <c r="U1188" s="8">
        <f>Table3[[#This Row],[PrimaNeta]]*Table3[[#This Row],[Comisión]]</f>
        <v>820.75374792000002</v>
      </c>
      <c r="V1188" s="15">
        <f>Table3[[#This Row],[PrimaComercial Anual]]-Table3[[#This Row],[PrimaComercial Anual]]*SUM(Table3[[#This Row],[APS]:[IVA]])</f>
        <v>4103.7687396000001</v>
      </c>
      <c r="W1188" s="2">
        <v>1.4800000000000001E-2</v>
      </c>
      <c r="X1188" s="2">
        <v>8.4501000000000007E-2</v>
      </c>
      <c r="Y1188">
        <v>0.03</v>
      </c>
      <c r="Z1188">
        <v>0.13</v>
      </c>
      <c r="AA1188" s="20">
        <f>Table3[[#This Row],[APS]]*Table3[[#This Row],[PrimaComercial Anual]]</f>
        <v>81.997919999999993</v>
      </c>
      <c r="AB1188" s="8">
        <f>Table3[[#This Row],[PrimaComercial Anual]]*Table3[[#This Row],[Recargo adicional]]</f>
        <v>468.16934040000001</v>
      </c>
      <c r="AC1188" s="8">
        <f>Table3[[#This Row],[PrimaComercial Anual]]*Table3[[#This Row],[IT]]</f>
        <v>166.21199999999999</v>
      </c>
      <c r="AD1188" s="8">
        <f>Table3[[#This Row],[PrimaComercial Anual]]*Table3[[#This Row],[IVA]]</f>
        <v>720.25199999999995</v>
      </c>
      <c r="AE1188" s="15">
        <f>Table3[[#This Row],[PrimaComercial Anual Asistencia]]</f>
        <v>5540.4</v>
      </c>
      <c r="AG1188">
        <v>5540.4</v>
      </c>
    </row>
    <row r="1189" spans="1:33" x14ac:dyDescent="0.25">
      <c r="A1189" t="s">
        <v>17</v>
      </c>
      <c r="B1189">
        <v>1750000</v>
      </c>
      <c r="C1189">
        <v>32</v>
      </c>
      <c r="D1189" s="2">
        <f>Table3[[#This Row],[PrimaTécnica]]-Table3[[#This Row],[PrimaTécnica]]*SUM(Table3[[#This Row],[Gastos Adm]:[Cobranza]])</f>
        <v>2403.6150775104002</v>
      </c>
      <c r="E1189">
        <v>0</v>
      </c>
      <c r="F1189">
        <v>0.15</v>
      </c>
      <c r="G1189">
        <v>0.05</v>
      </c>
      <c r="H1189">
        <v>0.01</v>
      </c>
      <c r="I1189">
        <v>0.01</v>
      </c>
      <c r="J1189" s="8">
        <f>Table3[[#This Row],[PrimaTécnica]]*Table3[[#This Row],[Gastos Adm]]</f>
        <v>462.23366875200003</v>
      </c>
      <c r="K1189" s="8">
        <f>Table3[[#This Row],[PrimaTécnica]]*Table3[[#This Row],[Utilidad]]</f>
        <v>154.07788958400002</v>
      </c>
      <c r="L1189" s="8">
        <f>Table3[[#This Row],[PrimaTécnica]]*Table3[[#This Row],[Marketing]]</f>
        <v>30.815577916800002</v>
      </c>
      <c r="M1189" s="8">
        <f>Table3[[#This Row],[PrimaTécnica]]*Table3[[#This Row],[Cobranza]]</f>
        <v>30.815577916800002</v>
      </c>
      <c r="N118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1189">
        <v>21.84</v>
      </c>
      <c r="P1189">
        <v>54.6</v>
      </c>
      <c r="Q1189">
        <v>80.64</v>
      </c>
      <c r="R1189">
        <v>44.377200000000002</v>
      </c>
      <c r="S1189">
        <v>0.2</v>
      </c>
      <c r="T1189">
        <v>0.02</v>
      </c>
      <c r="U1189" s="8">
        <f>Table3[[#This Row],[PrimaNeta]]*Table3[[#This Row],[Comisión]]</f>
        <v>820.75374792000002</v>
      </c>
      <c r="V1189" s="15">
        <f>Table3[[#This Row],[PrimaComercial Anual]]-Table3[[#This Row],[PrimaComercial Anual]]*SUM(Table3[[#This Row],[APS]:[IVA]])</f>
        <v>4103.7687396000001</v>
      </c>
      <c r="W1189" s="2">
        <v>1.4800000000000001E-2</v>
      </c>
      <c r="X1189" s="2">
        <v>8.4501000000000007E-2</v>
      </c>
      <c r="Y1189">
        <v>0.03</v>
      </c>
      <c r="Z1189">
        <v>0.13</v>
      </c>
      <c r="AA1189" s="20">
        <f>Table3[[#This Row],[APS]]*Table3[[#This Row],[PrimaComercial Anual]]</f>
        <v>81.997919999999993</v>
      </c>
      <c r="AB1189" s="8">
        <f>Table3[[#This Row],[PrimaComercial Anual]]*Table3[[#This Row],[Recargo adicional]]</f>
        <v>468.16934040000001</v>
      </c>
      <c r="AC1189" s="8">
        <f>Table3[[#This Row],[PrimaComercial Anual]]*Table3[[#This Row],[IT]]</f>
        <v>166.21199999999999</v>
      </c>
      <c r="AD1189" s="8">
        <f>Table3[[#This Row],[PrimaComercial Anual]]*Table3[[#This Row],[IVA]]</f>
        <v>720.25199999999995</v>
      </c>
      <c r="AE1189" s="15">
        <f>Table3[[#This Row],[PrimaComercial Anual Asistencia]]</f>
        <v>5540.4</v>
      </c>
      <c r="AG1189">
        <v>5540.4</v>
      </c>
    </row>
    <row r="1190" spans="1:33" x14ac:dyDescent="0.25">
      <c r="A1190" t="s">
        <v>17</v>
      </c>
      <c r="B1190">
        <v>1750000</v>
      </c>
      <c r="C1190">
        <v>33</v>
      </c>
      <c r="D1190" s="2">
        <f>Table3[[#This Row],[PrimaTécnica]]-Table3[[#This Row],[PrimaTécnica]]*SUM(Table3[[#This Row],[Gastos Adm]:[Cobranza]])</f>
        <v>2403.6150775104002</v>
      </c>
      <c r="E1190">
        <v>0</v>
      </c>
      <c r="F1190">
        <v>0.15</v>
      </c>
      <c r="G1190">
        <v>0.05</v>
      </c>
      <c r="H1190">
        <v>0.01</v>
      </c>
      <c r="I1190">
        <v>0.01</v>
      </c>
      <c r="J1190" s="8">
        <f>Table3[[#This Row],[PrimaTécnica]]*Table3[[#This Row],[Gastos Adm]]</f>
        <v>462.23366875200003</v>
      </c>
      <c r="K1190" s="8">
        <f>Table3[[#This Row],[PrimaTécnica]]*Table3[[#This Row],[Utilidad]]</f>
        <v>154.07788958400002</v>
      </c>
      <c r="L1190" s="8">
        <f>Table3[[#This Row],[PrimaTécnica]]*Table3[[#This Row],[Marketing]]</f>
        <v>30.815577916800002</v>
      </c>
      <c r="M1190" s="8">
        <f>Table3[[#This Row],[PrimaTécnica]]*Table3[[#This Row],[Cobranza]]</f>
        <v>30.815577916800002</v>
      </c>
      <c r="N119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1190">
        <v>21.84</v>
      </c>
      <c r="P1190">
        <v>54.6</v>
      </c>
      <c r="Q1190">
        <v>80.64</v>
      </c>
      <c r="R1190">
        <v>44.377200000000002</v>
      </c>
      <c r="S1190">
        <v>0.2</v>
      </c>
      <c r="T1190">
        <v>0.02</v>
      </c>
      <c r="U1190" s="8">
        <f>Table3[[#This Row],[PrimaNeta]]*Table3[[#This Row],[Comisión]]</f>
        <v>820.75374792000002</v>
      </c>
      <c r="V1190" s="15">
        <f>Table3[[#This Row],[PrimaComercial Anual]]-Table3[[#This Row],[PrimaComercial Anual]]*SUM(Table3[[#This Row],[APS]:[IVA]])</f>
        <v>4103.7687396000001</v>
      </c>
      <c r="W1190" s="2">
        <v>1.4800000000000001E-2</v>
      </c>
      <c r="X1190" s="2">
        <v>8.4501000000000007E-2</v>
      </c>
      <c r="Y1190">
        <v>0.03</v>
      </c>
      <c r="Z1190">
        <v>0.13</v>
      </c>
      <c r="AA1190" s="20">
        <f>Table3[[#This Row],[APS]]*Table3[[#This Row],[PrimaComercial Anual]]</f>
        <v>81.997919999999993</v>
      </c>
      <c r="AB1190" s="8">
        <f>Table3[[#This Row],[PrimaComercial Anual]]*Table3[[#This Row],[Recargo adicional]]</f>
        <v>468.16934040000001</v>
      </c>
      <c r="AC1190" s="8">
        <f>Table3[[#This Row],[PrimaComercial Anual]]*Table3[[#This Row],[IT]]</f>
        <v>166.21199999999999</v>
      </c>
      <c r="AD1190" s="8">
        <f>Table3[[#This Row],[PrimaComercial Anual]]*Table3[[#This Row],[IVA]]</f>
        <v>720.25199999999995</v>
      </c>
      <c r="AE1190" s="15">
        <f>Table3[[#This Row],[PrimaComercial Anual Asistencia]]</f>
        <v>5540.4</v>
      </c>
      <c r="AG1190">
        <v>5540.4</v>
      </c>
    </row>
    <row r="1191" spans="1:33" x14ac:dyDescent="0.25">
      <c r="A1191" t="s">
        <v>17</v>
      </c>
      <c r="B1191">
        <v>1750000</v>
      </c>
      <c r="C1191">
        <v>34</v>
      </c>
      <c r="D1191" s="2">
        <f>Table3[[#This Row],[PrimaTécnica]]-Table3[[#This Row],[PrimaTécnica]]*SUM(Table3[[#This Row],[Gastos Adm]:[Cobranza]])</f>
        <v>2403.6150775104002</v>
      </c>
      <c r="E1191">
        <v>0</v>
      </c>
      <c r="F1191">
        <v>0.15</v>
      </c>
      <c r="G1191">
        <v>0.05</v>
      </c>
      <c r="H1191">
        <v>0.01</v>
      </c>
      <c r="I1191">
        <v>0.01</v>
      </c>
      <c r="J1191" s="8">
        <f>Table3[[#This Row],[PrimaTécnica]]*Table3[[#This Row],[Gastos Adm]]</f>
        <v>462.23366875200003</v>
      </c>
      <c r="K1191" s="8">
        <f>Table3[[#This Row],[PrimaTécnica]]*Table3[[#This Row],[Utilidad]]</f>
        <v>154.07788958400002</v>
      </c>
      <c r="L1191" s="8">
        <f>Table3[[#This Row],[PrimaTécnica]]*Table3[[#This Row],[Marketing]]</f>
        <v>30.815577916800002</v>
      </c>
      <c r="M1191" s="8">
        <f>Table3[[#This Row],[PrimaTécnica]]*Table3[[#This Row],[Cobranza]]</f>
        <v>30.815577916800002</v>
      </c>
      <c r="N119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1191">
        <v>21.84</v>
      </c>
      <c r="P1191">
        <v>54.6</v>
      </c>
      <c r="Q1191">
        <v>80.64</v>
      </c>
      <c r="R1191">
        <v>44.377200000000002</v>
      </c>
      <c r="S1191">
        <v>0.2</v>
      </c>
      <c r="T1191">
        <v>0.02</v>
      </c>
      <c r="U1191" s="8">
        <f>Table3[[#This Row],[PrimaNeta]]*Table3[[#This Row],[Comisión]]</f>
        <v>820.75374792000002</v>
      </c>
      <c r="V1191" s="15">
        <f>Table3[[#This Row],[PrimaComercial Anual]]-Table3[[#This Row],[PrimaComercial Anual]]*SUM(Table3[[#This Row],[APS]:[IVA]])</f>
        <v>4103.7687396000001</v>
      </c>
      <c r="W1191" s="2">
        <v>1.4800000000000001E-2</v>
      </c>
      <c r="X1191" s="2">
        <v>8.4501000000000007E-2</v>
      </c>
      <c r="Y1191">
        <v>0.03</v>
      </c>
      <c r="Z1191">
        <v>0.13</v>
      </c>
      <c r="AA1191" s="20">
        <f>Table3[[#This Row],[APS]]*Table3[[#This Row],[PrimaComercial Anual]]</f>
        <v>81.997919999999993</v>
      </c>
      <c r="AB1191" s="8">
        <f>Table3[[#This Row],[PrimaComercial Anual]]*Table3[[#This Row],[Recargo adicional]]</f>
        <v>468.16934040000001</v>
      </c>
      <c r="AC1191" s="8">
        <f>Table3[[#This Row],[PrimaComercial Anual]]*Table3[[#This Row],[IT]]</f>
        <v>166.21199999999999</v>
      </c>
      <c r="AD1191" s="8">
        <f>Table3[[#This Row],[PrimaComercial Anual]]*Table3[[#This Row],[IVA]]</f>
        <v>720.25199999999995</v>
      </c>
      <c r="AE1191" s="15">
        <f>Table3[[#This Row],[PrimaComercial Anual Asistencia]]</f>
        <v>5540.4</v>
      </c>
      <c r="AG1191">
        <v>5540.4</v>
      </c>
    </row>
    <row r="1192" spans="1:33" x14ac:dyDescent="0.25">
      <c r="A1192" t="s">
        <v>17</v>
      </c>
      <c r="B1192">
        <v>1750000</v>
      </c>
      <c r="C1192">
        <v>35</v>
      </c>
      <c r="D1192" s="2">
        <f>Table3[[#This Row],[PrimaTécnica]]-Table3[[#This Row],[PrimaTécnica]]*SUM(Table3[[#This Row],[Gastos Adm]:[Cobranza]])</f>
        <v>2403.6150775104002</v>
      </c>
      <c r="E1192">
        <v>0</v>
      </c>
      <c r="F1192">
        <v>0.15</v>
      </c>
      <c r="G1192">
        <v>0.05</v>
      </c>
      <c r="H1192">
        <v>0.01</v>
      </c>
      <c r="I1192">
        <v>0.01</v>
      </c>
      <c r="J1192" s="8">
        <f>Table3[[#This Row],[PrimaTécnica]]*Table3[[#This Row],[Gastos Adm]]</f>
        <v>462.23366875200003</v>
      </c>
      <c r="K1192" s="8">
        <f>Table3[[#This Row],[PrimaTécnica]]*Table3[[#This Row],[Utilidad]]</f>
        <v>154.07788958400002</v>
      </c>
      <c r="L1192" s="8">
        <f>Table3[[#This Row],[PrimaTécnica]]*Table3[[#This Row],[Marketing]]</f>
        <v>30.815577916800002</v>
      </c>
      <c r="M1192" s="8">
        <f>Table3[[#This Row],[PrimaTécnica]]*Table3[[#This Row],[Cobranza]]</f>
        <v>30.815577916800002</v>
      </c>
      <c r="N119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1192">
        <v>21.84</v>
      </c>
      <c r="P1192">
        <v>54.6</v>
      </c>
      <c r="Q1192">
        <v>80.64</v>
      </c>
      <c r="R1192">
        <v>44.377200000000002</v>
      </c>
      <c r="S1192">
        <v>0.2</v>
      </c>
      <c r="T1192">
        <v>0.02</v>
      </c>
      <c r="U1192" s="8">
        <f>Table3[[#This Row],[PrimaNeta]]*Table3[[#This Row],[Comisión]]</f>
        <v>820.75374792000002</v>
      </c>
      <c r="V1192" s="15">
        <f>Table3[[#This Row],[PrimaComercial Anual]]-Table3[[#This Row],[PrimaComercial Anual]]*SUM(Table3[[#This Row],[APS]:[IVA]])</f>
        <v>4103.7687396000001</v>
      </c>
      <c r="W1192" s="2">
        <v>1.4800000000000001E-2</v>
      </c>
      <c r="X1192" s="2">
        <v>8.4501000000000007E-2</v>
      </c>
      <c r="Y1192">
        <v>0.03</v>
      </c>
      <c r="Z1192">
        <v>0.13</v>
      </c>
      <c r="AA1192" s="20">
        <f>Table3[[#This Row],[APS]]*Table3[[#This Row],[PrimaComercial Anual]]</f>
        <v>81.997919999999993</v>
      </c>
      <c r="AB1192" s="8">
        <f>Table3[[#This Row],[PrimaComercial Anual]]*Table3[[#This Row],[Recargo adicional]]</f>
        <v>468.16934040000001</v>
      </c>
      <c r="AC1192" s="8">
        <f>Table3[[#This Row],[PrimaComercial Anual]]*Table3[[#This Row],[IT]]</f>
        <v>166.21199999999999</v>
      </c>
      <c r="AD1192" s="8">
        <f>Table3[[#This Row],[PrimaComercial Anual]]*Table3[[#This Row],[IVA]]</f>
        <v>720.25199999999995</v>
      </c>
      <c r="AE1192" s="15">
        <f>Table3[[#This Row],[PrimaComercial Anual Asistencia]]</f>
        <v>5540.4</v>
      </c>
      <c r="AG1192">
        <v>5540.4</v>
      </c>
    </row>
    <row r="1193" spans="1:33" x14ac:dyDescent="0.25">
      <c r="A1193" t="s">
        <v>17</v>
      </c>
      <c r="B1193">
        <v>1750000</v>
      </c>
      <c r="C1193">
        <v>36</v>
      </c>
      <c r="D1193" s="2">
        <f>Table3[[#This Row],[PrimaTécnica]]-Table3[[#This Row],[PrimaTécnica]]*SUM(Table3[[#This Row],[Gastos Adm]:[Cobranza]])</f>
        <v>2403.6150775104002</v>
      </c>
      <c r="E1193">
        <v>0</v>
      </c>
      <c r="F1193">
        <v>0.15</v>
      </c>
      <c r="G1193">
        <v>0.05</v>
      </c>
      <c r="H1193">
        <v>0.01</v>
      </c>
      <c r="I1193">
        <v>0.01</v>
      </c>
      <c r="J1193" s="8">
        <f>Table3[[#This Row],[PrimaTécnica]]*Table3[[#This Row],[Gastos Adm]]</f>
        <v>462.23366875200003</v>
      </c>
      <c r="K1193" s="8">
        <f>Table3[[#This Row],[PrimaTécnica]]*Table3[[#This Row],[Utilidad]]</f>
        <v>154.07788958400002</v>
      </c>
      <c r="L1193" s="8">
        <f>Table3[[#This Row],[PrimaTécnica]]*Table3[[#This Row],[Marketing]]</f>
        <v>30.815577916800002</v>
      </c>
      <c r="M1193" s="8">
        <f>Table3[[#This Row],[PrimaTécnica]]*Table3[[#This Row],[Cobranza]]</f>
        <v>30.815577916800002</v>
      </c>
      <c r="N119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1193">
        <v>21.84</v>
      </c>
      <c r="P1193">
        <v>54.6</v>
      </c>
      <c r="Q1193">
        <v>80.64</v>
      </c>
      <c r="R1193">
        <v>44.377200000000002</v>
      </c>
      <c r="S1193">
        <v>0.2</v>
      </c>
      <c r="T1193">
        <v>0.02</v>
      </c>
      <c r="U1193" s="8">
        <f>Table3[[#This Row],[PrimaNeta]]*Table3[[#This Row],[Comisión]]</f>
        <v>820.75374792000002</v>
      </c>
      <c r="V1193" s="15">
        <f>Table3[[#This Row],[PrimaComercial Anual]]-Table3[[#This Row],[PrimaComercial Anual]]*SUM(Table3[[#This Row],[APS]:[IVA]])</f>
        <v>4103.7687396000001</v>
      </c>
      <c r="W1193" s="2">
        <v>1.4800000000000001E-2</v>
      </c>
      <c r="X1193" s="2">
        <v>8.4501000000000007E-2</v>
      </c>
      <c r="Y1193">
        <v>0.03</v>
      </c>
      <c r="Z1193">
        <v>0.13</v>
      </c>
      <c r="AA1193" s="20">
        <f>Table3[[#This Row],[APS]]*Table3[[#This Row],[PrimaComercial Anual]]</f>
        <v>81.997919999999993</v>
      </c>
      <c r="AB1193" s="8">
        <f>Table3[[#This Row],[PrimaComercial Anual]]*Table3[[#This Row],[Recargo adicional]]</f>
        <v>468.16934040000001</v>
      </c>
      <c r="AC1193" s="8">
        <f>Table3[[#This Row],[PrimaComercial Anual]]*Table3[[#This Row],[IT]]</f>
        <v>166.21199999999999</v>
      </c>
      <c r="AD1193" s="8">
        <f>Table3[[#This Row],[PrimaComercial Anual]]*Table3[[#This Row],[IVA]]</f>
        <v>720.25199999999995</v>
      </c>
      <c r="AE1193" s="15">
        <f>Table3[[#This Row],[PrimaComercial Anual Asistencia]]</f>
        <v>5540.4</v>
      </c>
      <c r="AG1193">
        <v>5540.4</v>
      </c>
    </row>
    <row r="1194" spans="1:33" x14ac:dyDescent="0.25">
      <c r="A1194" t="s">
        <v>17</v>
      </c>
      <c r="B1194">
        <v>1750000</v>
      </c>
      <c r="C1194">
        <v>37</v>
      </c>
      <c r="D1194" s="2">
        <f>Table3[[#This Row],[PrimaTécnica]]-Table3[[#This Row],[PrimaTécnica]]*SUM(Table3[[#This Row],[Gastos Adm]:[Cobranza]])</f>
        <v>2403.6150775104002</v>
      </c>
      <c r="E1194">
        <v>0</v>
      </c>
      <c r="F1194">
        <v>0.15</v>
      </c>
      <c r="G1194">
        <v>0.05</v>
      </c>
      <c r="H1194">
        <v>0.01</v>
      </c>
      <c r="I1194">
        <v>0.01</v>
      </c>
      <c r="J1194" s="8">
        <f>Table3[[#This Row],[PrimaTécnica]]*Table3[[#This Row],[Gastos Adm]]</f>
        <v>462.23366875200003</v>
      </c>
      <c r="K1194" s="8">
        <f>Table3[[#This Row],[PrimaTécnica]]*Table3[[#This Row],[Utilidad]]</f>
        <v>154.07788958400002</v>
      </c>
      <c r="L1194" s="8">
        <f>Table3[[#This Row],[PrimaTécnica]]*Table3[[#This Row],[Marketing]]</f>
        <v>30.815577916800002</v>
      </c>
      <c r="M1194" s="8">
        <f>Table3[[#This Row],[PrimaTécnica]]*Table3[[#This Row],[Cobranza]]</f>
        <v>30.815577916800002</v>
      </c>
      <c r="N119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1194">
        <v>21.84</v>
      </c>
      <c r="P1194">
        <v>54.6</v>
      </c>
      <c r="Q1194">
        <v>80.64</v>
      </c>
      <c r="R1194">
        <v>44.377200000000002</v>
      </c>
      <c r="S1194">
        <v>0.2</v>
      </c>
      <c r="T1194">
        <v>0.02</v>
      </c>
      <c r="U1194" s="8">
        <f>Table3[[#This Row],[PrimaNeta]]*Table3[[#This Row],[Comisión]]</f>
        <v>820.75374792000002</v>
      </c>
      <c r="V1194" s="15">
        <f>Table3[[#This Row],[PrimaComercial Anual]]-Table3[[#This Row],[PrimaComercial Anual]]*SUM(Table3[[#This Row],[APS]:[IVA]])</f>
        <v>4103.7687396000001</v>
      </c>
      <c r="W1194" s="2">
        <v>1.4800000000000001E-2</v>
      </c>
      <c r="X1194" s="2">
        <v>8.4501000000000007E-2</v>
      </c>
      <c r="Y1194">
        <v>0.03</v>
      </c>
      <c r="Z1194">
        <v>0.13</v>
      </c>
      <c r="AA1194" s="20">
        <f>Table3[[#This Row],[APS]]*Table3[[#This Row],[PrimaComercial Anual]]</f>
        <v>81.997919999999993</v>
      </c>
      <c r="AB1194" s="8">
        <f>Table3[[#This Row],[PrimaComercial Anual]]*Table3[[#This Row],[Recargo adicional]]</f>
        <v>468.16934040000001</v>
      </c>
      <c r="AC1194" s="8">
        <f>Table3[[#This Row],[PrimaComercial Anual]]*Table3[[#This Row],[IT]]</f>
        <v>166.21199999999999</v>
      </c>
      <c r="AD1194" s="8">
        <f>Table3[[#This Row],[PrimaComercial Anual]]*Table3[[#This Row],[IVA]]</f>
        <v>720.25199999999995</v>
      </c>
      <c r="AE1194" s="15">
        <f>Table3[[#This Row],[PrimaComercial Anual Asistencia]]</f>
        <v>5540.4</v>
      </c>
      <c r="AG1194">
        <v>5540.4</v>
      </c>
    </row>
    <row r="1195" spans="1:33" x14ac:dyDescent="0.25">
      <c r="A1195" t="s">
        <v>17</v>
      </c>
      <c r="B1195">
        <v>1750000</v>
      </c>
      <c r="C1195">
        <v>38</v>
      </c>
      <c r="D1195" s="2">
        <f>Table3[[#This Row],[PrimaTécnica]]-Table3[[#This Row],[PrimaTécnica]]*SUM(Table3[[#This Row],[Gastos Adm]:[Cobranza]])</f>
        <v>2403.6150775104002</v>
      </c>
      <c r="E1195">
        <v>0</v>
      </c>
      <c r="F1195">
        <v>0.15</v>
      </c>
      <c r="G1195">
        <v>0.05</v>
      </c>
      <c r="H1195">
        <v>0.01</v>
      </c>
      <c r="I1195">
        <v>0.01</v>
      </c>
      <c r="J1195" s="8">
        <f>Table3[[#This Row],[PrimaTécnica]]*Table3[[#This Row],[Gastos Adm]]</f>
        <v>462.23366875200003</v>
      </c>
      <c r="K1195" s="8">
        <f>Table3[[#This Row],[PrimaTécnica]]*Table3[[#This Row],[Utilidad]]</f>
        <v>154.07788958400002</v>
      </c>
      <c r="L1195" s="8">
        <f>Table3[[#This Row],[PrimaTécnica]]*Table3[[#This Row],[Marketing]]</f>
        <v>30.815577916800002</v>
      </c>
      <c r="M1195" s="8">
        <f>Table3[[#This Row],[PrimaTécnica]]*Table3[[#This Row],[Cobranza]]</f>
        <v>30.815577916800002</v>
      </c>
      <c r="N119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1195">
        <v>21.84</v>
      </c>
      <c r="P1195">
        <v>54.6</v>
      </c>
      <c r="Q1195">
        <v>80.64</v>
      </c>
      <c r="R1195">
        <v>44.377200000000002</v>
      </c>
      <c r="S1195">
        <v>0.2</v>
      </c>
      <c r="T1195">
        <v>0.02</v>
      </c>
      <c r="U1195" s="8">
        <f>Table3[[#This Row],[PrimaNeta]]*Table3[[#This Row],[Comisión]]</f>
        <v>820.75374792000002</v>
      </c>
      <c r="V1195" s="15">
        <f>Table3[[#This Row],[PrimaComercial Anual]]-Table3[[#This Row],[PrimaComercial Anual]]*SUM(Table3[[#This Row],[APS]:[IVA]])</f>
        <v>4103.7687396000001</v>
      </c>
      <c r="W1195" s="2">
        <v>1.4800000000000001E-2</v>
      </c>
      <c r="X1195" s="2">
        <v>8.4501000000000007E-2</v>
      </c>
      <c r="Y1195">
        <v>0.03</v>
      </c>
      <c r="Z1195">
        <v>0.13</v>
      </c>
      <c r="AA1195" s="20">
        <f>Table3[[#This Row],[APS]]*Table3[[#This Row],[PrimaComercial Anual]]</f>
        <v>81.997919999999993</v>
      </c>
      <c r="AB1195" s="8">
        <f>Table3[[#This Row],[PrimaComercial Anual]]*Table3[[#This Row],[Recargo adicional]]</f>
        <v>468.16934040000001</v>
      </c>
      <c r="AC1195" s="8">
        <f>Table3[[#This Row],[PrimaComercial Anual]]*Table3[[#This Row],[IT]]</f>
        <v>166.21199999999999</v>
      </c>
      <c r="AD1195" s="8">
        <f>Table3[[#This Row],[PrimaComercial Anual]]*Table3[[#This Row],[IVA]]</f>
        <v>720.25199999999995</v>
      </c>
      <c r="AE1195" s="15">
        <f>Table3[[#This Row],[PrimaComercial Anual Asistencia]]</f>
        <v>5540.4</v>
      </c>
      <c r="AG1195">
        <v>5540.4</v>
      </c>
    </row>
    <row r="1196" spans="1:33" x14ac:dyDescent="0.25">
      <c r="A1196" t="s">
        <v>17</v>
      </c>
      <c r="B1196">
        <v>1750000</v>
      </c>
      <c r="C1196">
        <v>39</v>
      </c>
      <c r="D1196" s="2">
        <f>Table3[[#This Row],[PrimaTécnica]]-Table3[[#This Row],[PrimaTécnica]]*SUM(Table3[[#This Row],[Gastos Adm]:[Cobranza]])</f>
        <v>2403.6150775104002</v>
      </c>
      <c r="E1196">
        <v>0</v>
      </c>
      <c r="F1196">
        <v>0.15</v>
      </c>
      <c r="G1196">
        <v>0.05</v>
      </c>
      <c r="H1196">
        <v>0.01</v>
      </c>
      <c r="I1196">
        <v>0.01</v>
      </c>
      <c r="J1196" s="8">
        <f>Table3[[#This Row],[PrimaTécnica]]*Table3[[#This Row],[Gastos Adm]]</f>
        <v>462.23366875200003</v>
      </c>
      <c r="K1196" s="8">
        <f>Table3[[#This Row],[PrimaTécnica]]*Table3[[#This Row],[Utilidad]]</f>
        <v>154.07788958400002</v>
      </c>
      <c r="L1196" s="8">
        <f>Table3[[#This Row],[PrimaTécnica]]*Table3[[#This Row],[Marketing]]</f>
        <v>30.815577916800002</v>
      </c>
      <c r="M1196" s="8">
        <f>Table3[[#This Row],[PrimaTécnica]]*Table3[[#This Row],[Cobranza]]</f>
        <v>30.815577916800002</v>
      </c>
      <c r="N119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3081.5577916800003</v>
      </c>
      <c r="O1196">
        <v>21.84</v>
      </c>
      <c r="P1196">
        <v>54.6</v>
      </c>
      <c r="Q1196">
        <v>80.64</v>
      </c>
      <c r="R1196">
        <v>44.377200000000002</v>
      </c>
      <c r="S1196">
        <v>0.2</v>
      </c>
      <c r="T1196">
        <v>0.02</v>
      </c>
      <c r="U1196" s="8">
        <f>Table3[[#This Row],[PrimaNeta]]*Table3[[#This Row],[Comisión]]</f>
        <v>820.75374792000002</v>
      </c>
      <c r="V1196" s="15">
        <f>Table3[[#This Row],[PrimaComercial Anual]]-Table3[[#This Row],[PrimaComercial Anual]]*SUM(Table3[[#This Row],[APS]:[IVA]])</f>
        <v>4103.7687396000001</v>
      </c>
      <c r="W1196" s="2">
        <v>1.4800000000000001E-2</v>
      </c>
      <c r="X1196" s="2">
        <v>8.4501000000000007E-2</v>
      </c>
      <c r="Y1196">
        <v>0.03</v>
      </c>
      <c r="Z1196">
        <v>0.13</v>
      </c>
      <c r="AA1196" s="20">
        <f>Table3[[#This Row],[APS]]*Table3[[#This Row],[PrimaComercial Anual]]</f>
        <v>81.997919999999993</v>
      </c>
      <c r="AB1196" s="8">
        <f>Table3[[#This Row],[PrimaComercial Anual]]*Table3[[#This Row],[Recargo adicional]]</f>
        <v>468.16934040000001</v>
      </c>
      <c r="AC1196" s="8">
        <f>Table3[[#This Row],[PrimaComercial Anual]]*Table3[[#This Row],[IT]]</f>
        <v>166.21199999999999</v>
      </c>
      <c r="AD1196" s="8">
        <f>Table3[[#This Row],[PrimaComercial Anual]]*Table3[[#This Row],[IVA]]</f>
        <v>720.25199999999995</v>
      </c>
      <c r="AE1196" s="15">
        <f>Table3[[#This Row],[PrimaComercial Anual Asistencia]]</f>
        <v>5540.4</v>
      </c>
      <c r="AG1196">
        <v>5540.4</v>
      </c>
    </row>
    <row r="1197" spans="1:33" x14ac:dyDescent="0.25">
      <c r="A1197" t="s">
        <v>17</v>
      </c>
      <c r="B1197">
        <v>1750000</v>
      </c>
      <c r="C1197">
        <v>40</v>
      </c>
      <c r="D1197" s="2">
        <f>Table3[[#This Row],[PrimaTécnica]]-Table3[[#This Row],[PrimaTécnica]]*SUM(Table3[[#This Row],[Gastos Adm]:[Cobranza]])</f>
        <v>3141.2801744063995</v>
      </c>
      <c r="E1197">
        <v>0</v>
      </c>
      <c r="F1197">
        <v>0.15</v>
      </c>
      <c r="G1197">
        <v>0.05</v>
      </c>
      <c r="H1197">
        <v>0.01</v>
      </c>
      <c r="I1197">
        <v>0.01</v>
      </c>
      <c r="J1197" s="8">
        <f>Table3[[#This Row],[PrimaTécnica]]*Table3[[#This Row],[Gastos Adm]]</f>
        <v>604.09234123199985</v>
      </c>
      <c r="K1197" s="8">
        <f>Table3[[#This Row],[PrimaTécnica]]*Table3[[#This Row],[Utilidad]]</f>
        <v>201.36411374399998</v>
      </c>
      <c r="L1197" s="8">
        <f>Table3[[#This Row],[PrimaTécnica]]*Table3[[#This Row],[Marketing]]</f>
        <v>40.272822748799996</v>
      </c>
      <c r="M1197" s="8">
        <f>Table3[[#This Row],[PrimaTécnica]]*Table3[[#This Row],[Cobranza]]</f>
        <v>40.272822748799996</v>
      </c>
      <c r="N119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4027.2822748799995</v>
      </c>
      <c r="O1197">
        <v>21.84</v>
      </c>
      <c r="P1197">
        <v>54.6</v>
      </c>
      <c r="Q1197">
        <v>80.64</v>
      </c>
      <c r="R1197">
        <v>44.377200000000002</v>
      </c>
      <c r="S1197">
        <v>0.2</v>
      </c>
      <c r="T1197">
        <v>0.02</v>
      </c>
      <c r="U1197" s="8">
        <f>Table3[[#This Row],[PrimaNeta]]*Table3[[#This Row],[Comisión]]</f>
        <v>1057.1848687199999</v>
      </c>
      <c r="V1197" s="15">
        <f>Table3[[#This Row],[PrimaComercial Anual]]-Table3[[#This Row],[PrimaComercial Anual]]*SUM(Table3[[#This Row],[APS]:[IVA]])</f>
        <v>5285.9243435999997</v>
      </c>
      <c r="W1197" s="2">
        <v>1.4800000000000001E-2</v>
      </c>
      <c r="X1197" s="2">
        <v>8.4501000000000007E-2</v>
      </c>
      <c r="Y1197">
        <v>0.03</v>
      </c>
      <c r="Z1197">
        <v>0.13</v>
      </c>
      <c r="AA1197" s="20">
        <f>Table3[[#This Row],[APS]]*Table3[[#This Row],[PrimaComercial Anual]]</f>
        <v>105.61872</v>
      </c>
      <c r="AB1197" s="8">
        <f>Table3[[#This Row],[PrimaComercial Anual]]*Table3[[#This Row],[Recargo adicional]]</f>
        <v>603.03293640000004</v>
      </c>
      <c r="AC1197" s="8">
        <f>Table3[[#This Row],[PrimaComercial Anual]]*Table3[[#This Row],[IT]]</f>
        <v>214.09199999999998</v>
      </c>
      <c r="AD1197" s="8">
        <f>Table3[[#This Row],[PrimaComercial Anual]]*Table3[[#This Row],[IVA]]</f>
        <v>927.73199999999997</v>
      </c>
      <c r="AE1197" s="15">
        <f>Table3[[#This Row],[PrimaComercial Anual Asistencia]]</f>
        <v>7136.4</v>
      </c>
      <c r="AG1197">
        <v>7136.4</v>
      </c>
    </row>
    <row r="1198" spans="1:33" x14ac:dyDescent="0.25">
      <c r="A1198" t="s">
        <v>17</v>
      </c>
      <c r="B1198">
        <v>1750000</v>
      </c>
      <c r="C1198">
        <v>41</v>
      </c>
      <c r="D1198" s="2">
        <f>Table3[[#This Row],[PrimaTécnica]]-Table3[[#This Row],[PrimaTécnica]]*SUM(Table3[[#This Row],[Gastos Adm]:[Cobranza]])</f>
        <v>3141.2801744063995</v>
      </c>
      <c r="E1198">
        <v>0</v>
      </c>
      <c r="F1198">
        <v>0.15</v>
      </c>
      <c r="G1198">
        <v>0.05</v>
      </c>
      <c r="H1198">
        <v>0.01</v>
      </c>
      <c r="I1198">
        <v>0.01</v>
      </c>
      <c r="J1198" s="8">
        <f>Table3[[#This Row],[PrimaTécnica]]*Table3[[#This Row],[Gastos Adm]]</f>
        <v>604.09234123199985</v>
      </c>
      <c r="K1198" s="8">
        <f>Table3[[#This Row],[PrimaTécnica]]*Table3[[#This Row],[Utilidad]]</f>
        <v>201.36411374399998</v>
      </c>
      <c r="L1198" s="8">
        <f>Table3[[#This Row],[PrimaTécnica]]*Table3[[#This Row],[Marketing]]</f>
        <v>40.272822748799996</v>
      </c>
      <c r="M1198" s="8">
        <f>Table3[[#This Row],[PrimaTécnica]]*Table3[[#This Row],[Cobranza]]</f>
        <v>40.272822748799996</v>
      </c>
      <c r="N119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4027.2822748799995</v>
      </c>
      <c r="O1198">
        <v>21.84</v>
      </c>
      <c r="P1198">
        <v>54.6</v>
      </c>
      <c r="Q1198">
        <v>80.64</v>
      </c>
      <c r="R1198">
        <v>44.377200000000002</v>
      </c>
      <c r="S1198">
        <v>0.2</v>
      </c>
      <c r="T1198">
        <v>0.02</v>
      </c>
      <c r="U1198" s="8">
        <f>Table3[[#This Row],[PrimaNeta]]*Table3[[#This Row],[Comisión]]</f>
        <v>1057.1848687199999</v>
      </c>
      <c r="V1198" s="15">
        <f>Table3[[#This Row],[PrimaComercial Anual]]-Table3[[#This Row],[PrimaComercial Anual]]*SUM(Table3[[#This Row],[APS]:[IVA]])</f>
        <v>5285.9243435999997</v>
      </c>
      <c r="W1198" s="2">
        <v>1.4800000000000001E-2</v>
      </c>
      <c r="X1198" s="2">
        <v>8.4501000000000007E-2</v>
      </c>
      <c r="Y1198">
        <v>0.03</v>
      </c>
      <c r="Z1198">
        <v>0.13</v>
      </c>
      <c r="AA1198" s="20">
        <f>Table3[[#This Row],[APS]]*Table3[[#This Row],[PrimaComercial Anual]]</f>
        <v>105.61872</v>
      </c>
      <c r="AB1198" s="8">
        <f>Table3[[#This Row],[PrimaComercial Anual]]*Table3[[#This Row],[Recargo adicional]]</f>
        <v>603.03293640000004</v>
      </c>
      <c r="AC1198" s="8">
        <f>Table3[[#This Row],[PrimaComercial Anual]]*Table3[[#This Row],[IT]]</f>
        <v>214.09199999999998</v>
      </c>
      <c r="AD1198" s="8">
        <f>Table3[[#This Row],[PrimaComercial Anual]]*Table3[[#This Row],[IVA]]</f>
        <v>927.73199999999997</v>
      </c>
      <c r="AE1198" s="15">
        <f>Table3[[#This Row],[PrimaComercial Anual Asistencia]]</f>
        <v>7136.4</v>
      </c>
      <c r="AG1198">
        <v>7136.4</v>
      </c>
    </row>
    <row r="1199" spans="1:33" x14ac:dyDescent="0.25">
      <c r="A1199" t="s">
        <v>17</v>
      </c>
      <c r="B1199">
        <v>1750000</v>
      </c>
      <c r="C1199">
        <v>42</v>
      </c>
      <c r="D1199" s="2">
        <f>Table3[[#This Row],[PrimaTécnica]]-Table3[[#This Row],[PrimaTécnica]]*SUM(Table3[[#This Row],[Gastos Adm]:[Cobranza]])</f>
        <v>3141.2801744063995</v>
      </c>
      <c r="E1199">
        <v>0</v>
      </c>
      <c r="F1199">
        <v>0.15</v>
      </c>
      <c r="G1199">
        <v>0.05</v>
      </c>
      <c r="H1199">
        <v>0.01</v>
      </c>
      <c r="I1199">
        <v>0.01</v>
      </c>
      <c r="J1199" s="8">
        <f>Table3[[#This Row],[PrimaTécnica]]*Table3[[#This Row],[Gastos Adm]]</f>
        <v>604.09234123199985</v>
      </c>
      <c r="K1199" s="8">
        <f>Table3[[#This Row],[PrimaTécnica]]*Table3[[#This Row],[Utilidad]]</f>
        <v>201.36411374399998</v>
      </c>
      <c r="L1199" s="8">
        <f>Table3[[#This Row],[PrimaTécnica]]*Table3[[#This Row],[Marketing]]</f>
        <v>40.272822748799996</v>
      </c>
      <c r="M1199" s="8">
        <f>Table3[[#This Row],[PrimaTécnica]]*Table3[[#This Row],[Cobranza]]</f>
        <v>40.272822748799996</v>
      </c>
      <c r="N119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4027.2822748799995</v>
      </c>
      <c r="O1199">
        <v>21.84</v>
      </c>
      <c r="P1199">
        <v>54.6</v>
      </c>
      <c r="Q1199">
        <v>80.64</v>
      </c>
      <c r="R1199">
        <v>44.377200000000002</v>
      </c>
      <c r="S1199">
        <v>0.2</v>
      </c>
      <c r="T1199">
        <v>0.02</v>
      </c>
      <c r="U1199" s="8">
        <f>Table3[[#This Row],[PrimaNeta]]*Table3[[#This Row],[Comisión]]</f>
        <v>1057.1848687199999</v>
      </c>
      <c r="V1199" s="15">
        <f>Table3[[#This Row],[PrimaComercial Anual]]-Table3[[#This Row],[PrimaComercial Anual]]*SUM(Table3[[#This Row],[APS]:[IVA]])</f>
        <v>5285.9243435999997</v>
      </c>
      <c r="W1199" s="2">
        <v>1.4800000000000001E-2</v>
      </c>
      <c r="X1199" s="2">
        <v>8.4501000000000007E-2</v>
      </c>
      <c r="Y1199">
        <v>0.03</v>
      </c>
      <c r="Z1199">
        <v>0.13</v>
      </c>
      <c r="AA1199" s="20">
        <f>Table3[[#This Row],[APS]]*Table3[[#This Row],[PrimaComercial Anual]]</f>
        <v>105.61872</v>
      </c>
      <c r="AB1199" s="8">
        <f>Table3[[#This Row],[PrimaComercial Anual]]*Table3[[#This Row],[Recargo adicional]]</f>
        <v>603.03293640000004</v>
      </c>
      <c r="AC1199" s="8">
        <f>Table3[[#This Row],[PrimaComercial Anual]]*Table3[[#This Row],[IT]]</f>
        <v>214.09199999999998</v>
      </c>
      <c r="AD1199" s="8">
        <f>Table3[[#This Row],[PrimaComercial Anual]]*Table3[[#This Row],[IVA]]</f>
        <v>927.73199999999997</v>
      </c>
      <c r="AE1199" s="15">
        <f>Table3[[#This Row],[PrimaComercial Anual Asistencia]]</f>
        <v>7136.4</v>
      </c>
      <c r="AG1199">
        <v>7136.4</v>
      </c>
    </row>
    <row r="1200" spans="1:33" x14ac:dyDescent="0.25">
      <c r="A1200" t="s">
        <v>17</v>
      </c>
      <c r="B1200">
        <v>1750000</v>
      </c>
      <c r="C1200">
        <v>43</v>
      </c>
      <c r="D1200" s="2">
        <f>Table3[[#This Row],[PrimaTécnica]]-Table3[[#This Row],[PrimaTécnica]]*SUM(Table3[[#This Row],[Gastos Adm]:[Cobranza]])</f>
        <v>3141.2801744063995</v>
      </c>
      <c r="E1200">
        <v>0</v>
      </c>
      <c r="F1200">
        <v>0.15</v>
      </c>
      <c r="G1200">
        <v>0.05</v>
      </c>
      <c r="H1200">
        <v>0.01</v>
      </c>
      <c r="I1200">
        <v>0.01</v>
      </c>
      <c r="J1200" s="8">
        <f>Table3[[#This Row],[PrimaTécnica]]*Table3[[#This Row],[Gastos Adm]]</f>
        <v>604.09234123199985</v>
      </c>
      <c r="K1200" s="8">
        <f>Table3[[#This Row],[PrimaTécnica]]*Table3[[#This Row],[Utilidad]]</f>
        <v>201.36411374399998</v>
      </c>
      <c r="L1200" s="8">
        <f>Table3[[#This Row],[PrimaTécnica]]*Table3[[#This Row],[Marketing]]</f>
        <v>40.272822748799996</v>
      </c>
      <c r="M1200" s="8">
        <f>Table3[[#This Row],[PrimaTécnica]]*Table3[[#This Row],[Cobranza]]</f>
        <v>40.272822748799996</v>
      </c>
      <c r="N120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4027.2822748799995</v>
      </c>
      <c r="O1200">
        <v>21.84</v>
      </c>
      <c r="P1200">
        <v>54.6</v>
      </c>
      <c r="Q1200">
        <v>80.64</v>
      </c>
      <c r="R1200">
        <v>44.377200000000002</v>
      </c>
      <c r="S1200">
        <v>0.2</v>
      </c>
      <c r="T1200">
        <v>0.02</v>
      </c>
      <c r="U1200" s="8">
        <f>Table3[[#This Row],[PrimaNeta]]*Table3[[#This Row],[Comisión]]</f>
        <v>1057.1848687199999</v>
      </c>
      <c r="V1200" s="15">
        <f>Table3[[#This Row],[PrimaComercial Anual]]-Table3[[#This Row],[PrimaComercial Anual]]*SUM(Table3[[#This Row],[APS]:[IVA]])</f>
        <v>5285.9243435999997</v>
      </c>
      <c r="W1200" s="2">
        <v>1.4800000000000001E-2</v>
      </c>
      <c r="X1200" s="2">
        <v>8.4501000000000007E-2</v>
      </c>
      <c r="Y1200">
        <v>0.03</v>
      </c>
      <c r="Z1200">
        <v>0.13</v>
      </c>
      <c r="AA1200" s="20">
        <f>Table3[[#This Row],[APS]]*Table3[[#This Row],[PrimaComercial Anual]]</f>
        <v>105.61872</v>
      </c>
      <c r="AB1200" s="8">
        <f>Table3[[#This Row],[PrimaComercial Anual]]*Table3[[#This Row],[Recargo adicional]]</f>
        <v>603.03293640000004</v>
      </c>
      <c r="AC1200" s="8">
        <f>Table3[[#This Row],[PrimaComercial Anual]]*Table3[[#This Row],[IT]]</f>
        <v>214.09199999999998</v>
      </c>
      <c r="AD1200" s="8">
        <f>Table3[[#This Row],[PrimaComercial Anual]]*Table3[[#This Row],[IVA]]</f>
        <v>927.73199999999997</v>
      </c>
      <c r="AE1200" s="15">
        <f>Table3[[#This Row],[PrimaComercial Anual Asistencia]]</f>
        <v>7136.4</v>
      </c>
      <c r="AG1200">
        <v>7136.4</v>
      </c>
    </row>
    <row r="1201" spans="1:33" x14ac:dyDescent="0.25">
      <c r="A1201" t="s">
        <v>17</v>
      </c>
      <c r="B1201">
        <v>1750000</v>
      </c>
      <c r="C1201">
        <v>44</v>
      </c>
      <c r="D1201" s="2">
        <f>Table3[[#This Row],[PrimaTécnica]]-Table3[[#This Row],[PrimaTécnica]]*SUM(Table3[[#This Row],[Gastos Adm]:[Cobranza]])</f>
        <v>3141.2801744063995</v>
      </c>
      <c r="E1201">
        <v>0</v>
      </c>
      <c r="F1201">
        <v>0.15</v>
      </c>
      <c r="G1201">
        <v>0.05</v>
      </c>
      <c r="H1201">
        <v>0.01</v>
      </c>
      <c r="I1201">
        <v>0.01</v>
      </c>
      <c r="J1201" s="8">
        <f>Table3[[#This Row],[PrimaTécnica]]*Table3[[#This Row],[Gastos Adm]]</f>
        <v>604.09234123199985</v>
      </c>
      <c r="K1201" s="8">
        <f>Table3[[#This Row],[PrimaTécnica]]*Table3[[#This Row],[Utilidad]]</f>
        <v>201.36411374399998</v>
      </c>
      <c r="L1201" s="8">
        <f>Table3[[#This Row],[PrimaTécnica]]*Table3[[#This Row],[Marketing]]</f>
        <v>40.272822748799996</v>
      </c>
      <c r="M1201" s="8">
        <f>Table3[[#This Row],[PrimaTécnica]]*Table3[[#This Row],[Cobranza]]</f>
        <v>40.272822748799996</v>
      </c>
      <c r="N120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4027.2822748799995</v>
      </c>
      <c r="O1201">
        <v>21.84</v>
      </c>
      <c r="P1201">
        <v>54.6</v>
      </c>
      <c r="Q1201">
        <v>80.64</v>
      </c>
      <c r="R1201">
        <v>44.377200000000002</v>
      </c>
      <c r="S1201">
        <v>0.2</v>
      </c>
      <c r="T1201">
        <v>0.02</v>
      </c>
      <c r="U1201" s="8">
        <f>Table3[[#This Row],[PrimaNeta]]*Table3[[#This Row],[Comisión]]</f>
        <v>1057.1848687199999</v>
      </c>
      <c r="V1201" s="15">
        <f>Table3[[#This Row],[PrimaComercial Anual]]-Table3[[#This Row],[PrimaComercial Anual]]*SUM(Table3[[#This Row],[APS]:[IVA]])</f>
        <v>5285.9243435999997</v>
      </c>
      <c r="W1201" s="2">
        <v>1.4800000000000001E-2</v>
      </c>
      <c r="X1201" s="2">
        <v>8.4501000000000007E-2</v>
      </c>
      <c r="Y1201">
        <v>0.03</v>
      </c>
      <c r="Z1201">
        <v>0.13</v>
      </c>
      <c r="AA1201" s="20">
        <f>Table3[[#This Row],[APS]]*Table3[[#This Row],[PrimaComercial Anual]]</f>
        <v>105.61872</v>
      </c>
      <c r="AB1201" s="8">
        <f>Table3[[#This Row],[PrimaComercial Anual]]*Table3[[#This Row],[Recargo adicional]]</f>
        <v>603.03293640000004</v>
      </c>
      <c r="AC1201" s="8">
        <f>Table3[[#This Row],[PrimaComercial Anual]]*Table3[[#This Row],[IT]]</f>
        <v>214.09199999999998</v>
      </c>
      <c r="AD1201" s="8">
        <f>Table3[[#This Row],[PrimaComercial Anual]]*Table3[[#This Row],[IVA]]</f>
        <v>927.73199999999997</v>
      </c>
      <c r="AE1201" s="15">
        <f>Table3[[#This Row],[PrimaComercial Anual Asistencia]]</f>
        <v>7136.4</v>
      </c>
      <c r="AG1201">
        <v>7136.4</v>
      </c>
    </row>
    <row r="1202" spans="1:33" x14ac:dyDescent="0.25">
      <c r="A1202" t="s">
        <v>17</v>
      </c>
      <c r="B1202">
        <v>1750000</v>
      </c>
      <c r="C1202">
        <v>45</v>
      </c>
      <c r="D1202" s="2">
        <f>Table3[[#This Row],[PrimaTécnica]]-Table3[[#This Row],[PrimaTécnica]]*SUM(Table3[[#This Row],[Gastos Adm]:[Cobranza]])</f>
        <v>3141.2801744063995</v>
      </c>
      <c r="E1202">
        <v>0</v>
      </c>
      <c r="F1202">
        <v>0.15</v>
      </c>
      <c r="G1202">
        <v>0.05</v>
      </c>
      <c r="H1202">
        <v>0.01</v>
      </c>
      <c r="I1202">
        <v>0.01</v>
      </c>
      <c r="J1202" s="8">
        <f>Table3[[#This Row],[PrimaTécnica]]*Table3[[#This Row],[Gastos Adm]]</f>
        <v>604.09234123199985</v>
      </c>
      <c r="K1202" s="8">
        <f>Table3[[#This Row],[PrimaTécnica]]*Table3[[#This Row],[Utilidad]]</f>
        <v>201.36411374399998</v>
      </c>
      <c r="L1202" s="8">
        <f>Table3[[#This Row],[PrimaTécnica]]*Table3[[#This Row],[Marketing]]</f>
        <v>40.272822748799996</v>
      </c>
      <c r="M1202" s="8">
        <f>Table3[[#This Row],[PrimaTécnica]]*Table3[[#This Row],[Cobranza]]</f>
        <v>40.272822748799996</v>
      </c>
      <c r="N120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4027.2822748799995</v>
      </c>
      <c r="O1202">
        <v>21.84</v>
      </c>
      <c r="P1202">
        <v>54.6</v>
      </c>
      <c r="Q1202">
        <v>80.64</v>
      </c>
      <c r="R1202">
        <v>44.377200000000002</v>
      </c>
      <c r="S1202">
        <v>0.2</v>
      </c>
      <c r="T1202">
        <v>0.02</v>
      </c>
      <c r="U1202" s="8">
        <f>Table3[[#This Row],[PrimaNeta]]*Table3[[#This Row],[Comisión]]</f>
        <v>1057.1848687199999</v>
      </c>
      <c r="V1202" s="15">
        <f>Table3[[#This Row],[PrimaComercial Anual]]-Table3[[#This Row],[PrimaComercial Anual]]*SUM(Table3[[#This Row],[APS]:[IVA]])</f>
        <v>5285.9243435999997</v>
      </c>
      <c r="W1202" s="2">
        <v>1.4800000000000001E-2</v>
      </c>
      <c r="X1202" s="2">
        <v>8.4501000000000007E-2</v>
      </c>
      <c r="Y1202">
        <v>0.03</v>
      </c>
      <c r="Z1202">
        <v>0.13</v>
      </c>
      <c r="AA1202" s="20">
        <f>Table3[[#This Row],[APS]]*Table3[[#This Row],[PrimaComercial Anual]]</f>
        <v>105.61872</v>
      </c>
      <c r="AB1202" s="8">
        <f>Table3[[#This Row],[PrimaComercial Anual]]*Table3[[#This Row],[Recargo adicional]]</f>
        <v>603.03293640000004</v>
      </c>
      <c r="AC1202" s="8">
        <f>Table3[[#This Row],[PrimaComercial Anual]]*Table3[[#This Row],[IT]]</f>
        <v>214.09199999999998</v>
      </c>
      <c r="AD1202" s="8">
        <f>Table3[[#This Row],[PrimaComercial Anual]]*Table3[[#This Row],[IVA]]</f>
        <v>927.73199999999997</v>
      </c>
      <c r="AE1202" s="15">
        <f>Table3[[#This Row],[PrimaComercial Anual Asistencia]]</f>
        <v>7136.4</v>
      </c>
      <c r="AG1202">
        <v>7136.4</v>
      </c>
    </row>
    <row r="1203" spans="1:33" x14ac:dyDescent="0.25">
      <c r="A1203" t="s">
        <v>17</v>
      </c>
      <c r="B1203">
        <v>1750000</v>
      </c>
      <c r="C1203">
        <v>46</v>
      </c>
      <c r="D1203" s="2">
        <f>Table3[[#This Row],[PrimaTécnica]]-Table3[[#This Row],[PrimaTécnica]]*SUM(Table3[[#This Row],[Gastos Adm]:[Cobranza]])</f>
        <v>3141.2801744063995</v>
      </c>
      <c r="E1203">
        <v>0</v>
      </c>
      <c r="F1203">
        <v>0.15</v>
      </c>
      <c r="G1203">
        <v>0.05</v>
      </c>
      <c r="H1203">
        <v>0.01</v>
      </c>
      <c r="I1203">
        <v>0.01</v>
      </c>
      <c r="J1203" s="8">
        <f>Table3[[#This Row],[PrimaTécnica]]*Table3[[#This Row],[Gastos Adm]]</f>
        <v>604.09234123199985</v>
      </c>
      <c r="K1203" s="8">
        <f>Table3[[#This Row],[PrimaTécnica]]*Table3[[#This Row],[Utilidad]]</f>
        <v>201.36411374399998</v>
      </c>
      <c r="L1203" s="8">
        <f>Table3[[#This Row],[PrimaTécnica]]*Table3[[#This Row],[Marketing]]</f>
        <v>40.272822748799996</v>
      </c>
      <c r="M1203" s="8">
        <f>Table3[[#This Row],[PrimaTécnica]]*Table3[[#This Row],[Cobranza]]</f>
        <v>40.272822748799996</v>
      </c>
      <c r="N120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4027.2822748799995</v>
      </c>
      <c r="O1203">
        <v>21.84</v>
      </c>
      <c r="P1203">
        <v>54.6</v>
      </c>
      <c r="Q1203">
        <v>80.64</v>
      </c>
      <c r="R1203">
        <v>44.377200000000002</v>
      </c>
      <c r="S1203">
        <v>0.2</v>
      </c>
      <c r="T1203">
        <v>0.02</v>
      </c>
      <c r="U1203" s="8">
        <f>Table3[[#This Row],[PrimaNeta]]*Table3[[#This Row],[Comisión]]</f>
        <v>1057.1848687199999</v>
      </c>
      <c r="V1203" s="15">
        <f>Table3[[#This Row],[PrimaComercial Anual]]-Table3[[#This Row],[PrimaComercial Anual]]*SUM(Table3[[#This Row],[APS]:[IVA]])</f>
        <v>5285.9243435999997</v>
      </c>
      <c r="W1203" s="2">
        <v>1.4800000000000001E-2</v>
      </c>
      <c r="X1203" s="2">
        <v>8.4501000000000007E-2</v>
      </c>
      <c r="Y1203">
        <v>0.03</v>
      </c>
      <c r="Z1203">
        <v>0.13</v>
      </c>
      <c r="AA1203" s="20">
        <f>Table3[[#This Row],[APS]]*Table3[[#This Row],[PrimaComercial Anual]]</f>
        <v>105.61872</v>
      </c>
      <c r="AB1203" s="8">
        <f>Table3[[#This Row],[PrimaComercial Anual]]*Table3[[#This Row],[Recargo adicional]]</f>
        <v>603.03293640000004</v>
      </c>
      <c r="AC1203" s="8">
        <f>Table3[[#This Row],[PrimaComercial Anual]]*Table3[[#This Row],[IT]]</f>
        <v>214.09199999999998</v>
      </c>
      <c r="AD1203" s="8">
        <f>Table3[[#This Row],[PrimaComercial Anual]]*Table3[[#This Row],[IVA]]</f>
        <v>927.73199999999997</v>
      </c>
      <c r="AE1203" s="15">
        <f>Table3[[#This Row],[PrimaComercial Anual Asistencia]]</f>
        <v>7136.4</v>
      </c>
      <c r="AG1203">
        <v>7136.4</v>
      </c>
    </row>
    <row r="1204" spans="1:33" x14ac:dyDescent="0.25">
      <c r="A1204" t="s">
        <v>17</v>
      </c>
      <c r="B1204">
        <v>1750000</v>
      </c>
      <c r="C1204">
        <v>47</v>
      </c>
      <c r="D1204" s="2">
        <f>Table3[[#This Row],[PrimaTécnica]]-Table3[[#This Row],[PrimaTécnica]]*SUM(Table3[[#This Row],[Gastos Adm]:[Cobranza]])</f>
        <v>3141.2801744063995</v>
      </c>
      <c r="E1204">
        <v>0</v>
      </c>
      <c r="F1204">
        <v>0.15</v>
      </c>
      <c r="G1204">
        <v>0.05</v>
      </c>
      <c r="H1204">
        <v>0.01</v>
      </c>
      <c r="I1204">
        <v>0.01</v>
      </c>
      <c r="J1204" s="8">
        <f>Table3[[#This Row],[PrimaTécnica]]*Table3[[#This Row],[Gastos Adm]]</f>
        <v>604.09234123199985</v>
      </c>
      <c r="K1204" s="8">
        <f>Table3[[#This Row],[PrimaTécnica]]*Table3[[#This Row],[Utilidad]]</f>
        <v>201.36411374399998</v>
      </c>
      <c r="L1204" s="8">
        <f>Table3[[#This Row],[PrimaTécnica]]*Table3[[#This Row],[Marketing]]</f>
        <v>40.272822748799996</v>
      </c>
      <c r="M1204" s="8">
        <f>Table3[[#This Row],[PrimaTécnica]]*Table3[[#This Row],[Cobranza]]</f>
        <v>40.272822748799996</v>
      </c>
      <c r="N120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4027.2822748799995</v>
      </c>
      <c r="O1204">
        <v>21.84</v>
      </c>
      <c r="P1204">
        <v>54.6</v>
      </c>
      <c r="Q1204">
        <v>80.64</v>
      </c>
      <c r="R1204">
        <v>44.377200000000002</v>
      </c>
      <c r="S1204">
        <v>0.2</v>
      </c>
      <c r="T1204">
        <v>0.02</v>
      </c>
      <c r="U1204" s="8">
        <f>Table3[[#This Row],[PrimaNeta]]*Table3[[#This Row],[Comisión]]</f>
        <v>1057.1848687199999</v>
      </c>
      <c r="V1204" s="15">
        <f>Table3[[#This Row],[PrimaComercial Anual]]-Table3[[#This Row],[PrimaComercial Anual]]*SUM(Table3[[#This Row],[APS]:[IVA]])</f>
        <v>5285.9243435999997</v>
      </c>
      <c r="W1204" s="2">
        <v>1.4800000000000001E-2</v>
      </c>
      <c r="X1204" s="2">
        <v>8.4501000000000007E-2</v>
      </c>
      <c r="Y1204">
        <v>0.03</v>
      </c>
      <c r="Z1204">
        <v>0.13</v>
      </c>
      <c r="AA1204" s="20">
        <f>Table3[[#This Row],[APS]]*Table3[[#This Row],[PrimaComercial Anual]]</f>
        <v>105.61872</v>
      </c>
      <c r="AB1204" s="8">
        <f>Table3[[#This Row],[PrimaComercial Anual]]*Table3[[#This Row],[Recargo adicional]]</f>
        <v>603.03293640000004</v>
      </c>
      <c r="AC1204" s="8">
        <f>Table3[[#This Row],[PrimaComercial Anual]]*Table3[[#This Row],[IT]]</f>
        <v>214.09199999999998</v>
      </c>
      <c r="AD1204" s="8">
        <f>Table3[[#This Row],[PrimaComercial Anual]]*Table3[[#This Row],[IVA]]</f>
        <v>927.73199999999997</v>
      </c>
      <c r="AE1204" s="15">
        <f>Table3[[#This Row],[PrimaComercial Anual Asistencia]]</f>
        <v>7136.4</v>
      </c>
      <c r="AG1204">
        <v>7136.4</v>
      </c>
    </row>
    <row r="1205" spans="1:33" x14ac:dyDescent="0.25">
      <c r="A1205" t="s">
        <v>17</v>
      </c>
      <c r="B1205">
        <v>1750000</v>
      </c>
      <c r="C1205">
        <v>48</v>
      </c>
      <c r="D1205" s="2">
        <f>Table3[[#This Row],[PrimaTécnica]]-Table3[[#This Row],[PrimaTécnica]]*SUM(Table3[[#This Row],[Gastos Adm]:[Cobranza]])</f>
        <v>3141.2801744063995</v>
      </c>
      <c r="E1205">
        <v>0</v>
      </c>
      <c r="F1205">
        <v>0.15</v>
      </c>
      <c r="G1205">
        <v>0.05</v>
      </c>
      <c r="H1205">
        <v>0.01</v>
      </c>
      <c r="I1205">
        <v>0.01</v>
      </c>
      <c r="J1205" s="8">
        <f>Table3[[#This Row],[PrimaTécnica]]*Table3[[#This Row],[Gastos Adm]]</f>
        <v>604.09234123199985</v>
      </c>
      <c r="K1205" s="8">
        <f>Table3[[#This Row],[PrimaTécnica]]*Table3[[#This Row],[Utilidad]]</f>
        <v>201.36411374399998</v>
      </c>
      <c r="L1205" s="8">
        <f>Table3[[#This Row],[PrimaTécnica]]*Table3[[#This Row],[Marketing]]</f>
        <v>40.272822748799996</v>
      </c>
      <c r="M1205" s="8">
        <f>Table3[[#This Row],[PrimaTécnica]]*Table3[[#This Row],[Cobranza]]</f>
        <v>40.272822748799996</v>
      </c>
      <c r="N120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4027.2822748799995</v>
      </c>
      <c r="O1205">
        <v>21.84</v>
      </c>
      <c r="P1205">
        <v>54.6</v>
      </c>
      <c r="Q1205">
        <v>80.64</v>
      </c>
      <c r="R1205">
        <v>44.377200000000002</v>
      </c>
      <c r="S1205">
        <v>0.2</v>
      </c>
      <c r="T1205">
        <v>0.02</v>
      </c>
      <c r="U1205" s="8">
        <f>Table3[[#This Row],[PrimaNeta]]*Table3[[#This Row],[Comisión]]</f>
        <v>1057.1848687199999</v>
      </c>
      <c r="V1205" s="15">
        <f>Table3[[#This Row],[PrimaComercial Anual]]-Table3[[#This Row],[PrimaComercial Anual]]*SUM(Table3[[#This Row],[APS]:[IVA]])</f>
        <v>5285.9243435999997</v>
      </c>
      <c r="W1205" s="2">
        <v>1.4800000000000001E-2</v>
      </c>
      <c r="X1205" s="2">
        <v>8.4501000000000007E-2</v>
      </c>
      <c r="Y1205">
        <v>0.03</v>
      </c>
      <c r="Z1205">
        <v>0.13</v>
      </c>
      <c r="AA1205" s="20">
        <f>Table3[[#This Row],[APS]]*Table3[[#This Row],[PrimaComercial Anual]]</f>
        <v>105.61872</v>
      </c>
      <c r="AB1205" s="8">
        <f>Table3[[#This Row],[PrimaComercial Anual]]*Table3[[#This Row],[Recargo adicional]]</f>
        <v>603.03293640000004</v>
      </c>
      <c r="AC1205" s="8">
        <f>Table3[[#This Row],[PrimaComercial Anual]]*Table3[[#This Row],[IT]]</f>
        <v>214.09199999999998</v>
      </c>
      <c r="AD1205" s="8">
        <f>Table3[[#This Row],[PrimaComercial Anual]]*Table3[[#This Row],[IVA]]</f>
        <v>927.73199999999997</v>
      </c>
      <c r="AE1205" s="15">
        <f>Table3[[#This Row],[PrimaComercial Anual Asistencia]]</f>
        <v>7136.4</v>
      </c>
      <c r="AG1205">
        <v>7136.4</v>
      </c>
    </row>
    <row r="1206" spans="1:33" x14ac:dyDescent="0.25">
      <c r="A1206" t="s">
        <v>17</v>
      </c>
      <c r="B1206">
        <v>1750000</v>
      </c>
      <c r="C1206">
        <v>49</v>
      </c>
      <c r="D1206" s="2">
        <f>Table3[[#This Row],[PrimaTécnica]]-Table3[[#This Row],[PrimaTécnica]]*SUM(Table3[[#This Row],[Gastos Adm]:[Cobranza]])</f>
        <v>3141.2801744063995</v>
      </c>
      <c r="E1206">
        <v>0</v>
      </c>
      <c r="F1206">
        <v>0.15</v>
      </c>
      <c r="G1206">
        <v>0.05</v>
      </c>
      <c r="H1206">
        <v>0.01</v>
      </c>
      <c r="I1206">
        <v>0.01</v>
      </c>
      <c r="J1206" s="8">
        <f>Table3[[#This Row],[PrimaTécnica]]*Table3[[#This Row],[Gastos Adm]]</f>
        <v>604.09234123199985</v>
      </c>
      <c r="K1206" s="8">
        <f>Table3[[#This Row],[PrimaTécnica]]*Table3[[#This Row],[Utilidad]]</f>
        <v>201.36411374399998</v>
      </c>
      <c r="L1206" s="8">
        <f>Table3[[#This Row],[PrimaTécnica]]*Table3[[#This Row],[Marketing]]</f>
        <v>40.272822748799996</v>
      </c>
      <c r="M1206" s="8">
        <f>Table3[[#This Row],[PrimaTécnica]]*Table3[[#This Row],[Cobranza]]</f>
        <v>40.272822748799996</v>
      </c>
      <c r="N120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4027.2822748799995</v>
      </c>
      <c r="O1206">
        <v>21.84</v>
      </c>
      <c r="P1206">
        <v>54.6</v>
      </c>
      <c r="Q1206">
        <v>80.64</v>
      </c>
      <c r="R1206">
        <v>44.377200000000002</v>
      </c>
      <c r="S1206">
        <v>0.2</v>
      </c>
      <c r="T1206">
        <v>0.02</v>
      </c>
      <c r="U1206" s="8">
        <f>Table3[[#This Row],[PrimaNeta]]*Table3[[#This Row],[Comisión]]</f>
        <v>1057.1848687199999</v>
      </c>
      <c r="V1206" s="15">
        <f>Table3[[#This Row],[PrimaComercial Anual]]-Table3[[#This Row],[PrimaComercial Anual]]*SUM(Table3[[#This Row],[APS]:[IVA]])</f>
        <v>5285.9243435999997</v>
      </c>
      <c r="W1206" s="2">
        <v>1.4800000000000001E-2</v>
      </c>
      <c r="X1206" s="2">
        <v>8.4501000000000007E-2</v>
      </c>
      <c r="Y1206">
        <v>0.03</v>
      </c>
      <c r="Z1206">
        <v>0.13</v>
      </c>
      <c r="AA1206" s="20">
        <f>Table3[[#This Row],[APS]]*Table3[[#This Row],[PrimaComercial Anual]]</f>
        <v>105.61872</v>
      </c>
      <c r="AB1206" s="8">
        <f>Table3[[#This Row],[PrimaComercial Anual]]*Table3[[#This Row],[Recargo adicional]]</f>
        <v>603.03293640000004</v>
      </c>
      <c r="AC1206" s="8">
        <f>Table3[[#This Row],[PrimaComercial Anual]]*Table3[[#This Row],[IT]]</f>
        <v>214.09199999999998</v>
      </c>
      <c r="AD1206" s="8">
        <f>Table3[[#This Row],[PrimaComercial Anual]]*Table3[[#This Row],[IVA]]</f>
        <v>927.73199999999997</v>
      </c>
      <c r="AE1206" s="15">
        <f>Table3[[#This Row],[PrimaComercial Anual Asistencia]]</f>
        <v>7136.4</v>
      </c>
      <c r="AG1206">
        <v>7136.4</v>
      </c>
    </row>
    <row r="1207" spans="1:33" x14ac:dyDescent="0.25">
      <c r="A1207" t="s">
        <v>17</v>
      </c>
      <c r="B1207">
        <v>1750000</v>
      </c>
      <c r="C1207">
        <v>50</v>
      </c>
      <c r="D1207" s="2">
        <f>Table3[[#This Row],[PrimaTécnica]]-Table3[[#This Row],[PrimaTécnica]]*SUM(Table3[[#This Row],[Gastos Adm]:[Cobranza]])</f>
        <v>3952.7117809919996</v>
      </c>
      <c r="E1207">
        <v>0</v>
      </c>
      <c r="F1207">
        <v>0.15</v>
      </c>
      <c r="G1207">
        <v>0.05</v>
      </c>
      <c r="H1207">
        <v>0.01</v>
      </c>
      <c r="I1207">
        <v>0.01</v>
      </c>
      <c r="J1207" s="8">
        <f>Table3[[#This Row],[PrimaTécnica]]*Table3[[#This Row],[Gastos Adm]]</f>
        <v>760.13688095999998</v>
      </c>
      <c r="K1207" s="8">
        <f>Table3[[#This Row],[PrimaTécnica]]*Table3[[#This Row],[Utilidad]]</f>
        <v>253.37896032</v>
      </c>
      <c r="L1207" s="8">
        <f>Table3[[#This Row],[PrimaTécnica]]*Table3[[#This Row],[Marketing]]</f>
        <v>50.675792063999999</v>
      </c>
      <c r="M1207" s="8">
        <f>Table3[[#This Row],[PrimaTécnica]]*Table3[[#This Row],[Cobranza]]</f>
        <v>50.675792063999999</v>
      </c>
      <c r="N120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5067.5792063999997</v>
      </c>
      <c r="O1207">
        <v>21.84</v>
      </c>
      <c r="P1207">
        <v>54.6</v>
      </c>
      <c r="Q1207">
        <v>80.64</v>
      </c>
      <c r="R1207">
        <v>44.377200000000002</v>
      </c>
      <c r="S1207">
        <v>0.2</v>
      </c>
      <c r="T1207">
        <v>0.02</v>
      </c>
      <c r="U1207" s="8">
        <f>Table3[[#This Row],[PrimaNeta]]*Table3[[#This Row],[Comisión]]</f>
        <v>1317.2591016000001</v>
      </c>
      <c r="V1207" s="15">
        <f>Table3[[#This Row],[PrimaComercial Anual]]-Table3[[#This Row],[PrimaComercial Anual]]*SUM(Table3[[#This Row],[APS]:[IVA]])</f>
        <v>6586.2955080000002</v>
      </c>
      <c r="W1207" s="2">
        <v>1.4800000000000001E-2</v>
      </c>
      <c r="X1207" s="2">
        <v>8.4501000000000007E-2</v>
      </c>
      <c r="Y1207">
        <v>0.03</v>
      </c>
      <c r="Z1207">
        <v>0.13</v>
      </c>
      <c r="AA1207" s="20">
        <f>Table3[[#This Row],[APS]]*Table3[[#This Row],[PrimaComercial Anual]]</f>
        <v>131.60160000000002</v>
      </c>
      <c r="AB1207" s="8">
        <f>Table3[[#This Row],[PrimaComercial Anual]]*Table3[[#This Row],[Recargo adicional]]</f>
        <v>751.38289200000008</v>
      </c>
      <c r="AC1207" s="8">
        <f>Table3[[#This Row],[PrimaComercial Anual]]*Table3[[#This Row],[IT]]</f>
        <v>266.76</v>
      </c>
      <c r="AD1207" s="8">
        <f>Table3[[#This Row],[PrimaComercial Anual]]*Table3[[#This Row],[IVA]]</f>
        <v>1155.96</v>
      </c>
      <c r="AE1207" s="15">
        <f>Table3[[#This Row],[PrimaComercial Anual Asistencia]]</f>
        <v>8892</v>
      </c>
      <c r="AG1207">
        <v>8892</v>
      </c>
    </row>
    <row r="1208" spans="1:33" x14ac:dyDescent="0.25">
      <c r="A1208" t="s">
        <v>17</v>
      </c>
      <c r="B1208">
        <v>1750000</v>
      </c>
      <c r="C1208">
        <v>51</v>
      </c>
      <c r="D1208" s="2">
        <f>Table3[[#This Row],[PrimaTécnica]]-Table3[[#This Row],[PrimaTécnica]]*SUM(Table3[[#This Row],[Gastos Adm]:[Cobranza]])</f>
        <v>3952.7117809919996</v>
      </c>
      <c r="E1208">
        <v>0</v>
      </c>
      <c r="F1208">
        <v>0.15</v>
      </c>
      <c r="G1208">
        <v>0.05</v>
      </c>
      <c r="H1208">
        <v>0.01</v>
      </c>
      <c r="I1208">
        <v>0.01</v>
      </c>
      <c r="J1208" s="8">
        <f>Table3[[#This Row],[PrimaTécnica]]*Table3[[#This Row],[Gastos Adm]]</f>
        <v>760.13688095999998</v>
      </c>
      <c r="K1208" s="8">
        <f>Table3[[#This Row],[PrimaTécnica]]*Table3[[#This Row],[Utilidad]]</f>
        <v>253.37896032</v>
      </c>
      <c r="L1208" s="8">
        <f>Table3[[#This Row],[PrimaTécnica]]*Table3[[#This Row],[Marketing]]</f>
        <v>50.675792063999999</v>
      </c>
      <c r="M1208" s="8">
        <f>Table3[[#This Row],[PrimaTécnica]]*Table3[[#This Row],[Cobranza]]</f>
        <v>50.675792063999999</v>
      </c>
      <c r="N120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5067.5792063999997</v>
      </c>
      <c r="O1208">
        <v>21.84</v>
      </c>
      <c r="P1208">
        <v>54.6</v>
      </c>
      <c r="Q1208">
        <v>80.64</v>
      </c>
      <c r="R1208">
        <v>44.377200000000002</v>
      </c>
      <c r="S1208">
        <v>0.2</v>
      </c>
      <c r="T1208">
        <v>0.02</v>
      </c>
      <c r="U1208" s="8">
        <f>Table3[[#This Row],[PrimaNeta]]*Table3[[#This Row],[Comisión]]</f>
        <v>1317.2591016000001</v>
      </c>
      <c r="V1208" s="15">
        <f>Table3[[#This Row],[PrimaComercial Anual]]-Table3[[#This Row],[PrimaComercial Anual]]*SUM(Table3[[#This Row],[APS]:[IVA]])</f>
        <v>6586.2955080000002</v>
      </c>
      <c r="W1208" s="2">
        <v>1.4800000000000001E-2</v>
      </c>
      <c r="X1208" s="2">
        <v>8.4501000000000007E-2</v>
      </c>
      <c r="Y1208">
        <v>0.03</v>
      </c>
      <c r="Z1208">
        <v>0.13</v>
      </c>
      <c r="AA1208" s="20">
        <f>Table3[[#This Row],[APS]]*Table3[[#This Row],[PrimaComercial Anual]]</f>
        <v>131.60160000000002</v>
      </c>
      <c r="AB1208" s="8">
        <f>Table3[[#This Row],[PrimaComercial Anual]]*Table3[[#This Row],[Recargo adicional]]</f>
        <v>751.38289200000008</v>
      </c>
      <c r="AC1208" s="8">
        <f>Table3[[#This Row],[PrimaComercial Anual]]*Table3[[#This Row],[IT]]</f>
        <v>266.76</v>
      </c>
      <c r="AD1208" s="8">
        <f>Table3[[#This Row],[PrimaComercial Anual]]*Table3[[#This Row],[IVA]]</f>
        <v>1155.96</v>
      </c>
      <c r="AE1208" s="15">
        <f>Table3[[#This Row],[PrimaComercial Anual Asistencia]]</f>
        <v>8892</v>
      </c>
      <c r="AG1208">
        <v>8892</v>
      </c>
    </row>
    <row r="1209" spans="1:33" x14ac:dyDescent="0.25">
      <c r="A1209" t="s">
        <v>17</v>
      </c>
      <c r="B1209">
        <v>1750000</v>
      </c>
      <c r="C1209">
        <v>52</v>
      </c>
      <c r="D1209" s="2">
        <f>Table3[[#This Row],[PrimaTécnica]]-Table3[[#This Row],[PrimaTécnica]]*SUM(Table3[[#This Row],[Gastos Adm]:[Cobranza]])</f>
        <v>3952.7117809919996</v>
      </c>
      <c r="E1209">
        <v>0</v>
      </c>
      <c r="F1209">
        <v>0.15</v>
      </c>
      <c r="G1209">
        <v>0.05</v>
      </c>
      <c r="H1209">
        <v>0.01</v>
      </c>
      <c r="I1209">
        <v>0.01</v>
      </c>
      <c r="J1209" s="8">
        <f>Table3[[#This Row],[PrimaTécnica]]*Table3[[#This Row],[Gastos Adm]]</f>
        <v>760.13688095999998</v>
      </c>
      <c r="K1209" s="8">
        <f>Table3[[#This Row],[PrimaTécnica]]*Table3[[#This Row],[Utilidad]]</f>
        <v>253.37896032</v>
      </c>
      <c r="L1209" s="8">
        <f>Table3[[#This Row],[PrimaTécnica]]*Table3[[#This Row],[Marketing]]</f>
        <v>50.675792063999999</v>
      </c>
      <c r="M1209" s="8">
        <f>Table3[[#This Row],[PrimaTécnica]]*Table3[[#This Row],[Cobranza]]</f>
        <v>50.675792063999999</v>
      </c>
      <c r="N120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5067.5792063999997</v>
      </c>
      <c r="O1209">
        <v>21.84</v>
      </c>
      <c r="P1209">
        <v>54.6</v>
      </c>
      <c r="Q1209">
        <v>80.64</v>
      </c>
      <c r="R1209">
        <v>44.377200000000002</v>
      </c>
      <c r="S1209">
        <v>0.2</v>
      </c>
      <c r="T1209">
        <v>0.02</v>
      </c>
      <c r="U1209" s="8">
        <f>Table3[[#This Row],[PrimaNeta]]*Table3[[#This Row],[Comisión]]</f>
        <v>1317.2591016000001</v>
      </c>
      <c r="V1209" s="15">
        <f>Table3[[#This Row],[PrimaComercial Anual]]-Table3[[#This Row],[PrimaComercial Anual]]*SUM(Table3[[#This Row],[APS]:[IVA]])</f>
        <v>6586.2955080000002</v>
      </c>
      <c r="W1209" s="2">
        <v>1.4800000000000001E-2</v>
      </c>
      <c r="X1209" s="2">
        <v>8.4501000000000007E-2</v>
      </c>
      <c r="Y1209">
        <v>0.03</v>
      </c>
      <c r="Z1209">
        <v>0.13</v>
      </c>
      <c r="AA1209" s="20">
        <f>Table3[[#This Row],[APS]]*Table3[[#This Row],[PrimaComercial Anual]]</f>
        <v>131.60160000000002</v>
      </c>
      <c r="AB1209" s="8">
        <f>Table3[[#This Row],[PrimaComercial Anual]]*Table3[[#This Row],[Recargo adicional]]</f>
        <v>751.38289200000008</v>
      </c>
      <c r="AC1209" s="8">
        <f>Table3[[#This Row],[PrimaComercial Anual]]*Table3[[#This Row],[IT]]</f>
        <v>266.76</v>
      </c>
      <c r="AD1209" s="8">
        <f>Table3[[#This Row],[PrimaComercial Anual]]*Table3[[#This Row],[IVA]]</f>
        <v>1155.96</v>
      </c>
      <c r="AE1209" s="15">
        <f>Table3[[#This Row],[PrimaComercial Anual Asistencia]]</f>
        <v>8892</v>
      </c>
      <c r="AG1209">
        <v>8892</v>
      </c>
    </row>
    <row r="1210" spans="1:33" x14ac:dyDescent="0.25">
      <c r="A1210" t="s">
        <v>17</v>
      </c>
      <c r="B1210">
        <v>1750000</v>
      </c>
      <c r="C1210">
        <v>53</v>
      </c>
      <c r="D1210" s="2">
        <f>Table3[[#This Row],[PrimaTécnica]]-Table3[[#This Row],[PrimaTécnica]]*SUM(Table3[[#This Row],[Gastos Adm]:[Cobranza]])</f>
        <v>3952.7117809919996</v>
      </c>
      <c r="E1210">
        <v>0</v>
      </c>
      <c r="F1210">
        <v>0.15</v>
      </c>
      <c r="G1210">
        <v>0.05</v>
      </c>
      <c r="H1210">
        <v>0.01</v>
      </c>
      <c r="I1210">
        <v>0.01</v>
      </c>
      <c r="J1210" s="8">
        <f>Table3[[#This Row],[PrimaTécnica]]*Table3[[#This Row],[Gastos Adm]]</f>
        <v>760.13688095999998</v>
      </c>
      <c r="K1210" s="8">
        <f>Table3[[#This Row],[PrimaTécnica]]*Table3[[#This Row],[Utilidad]]</f>
        <v>253.37896032</v>
      </c>
      <c r="L1210" s="8">
        <f>Table3[[#This Row],[PrimaTécnica]]*Table3[[#This Row],[Marketing]]</f>
        <v>50.675792063999999</v>
      </c>
      <c r="M1210" s="8">
        <f>Table3[[#This Row],[PrimaTécnica]]*Table3[[#This Row],[Cobranza]]</f>
        <v>50.675792063999999</v>
      </c>
      <c r="N121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5067.5792063999997</v>
      </c>
      <c r="O1210">
        <v>21.84</v>
      </c>
      <c r="P1210">
        <v>54.6</v>
      </c>
      <c r="Q1210">
        <v>80.64</v>
      </c>
      <c r="R1210">
        <v>44.377200000000002</v>
      </c>
      <c r="S1210">
        <v>0.2</v>
      </c>
      <c r="T1210">
        <v>0.02</v>
      </c>
      <c r="U1210" s="8">
        <f>Table3[[#This Row],[PrimaNeta]]*Table3[[#This Row],[Comisión]]</f>
        <v>1317.2591016000001</v>
      </c>
      <c r="V1210" s="15">
        <f>Table3[[#This Row],[PrimaComercial Anual]]-Table3[[#This Row],[PrimaComercial Anual]]*SUM(Table3[[#This Row],[APS]:[IVA]])</f>
        <v>6586.2955080000002</v>
      </c>
      <c r="W1210" s="2">
        <v>1.4800000000000001E-2</v>
      </c>
      <c r="X1210" s="2">
        <v>8.4501000000000007E-2</v>
      </c>
      <c r="Y1210">
        <v>0.03</v>
      </c>
      <c r="Z1210">
        <v>0.13</v>
      </c>
      <c r="AA1210" s="20">
        <f>Table3[[#This Row],[APS]]*Table3[[#This Row],[PrimaComercial Anual]]</f>
        <v>131.60160000000002</v>
      </c>
      <c r="AB1210" s="8">
        <f>Table3[[#This Row],[PrimaComercial Anual]]*Table3[[#This Row],[Recargo adicional]]</f>
        <v>751.38289200000008</v>
      </c>
      <c r="AC1210" s="8">
        <f>Table3[[#This Row],[PrimaComercial Anual]]*Table3[[#This Row],[IT]]</f>
        <v>266.76</v>
      </c>
      <c r="AD1210" s="8">
        <f>Table3[[#This Row],[PrimaComercial Anual]]*Table3[[#This Row],[IVA]]</f>
        <v>1155.96</v>
      </c>
      <c r="AE1210" s="15">
        <f>Table3[[#This Row],[PrimaComercial Anual Asistencia]]</f>
        <v>8892</v>
      </c>
      <c r="AG1210">
        <v>8892</v>
      </c>
    </row>
    <row r="1211" spans="1:33" x14ac:dyDescent="0.25">
      <c r="A1211" t="s">
        <v>17</v>
      </c>
      <c r="B1211">
        <v>1750000</v>
      </c>
      <c r="C1211">
        <v>54</v>
      </c>
      <c r="D1211" s="2">
        <f>Table3[[#This Row],[PrimaTécnica]]-Table3[[#This Row],[PrimaTécnica]]*SUM(Table3[[#This Row],[Gastos Adm]:[Cobranza]])</f>
        <v>3952.7117809919996</v>
      </c>
      <c r="E1211">
        <v>0</v>
      </c>
      <c r="F1211">
        <v>0.15</v>
      </c>
      <c r="G1211">
        <v>0.05</v>
      </c>
      <c r="H1211">
        <v>0.01</v>
      </c>
      <c r="I1211">
        <v>0.01</v>
      </c>
      <c r="J1211" s="8">
        <f>Table3[[#This Row],[PrimaTécnica]]*Table3[[#This Row],[Gastos Adm]]</f>
        <v>760.13688095999998</v>
      </c>
      <c r="K1211" s="8">
        <f>Table3[[#This Row],[PrimaTécnica]]*Table3[[#This Row],[Utilidad]]</f>
        <v>253.37896032</v>
      </c>
      <c r="L1211" s="8">
        <f>Table3[[#This Row],[PrimaTécnica]]*Table3[[#This Row],[Marketing]]</f>
        <v>50.675792063999999</v>
      </c>
      <c r="M1211" s="8">
        <f>Table3[[#This Row],[PrimaTécnica]]*Table3[[#This Row],[Cobranza]]</f>
        <v>50.675792063999999</v>
      </c>
      <c r="N121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5067.5792063999997</v>
      </c>
      <c r="O1211">
        <v>21.84</v>
      </c>
      <c r="P1211">
        <v>54.6</v>
      </c>
      <c r="Q1211">
        <v>80.64</v>
      </c>
      <c r="R1211">
        <v>44.377200000000002</v>
      </c>
      <c r="S1211">
        <v>0.2</v>
      </c>
      <c r="T1211">
        <v>0.02</v>
      </c>
      <c r="U1211" s="8">
        <f>Table3[[#This Row],[PrimaNeta]]*Table3[[#This Row],[Comisión]]</f>
        <v>1317.2591016000001</v>
      </c>
      <c r="V1211" s="15">
        <f>Table3[[#This Row],[PrimaComercial Anual]]-Table3[[#This Row],[PrimaComercial Anual]]*SUM(Table3[[#This Row],[APS]:[IVA]])</f>
        <v>6586.2955080000002</v>
      </c>
      <c r="W1211" s="2">
        <v>1.4800000000000001E-2</v>
      </c>
      <c r="X1211" s="2">
        <v>8.4501000000000007E-2</v>
      </c>
      <c r="Y1211">
        <v>0.03</v>
      </c>
      <c r="Z1211">
        <v>0.13</v>
      </c>
      <c r="AA1211" s="20">
        <f>Table3[[#This Row],[APS]]*Table3[[#This Row],[PrimaComercial Anual]]</f>
        <v>131.60160000000002</v>
      </c>
      <c r="AB1211" s="8">
        <f>Table3[[#This Row],[PrimaComercial Anual]]*Table3[[#This Row],[Recargo adicional]]</f>
        <v>751.38289200000008</v>
      </c>
      <c r="AC1211" s="8">
        <f>Table3[[#This Row],[PrimaComercial Anual]]*Table3[[#This Row],[IT]]</f>
        <v>266.76</v>
      </c>
      <c r="AD1211" s="8">
        <f>Table3[[#This Row],[PrimaComercial Anual]]*Table3[[#This Row],[IVA]]</f>
        <v>1155.96</v>
      </c>
      <c r="AE1211" s="15">
        <f>Table3[[#This Row],[PrimaComercial Anual Asistencia]]</f>
        <v>8892</v>
      </c>
      <c r="AG1211">
        <v>8892</v>
      </c>
    </row>
    <row r="1212" spans="1:33" x14ac:dyDescent="0.25">
      <c r="A1212" t="s">
        <v>17</v>
      </c>
      <c r="B1212">
        <v>1750000</v>
      </c>
      <c r="C1212">
        <v>55</v>
      </c>
      <c r="D1212" s="2">
        <f>Table3[[#This Row],[PrimaTécnica]]-Table3[[#This Row],[PrimaTécnica]]*SUM(Table3[[#This Row],[Gastos Adm]:[Cobranza]])</f>
        <v>3952.7117809919996</v>
      </c>
      <c r="E1212">
        <v>0</v>
      </c>
      <c r="F1212">
        <v>0.15</v>
      </c>
      <c r="G1212">
        <v>0.05</v>
      </c>
      <c r="H1212">
        <v>0.01</v>
      </c>
      <c r="I1212">
        <v>0.01</v>
      </c>
      <c r="J1212" s="8">
        <f>Table3[[#This Row],[PrimaTécnica]]*Table3[[#This Row],[Gastos Adm]]</f>
        <v>760.13688095999998</v>
      </c>
      <c r="K1212" s="8">
        <f>Table3[[#This Row],[PrimaTécnica]]*Table3[[#This Row],[Utilidad]]</f>
        <v>253.37896032</v>
      </c>
      <c r="L1212" s="8">
        <f>Table3[[#This Row],[PrimaTécnica]]*Table3[[#This Row],[Marketing]]</f>
        <v>50.675792063999999</v>
      </c>
      <c r="M1212" s="8">
        <f>Table3[[#This Row],[PrimaTécnica]]*Table3[[#This Row],[Cobranza]]</f>
        <v>50.675792063999999</v>
      </c>
      <c r="N121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5067.5792063999997</v>
      </c>
      <c r="O1212">
        <v>21.84</v>
      </c>
      <c r="P1212">
        <v>54.6</v>
      </c>
      <c r="Q1212">
        <v>80.64</v>
      </c>
      <c r="R1212">
        <v>44.377200000000002</v>
      </c>
      <c r="S1212">
        <v>0.2</v>
      </c>
      <c r="T1212">
        <v>0.02</v>
      </c>
      <c r="U1212" s="8">
        <f>Table3[[#This Row],[PrimaNeta]]*Table3[[#This Row],[Comisión]]</f>
        <v>1317.2591016000001</v>
      </c>
      <c r="V1212" s="15">
        <f>Table3[[#This Row],[PrimaComercial Anual]]-Table3[[#This Row],[PrimaComercial Anual]]*SUM(Table3[[#This Row],[APS]:[IVA]])</f>
        <v>6586.2955080000002</v>
      </c>
      <c r="W1212" s="2">
        <v>1.4800000000000001E-2</v>
      </c>
      <c r="X1212" s="2">
        <v>8.4501000000000007E-2</v>
      </c>
      <c r="Y1212">
        <v>0.03</v>
      </c>
      <c r="Z1212">
        <v>0.13</v>
      </c>
      <c r="AA1212" s="20">
        <f>Table3[[#This Row],[APS]]*Table3[[#This Row],[PrimaComercial Anual]]</f>
        <v>131.60160000000002</v>
      </c>
      <c r="AB1212" s="8">
        <f>Table3[[#This Row],[PrimaComercial Anual]]*Table3[[#This Row],[Recargo adicional]]</f>
        <v>751.38289200000008</v>
      </c>
      <c r="AC1212" s="8">
        <f>Table3[[#This Row],[PrimaComercial Anual]]*Table3[[#This Row],[IT]]</f>
        <v>266.76</v>
      </c>
      <c r="AD1212" s="8">
        <f>Table3[[#This Row],[PrimaComercial Anual]]*Table3[[#This Row],[IVA]]</f>
        <v>1155.96</v>
      </c>
      <c r="AE1212" s="15">
        <f>Table3[[#This Row],[PrimaComercial Anual Asistencia]]</f>
        <v>8892</v>
      </c>
      <c r="AG1212">
        <v>8892</v>
      </c>
    </row>
    <row r="1213" spans="1:33" x14ac:dyDescent="0.25">
      <c r="A1213" t="s">
        <v>17</v>
      </c>
      <c r="B1213">
        <v>1750000</v>
      </c>
      <c r="C1213">
        <v>56</v>
      </c>
      <c r="D1213" s="2">
        <f>Table3[[#This Row],[PrimaTécnica]]-Table3[[#This Row],[PrimaTécnica]]*SUM(Table3[[#This Row],[Gastos Adm]:[Cobranza]])</f>
        <v>4616.6103681983996</v>
      </c>
      <c r="E1213">
        <v>0</v>
      </c>
      <c r="F1213">
        <v>0.15</v>
      </c>
      <c r="G1213">
        <v>0.05</v>
      </c>
      <c r="H1213">
        <v>0.01</v>
      </c>
      <c r="I1213">
        <v>0.01</v>
      </c>
      <c r="J1213" s="8">
        <f>Table3[[#This Row],[PrimaTécnica]]*Table3[[#This Row],[Gastos Adm]]</f>
        <v>887.80968619199984</v>
      </c>
      <c r="K1213" s="8">
        <f>Table3[[#This Row],[PrimaTécnica]]*Table3[[#This Row],[Utilidad]]</f>
        <v>295.93656206399999</v>
      </c>
      <c r="L1213" s="8">
        <f>Table3[[#This Row],[PrimaTécnica]]*Table3[[#This Row],[Marketing]]</f>
        <v>59.187312412799997</v>
      </c>
      <c r="M1213" s="8">
        <f>Table3[[#This Row],[PrimaTécnica]]*Table3[[#This Row],[Cobranza]]</f>
        <v>59.187312412799997</v>
      </c>
      <c r="N121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5918.7312412799993</v>
      </c>
      <c r="O1213">
        <v>21.84</v>
      </c>
      <c r="P1213">
        <v>54.6</v>
      </c>
      <c r="Q1213">
        <v>80.64</v>
      </c>
      <c r="R1213">
        <v>44.377200000000002</v>
      </c>
      <c r="S1213">
        <v>0.2</v>
      </c>
      <c r="T1213">
        <v>0.02</v>
      </c>
      <c r="U1213" s="8">
        <f>Table3[[#This Row],[PrimaNeta]]*Table3[[#This Row],[Comisión]]</f>
        <v>1530.04711032</v>
      </c>
      <c r="V1213" s="15">
        <f>Table3[[#This Row],[PrimaComercial Anual]]-Table3[[#This Row],[PrimaComercial Anual]]*SUM(Table3[[#This Row],[APS]:[IVA]])</f>
        <v>7650.2355515999998</v>
      </c>
      <c r="W1213" s="2">
        <v>1.4800000000000001E-2</v>
      </c>
      <c r="X1213" s="2">
        <v>8.4501000000000007E-2</v>
      </c>
      <c r="Y1213">
        <v>0.03</v>
      </c>
      <c r="Z1213">
        <v>0.13</v>
      </c>
      <c r="AA1213" s="20">
        <f>Table3[[#This Row],[APS]]*Table3[[#This Row],[PrimaComercial Anual]]</f>
        <v>152.86032</v>
      </c>
      <c r="AB1213" s="8">
        <f>Table3[[#This Row],[PrimaComercial Anual]]*Table3[[#This Row],[Recargo adicional]]</f>
        <v>872.76012839999999</v>
      </c>
      <c r="AC1213" s="8">
        <f>Table3[[#This Row],[PrimaComercial Anual]]*Table3[[#This Row],[IT]]</f>
        <v>309.85199999999998</v>
      </c>
      <c r="AD1213" s="8">
        <f>Table3[[#This Row],[PrimaComercial Anual]]*Table3[[#This Row],[IVA]]</f>
        <v>1342.692</v>
      </c>
      <c r="AE1213" s="15">
        <f>Table3[[#This Row],[PrimaComercial Anual Asistencia]]</f>
        <v>10328.4</v>
      </c>
      <c r="AG1213">
        <v>10328.4</v>
      </c>
    </row>
    <row r="1214" spans="1:33" x14ac:dyDescent="0.25">
      <c r="A1214" t="s">
        <v>17</v>
      </c>
      <c r="B1214">
        <v>1750000</v>
      </c>
      <c r="C1214">
        <v>57</v>
      </c>
      <c r="D1214" s="2">
        <f>Table3[[#This Row],[PrimaTécnica]]-Table3[[#This Row],[PrimaTécnica]]*SUM(Table3[[#This Row],[Gastos Adm]:[Cobranza]])</f>
        <v>4616.6103681983996</v>
      </c>
      <c r="E1214">
        <v>0</v>
      </c>
      <c r="F1214">
        <v>0.15</v>
      </c>
      <c r="G1214">
        <v>0.05</v>
      </c>
      <c r="H1214">
        <v>0.01</v>
      </c>
      <c r="I1214">
        <v>0.01</v>
      </c>
      <c r="J1214" s="8">
        <f>Table3[[#This Row],[PrimaTécnica]]*Table3[[#This Row],[Gastos Adm]]</f>
        <v>887.80968619199984</v>
      </c>
      <c r="K1214" s="8">
        <f>Table3[[#This Row],[PrimaTécnica]]*Table3[[#This Row],[Utilidad]]</f>
        <v>295.93656206399999</v>
      </c>
      <c r="L1214" s="8">
        <f>Table3[[#This Row],[PrimaTécnica]]*Table3[[#This Row],[Marketing]]</f>
        <v>59.187312412799997</v>
      </c>
      <c r="M1214" s="8">
        <f>Table3[[#This Row],[PrimaTécnica]]*Table3[[#This Row],[Cobranza]]</f>
        <v>59.187312412799997</v>
      </c>
      <c r="N121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5918.7312412799993</v>
      </c>
      <c r="O1214">
        <v>21.84</v>
      </c>
      <c r="P1214">
        <v>54.6</v>
      </c>
      <c r="Q1214">
        <v>80.64</v>
      </c>
      <c r="R1214">
        <v>44.377200000000002</v>
      </c>
      <c r="S1214">
        <v>0.2</v>
      </c>
      <c r="T1214">
        <v>0.02</v>
      </c>
      <c r="U1214" s="8">
        <f>Table3[[#This Row],[PrimaNeta]]*Table3[[#This Row],[Comisión]]</f>
        <v>1530.04711032</v>
      </c>
      <c r="V1214" s="15">
        <f>Table3[[#This Row],[PrimaComercial Anual]]-Table3[[#This Row],[PrimaComercial Anual]]*SUM(Table3[[#This Row],[APS]:[IVA]])</f>
        <v>7650.2355515999998</v>
      </c>
      <c r="W1214" s="2">
        <v>1.4800000000000001E-2</v>
      </c>
      <c r="X1214" s="2">
        <v>8.4501000000000007E-2</v>
      </c>
      <c r="Y1214">
        <v>0.03</v>
      </c>
      <c r="Z1214">
        <v>0.13</v>
      </c>
      <c r="AA1214" s="20">
        <f>Table3[[#This Row],[APS]]*Table3[[#This Row],[PrimaComercial Anual]]</f>
        <v>152.86032</v>
      </c>
      <c r="AB1214" s="8">
        <f>Table3[[#This Row],[PrimaComercial Anual]]*Table3[[#This Row],[Recargo adicional]]</f>
        <v>872.76012839999999</v>
      </c>
      <c r="AC1214" s="8">
        <f>Table3[[#This Row],[PrimaComercial Anual]]*Table3[[#This Row],[IT]]</f>
        <v>309.85199999999998</v>
      </c>
      <c r="AD1214" s="8">
        <f>Table3[[#This Row],[PrimaComercial Anual]]*Table3[[#This Row],[IVA]]</f>
        <v>1342.692</v>
      </c>
      <c r="AE1214" s="15">
        <f>Table3[[#This Row],[PrimaComercial Anual Asistencia]]</f>
        <v>10328.4</v>
      </c>
      <c r="AG1214">
        <v>10328.4</v>
      </c>
    </row>
    <row r="1215" spans="1:33" x14ac:dyDescent="0.25">
      <c r="A1215" t="s">
        <v>17</v>
      </c>
      <c r="B1215">
        <v>1750000</v>
      </c>
      <c r="C1215">
        <v>58</v>
      </c>
      <c r="D1215" s="2">
        <f>Table3[[#This Row],[PrimaTécnica]]-Table3[[#This Row],[PrimaTécnica]]*SUM(Table3[[#This Row],[Gastos Adm]:[Cobranza]])</f>
        <v>4616.6103681983996</v>
      </c>
      <c r="E1215">
        <v>0</v>
      </c>
      <c r="F1215">
        <v>0.15</v>
      </c>
      <c r="G1215">
        <v>0.05</v>
      </c>
      <c r="H1215">
        <v>0.01</v>
      </c>
      <c r="I1215">
        <v>0.01</v>
      </c>
      <c r="J1215" s="8">
        <f>Table3[[#This Row],[PrimaTécnica]]*Table3[[#This Row],[Gastos Adm]]</f>
        <v>887.80968619199984</v>
      </c>
      <c r="K1215" s="8">
        <f>Table3[[#This Row],[PrimaTécnica]]*Table3[[#This Row],[Utilidad]]</f>
        <v>295.93656206399999</v>
      </c>
      <c r="L1215" s="8">
        <f>Table3[[#This Row],[PrimaTécnica]]*Table3[[#This Row],[Marketing]]</f>
        <v>59.187312412799997</v>
      </c>
      <c r="M1215" s="8">
        <f>Table3[[#This Row],[PrimaTécnica]]*Table3[[#This Row],[Cobranza]]</f>
        <v>59.187312412799997</v>
      </c>
      <c r="N121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5918.7312412799993</v>
      </c>
      <c r="O1215">
        <v>21.84</v>
      </c>
      <c r="P1215">
        <v>54.6</v>
      </c>
      <c r="Q1215">
        <v>80.64</v>
      </c>
      <c r="R1215">
        <v>44.377200000000002</v>
      </c>
      <c r="S1215">
        <v>0.2</v>
      </c>
      <c r="T1215">
        <v>0.02</v>
      </c>
      <c r="U1215" s="8">
        <f>Table3[[#This Row],[PrimaNeta]]*Table3[[#This Row],[Comisión]]</f>
        <v>1530.04711032</v>
      </c>
      <c r="V1215" s="15">
        <f>Table3[[#This Row],[PrimaComercial Anual]]-Table3[[#This Row],[PrimaComercial Anual]]*SUM(Table3[[#This Row],[APS]:[IVA]])</f>
        <v>7650.2355515999998</v>
      </c>
      <c r="W1215" s="2">
        <v>1.4800000000000001E-2</v>
      </c>
      <c r="X1215" s="2">
        <v>8.4501000000000007E-2</v>
      </c>
      <c r="Y1215">
        <v>0.03</v>
      </c>
      <c r="Z1215">
        <v>0.13</v>
      </c>
      <c r="AA1215" s="20">
        <f>Table3[[#This Row],[APS]]*Table3[[#This Row],[PrimaComercial Anual]]</f>
        <v>152.86032</v>
      </c>
      <c r="AB1215" s="8">
        <f>Table3[[#This Row],[PrimaComercial Anual]]*Table3[[#This Row],[Recargo adicional]]</f>
        <v>872.76012839999999</v>
      </c>
      <c r="AC1215" s="8">
        <f>Table3[[#This Row],[PrimaComercial Anual]]*Table3[[#This Row],[IT]]</f>
        <v>309.85199999999998</v>
      </c>
      <c r="AD1215" s="8">
        <f>Table3[[#This Row],[PrimaComercial Anual]]*Table3[[#This Row],[IVA]]</f>
        <v>1342.692</v>
      </c>
      <c r="AE1215" s="15">
        <f>Table3[[#This Row],[PrimaComercial Anual Asistencia]]</f>
        <v>10328.4</v>
      </c>
      <c r="AG1215">
        <v>10328.4</v>
      </c>
    </row>
    <row r="1216" spans="1:33" x14ac:dyDescent="0.25">
      <c r="A1216" t="s">
        <v>17</v>
      </c>
      <c r="B1216">
        <v>1750000</v>
      </c>
      <c r="C1216">
        <v>59</v>
      </c>
      <c r="D1216" s="2">
        <f>Table3[[#This Row],[PrimaTécnica]]-Table3[[#This Row],[PrimaTécnica]]*SUM(Table3[[#This Row],[Gastos Adm]:[Cobranza]])</f>
        <v>4616.6103681983996</v>
      </c>
      <c r="E1216">
        <v>0</v>
      </c>
      <c r="F1216">
        <v>0.15</v>
      </c>
      <c r="G1216">
        <v>0.05</v>
      </c>
      <c r="H1216">
        <v>0.01</v>
      </c>
      <c r="I1216">
        <v>0.01</v>
      </c>
      <c r="J1216" s="8">
        <f>Table3[[#This Row],[PrimaTécnica]]*Table3[[#This Row],[Gastos Adm]]</f>
        <v>887.80968619199984</v>
      </c>
      <c r="K1216" s="8">
        <f>Table3[[#This Row],[PrimaTécnica]]*Table3[[#This Row],[Utilidad]]</f>
        <v>295.93656206399999</v>
      </c>
      <c r="L1216" s="8">
        <f>Table3[[#This Row],[PrimaTécnica]]*Table3[[#This Row],[Marketing]]</f>
        <v>59.187312412799997</v>
      </c>
      <c r="M1216" s="8">
        <f>Table3[[#This Row],[PrimaTécnica]]*Table3[[#This Row],[Cobranza]]</f>
        <v>59.187312412799997</v>
      </c>
      <c r="N121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5918.7312412799993</v>
      </c>
      <c r="O1216">
        <v>21.84</v>
      </c>
      <c r="P1216">
        <v>54.6</v>
      </c>
      <c r="Q1216">
        <v>80.64</v>
      </c>
      <c r="R1216">
        <v>44.377200000000002</v>
      </c>
      <c r="S1216">
        <v>0.2</v>
      </c>
      <c r="T1216">
        <v>0.02</v>
      </c>
      <c r="U1216" s="8">
        <f>Table3[[#This Row],[PrimaNeta]]*Table3[[#This Row],[Comisión]]</f>
        <v>1530.04711032</v>
      </c>
      <c r="V1216" s="15">
        <f>Table3[[#This Row],[PrimaComercial Anual]]-Table3[[#This Row],[PrimaComercial Anual]]*SUM(Table3[[#This Row],[APS]:[IVA]])</f>
        <v>7650.2355515999998</v>
      </c>
      <c r="W1216" s="2">
        <v>1.4800000000000001E-2</v>
      </c>
      <c r="X1216" s="2">
        <v>8.4501000000000007E-2</v>
      </c>
      <c r="Y1216">
        <v>0.03</v>
      </c>
      <c r="Z1216">
        <v>0.13</v>
      </c>
      <c r="AA1216" s="20">
        <f>Table3[[#This Row],[APS]]*Table3[[#This Row],[PrimaComercial Anual]]</f>
        <v>152.86032</v>
      </c>
      <c r="AB1216" s="8">
        <f>Table3[[#This Row],[PrimaComercial Anual]]*Table3[[#This Row],[Recargo adicional]]</f>
        <v>872.76012839999999</v>
      </c>
      <c r="AC1216" s="8">
        <f>Table3[[#This Row],[PrimaComercial Anual]]*Table3[[#This Row],[IT]]</f>
        <v>309.85199999999998</v>
      </c>
      <c r="AD1216" s="8">
        <f>Table3[[#This Row],[PrimaComercial Anual]]*Table3[[#This Row],[IVA]]</f>
        <v>1342.692</v>
      </c>
      <c r="AE1216" s="15">
        <f>Table3[[#This Row],[PrimaComercial Anual Asistencia]]</f>
        <v>10328.4</v>
      </c>
      <c r="AG1216">
        <v>10328.4</v>
      </c>
    </row>
    <row r="1217" spans="1:33" x14ac:dyDescent="0.25">
      <c r="A1217" t="s">
        <v>17</v>
      </c>
      <c r="B1217">
        <v>1750000</v>
      </c>
      <c r="C1217">
        <v>60</v>
      </c>
      <c r="D1217" s="2">
        <f>Table3[[#This Row],[PrimaTécnica]]-Table3[[#This Row],[PrimaTécnica]]*SUM(Table3[[#This Row],[Gastos Adm]:[Cobranza]])</f>
        <v>7493.504246092798</v>
      </c>
      <c r="E1217">
        <v>0</v>
      </c>
      <c r="F1217">
        <v>0.15</v>
      </c>
      <c r="G1217">
        <v>0.05</v>
      </c>
      <c r="H1217">
        <v>0.01</v>
      </c>
      <c r="I1217">
        <v>0.01</v>
      </c>
      <c r="J1217" s="8">
        <f>Table3[[#This Row],[PrimaTécnica]]*Table3[[#This Row],[Gastos Adm]]</f>
        <v>1441.0585088639996</v>
      </c>
      <c r="K1217" s="8">
        <f>Table3[[#This Row],[PrimaTécnica]]*Table3[[#This Row],[Utilidad]]</f>
        <v>480.35283628799993</v>
      </c>
      <c r="L1217" s="8">
        <f>Table3[[#This Row],[PrimaTécnica]]*Table3[[#This Row],[Marketing]]</f>
        <v>96.070567257599976</v>
      </c>
      <c r="M1217" s="8">
        <f>Table3[[#This Row],[PrimaTécnica]]*Table3[[#This Row],[Cobranza]]</f>
        <v>96.070567257599976</v>
      </c>
      <c r="N121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9607.0567257599978</v>
      </c>
      <c r="O1217">
        <v>21.84</v>
      </c>
      <c r="P1217">
        <v>54.6</v>
      </c>
      <c r="Q1217">
        <v>80.64</v>
      </c>
      <c r="R1217">
        <v>44.377200000000002</v>
      </c>
      <c r="S1217">
        <v>0.2</v>
      </c>
      <c r="T1217">
        <v>0.02</v>
      </c>
      <c r="U1217" s="8">
        <f>Table3[[#This Row],[PrimaNeta]]*Table3[[#This Row],[Comisión]]</f>
        <v>2452.1284814400001</v>
      </c>
      <c r="V1217" s="15">
        <f>Table3[[#This Row],[PrimaComercial Anual]]-Table3[[#This Row],[PrimaComercial Anual]]*SUM(Table3[[#This Row],[APS]:[IVA]])</f>
        <v>12260.642407199999</v>
      </c>
      <c r="W1217" s="2">
        <v>1.4800000000000001E-2</v>
      </c>
      <c r="X1217" s="2">
        <v>8.4501000000000007E-2</v>
      </c>
      <c r="Y1217">
        <v>0.03</v>
      </c>
      <c r="Z1217">
        <v>0.13</v>
      </c>
      <c r="AA1217" s="20">
        <f>Table3[[#This Row],[APS]]*Table3[[#This Row],[PrimaComercial Anual]]</f>
        <v>244.98143999999999</v>
      </c>
      <c r="AB1217" s="8">
        <f>Table3[[#This Row],[PrimaComercial Anual]]*Table3[[#This Row],[Recargo adicional]]</f>
        <v>1398.7281528000001</v>
      </c>
      <c r="AC1217" s="8">
        <f>Table3[[#This Row],[PrimaComercial Anual]]*Table3[[#This Row],[IT]]</f>
        <v>496.58399999999995</v>
      </c>
      <c r="AD1217" s="8">
        <f>Table3[[#This Row],[PrimaComercial Anual]]*Table3[[#This Row],[IVA]]</f>
        <v>2151.864</v>
      </c>
      <c r="AE1217" s="15">
        <f>Table3[[#This Row],[PrimaComercial Anual Asistencia]]</f>
        <v>16552.8</v>
      </c>
      <c r="AG1217">
        <v>16552.8</v>
      </c>
    </row>
    <row r="1218" spans="1:33" x14ac:dyDescent="0.25">
      <c r="A1218" t="s">
        <v>17</v>
      </c>
      <c r="B1218">
        <v>1750000</v>
      </c>
      <c r="C1218">
        <v>61</v>
      </c>
      <c r="D1218" s="2">
        <f>Table3[[#This Row],[PrimaTécnica]]-Table3[[#This Row],[PrimaTécnica]]*SUM(Table3[[#This Row],[Gastos Adm]:[Cobranza]])</f>
        <v>7493.504246092798</v>
      </c>
      <c r="E1218">
        <v>0</v>
      </c>
      <c r="F1218">
        <v>0.15</v>
      </c>
      <c r="G1218">
        <v>0.05</v>
      </c>
      <c r="H1218">
        <v>0.01</v>
      </c>
      <c r="I1218">
        <v>0.01</v>
      </c>
      <c r="J1218" s="8">
        <f>Table3[[#This Row],[PrimaTécnica]]*Table3[[#This Row],[Gastos Adm]]</f>
        <v>1441.0585088639996</v>
      </c>
      <c r="K1218" s="8">
        <f>Table3[[#This Row],[PrimaTécnica]]*Table3[[#This Row],[Utilidad]]</f>
        <v>480.35283628799993</v>
      </c>
      <c r="L1218" s="8">
        <f>Table3[[#This Row],[PrimaTécnica]]*Table3[[#This Row],[Marketing]]</f>
        <v>96.070567257599976</v>
      </c>
      <c r="M1218" s="8">
        <f>Table3[[#This Row],[PrimaTécnica]]*Table3[[#This Row],[Cobranza]]</f>
        <v>96.070567257599976</v>
      </c>
      <c r="N121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9607.0567257599978</v>
      </c>
      <c r="O1218">
        <v>21.84</v>
      </c>
      <c r="P1218">
        <v>54.6</v>
      </c>
      <c r="Q1218">
        <v>80.64</v>
      </c>
      <c r="R1218">
        <v>44.377200000000002</v>
      </c>
      <c r="S1218">
        <v>0.2</v>
      </c>
      <c r="T1218">
        <v>0.02</v>
      </c>
      <c r="U1218" s="8">
        <f>Table3[[#This Row],[PrimaNeta]]*Table3[[#This Row],[Comisión]]</f>
        <v>2452.1284814400001</v>
      </c>
      <c r="V1218" s="15">
        <f>Table3[[#This Row],[PrimaComercial Anual]]-Table3[[#This Row],[PrimaComercial Anual]]*SUM(Table3[[#This Row],[APS]:[IVA]])</f>
        <v>12260.642407199999</v>
      </c>
      <c r="W1218" s="2">
        <v>1.4800000000000001E-2</v>
      </c>
      <c r="X1218" s="2">
        <v>8.4501000000000007E-2</v>
      </c>
      <c r="Y1218">
        <v>0.03</v>
      </c>
      <c r="Z1218">
        <v>0.13</v>
      </c>
      <c r="AA1218" s="20">
        <f>Table3[[#This Row],[APS]]*Table3[[#This Row],[PrimaComercial Anual]]</f>
        <v>244.98143999999999</v>
      </c>
      <c r="AB1218" s="8">
        <f>Table3[[#This Row],[PrimaComercial Anual]]*Table3[[#This Row],[Recargo adicional]]</f>
        <v>1398.7281528000001</v>
      </c>
      <c r="AC1218" s="8">
        <f>Table3[[#This Row],[PrimaComercial Anual]]*Table3[[#This Row],[IT]]</f>
        <v>496.58399999999995</v>
      </c>
      <c r="AD1218" s="8">
        <f>Table3[[#This Row],[PrimaComercial Anual]]*Table3[[#This Row],[IVA]]</f>
        <v>2151.864</v>
      </c>
      <c r="AE1218" s="15">
        <f>Table3[[#This Row],[PrimaComercial Anual Asistencia]]</f>
        <v>16552.8</v>
      </c>
      <c r="AG1218">
        <v>16552.8</v>
      </c>
    </row>
    <row r="1219" spans="1:33" x14ac:dyDescent="0.25">
      <c r="A1219" t="s">
        <v>17</v>
      </c>
      <c r="B1219">
        <v>1750000</v>
      </c>
      <c r="C1219">
        <v>62</v>
      </c>
      <c r="D1219" s="2">
        <f>Table3[[#This Row],[PrimaTécnica]]-Table3[[#This Row],[PrimaTécnica]]*SUM(Table3[[#This Row],[Gastos Adm]:[Cobranza]])</f>
        <v>7493.504246092798</v>
      </c>
      <c r="E1219">
        <v>0</v>
      </c>
      <c r="F1219">
        <v>0.15</v>
      </c>
      <c r="G1219">
        <v>0.05</v>
      </c>
      <c r="H1219">
        <v>0.01</v>
      </c>
      <c r="I1219">
        <v>0.01</v>
      </c>
      <c r="J1219" s="8">
        <f>Table3[[#This Row],[PrimaTécnica]]*Table3[[#This Row],[Gastos Adm]]</f>
        <v>1441.0585088639996</v>
      </c>
      <c r="K1219" s="8">
        <f>Table3[[#This Row],[PrimaTécnica]]*Table3[[#This Row],[Utilidad]]</f>
        <v>480.35283628799993</v>
      </c>
      <c r="L1219" s="8">
        <f>Table3[[#This Row],[PrimaTécnica]]*Table3[[#This Row],[Marketing]]</f>
        <v>96.070567257599976</v>
      </c>
      <c r="M1219" s="8">
        <f>Table3[[#This Row],[PrimaTécnica]]*Table3[[#This Row],[Cobranza]]</f>
        <v>96.070567257599976</v>
      </c>
      <c r="N121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9607.0567257599978</v>
      </c>
      <c r="O1219">
        <v>21.84</v>
      </c>
      <c r="P1219">
        <v>54.6</v>
      </c>
      <c r="Q1219">
        <v>80.64</v>
      </c>
      <c r="R1219">
        <v>44.377200000000002</v>
      </c>
      <c r="S1219">
        <v>0.2</v>
      </c>
      <c r="T1219">
        <v>0.02</v>
      </c>
      <c r="U1219" s="8">
        <f>Table3[[#This Row],[PrimaNeta]]*Table3[[#This Row],[Comisión]]</f>
        <v>2452.1284814400001</v>
      </c>
      <c r="V1219" s="15">
        <f>Table3[[#This Row],[PrimaComercial Anual]]-Table3[[#This Row],[PrimaComercial Anual]]*SUM(Table3[[#This Row],[APS]:[IVA]])</f>
        <v>12260.642407199999</v>
      </c>
      <c r="W1219" s="2">
        <v>1.4800000000000001E-2</v>
      </c>
      <c r="X1219" s="2">
        <v>8.4501000000000007E-2</v>
      </c>
      <c r="Y1219">
        <v>0.03</v>
      </c>
      <c r="Z1219">
        <v>0.13</v>
      </c>
      <c r="AA1219" s="20">
        <f>Table3[[#This Row],[APS]]*Table3[[#This Row],[PrimaComercial Anual]]</f>
        <v>244.98143999999999</v>
      </c>
      <c r="AB1219" s="8">
        <f>Table3[[#This Row],[PrimaComercial Anual]]*Table3[[#This Row],[Recargo adicional]]</f>
        <v>1398.7281528000001</v>
      </c>
      <c r="AC1219" s="8">
        <f>Table3[[#This Row],[PrimaComercial Anual]]*Table3[[#This Row],[IT]]</f>
        <v>496.58399999999995</v>
      </c>
      <c r="AD1219" s="8">
        <f>Table3[[#This Row],[PrimaComercial Anual]]*Table3[[#This Row],[IVA]]</f>
        <v>2151.864</v>
      </c>
      <c r="AE1219" s="15">
        <f>Table3[[#This Row],[PrimaComercial Anual Asistencia]]</f>
        <v>16552.8</v>
      </c>
      <c r="AG1219">
        <v>16552.8</v>
      </c>
    </row>
    <row r="1220" spans="1:33" x14ac:dyDescent="0.25">
      <c r="A1220" t="s">
        <v>17</v>
      </c>
      <c r="B1220">
        <v>1750000</v>
      </c>
      <c r="C1220">
        <v>63</v>
      </c>
      <c r="D1220" s="2">
        <f>Table3[[#This Row],[PrimaTécnica]]-Table3[[#This Row],[PrimaTécnica]]*SUM(Table3[[#This Row],[Gastos Adm]:[Cobranza]])</f>
        <v>7493.504246092798</v>
      </c>
      <c r="E1220">
        <v>0</v>
      </c>
      <c r="F1220">
        <v>0.15</v>
      </c>
      <c r="G1220">
        <v>0.05</v>
      </c>
      <c r="H1220">
        <v>0.01</v>
      </c>
      <c r="I1220">
        <v>0.01</v>
      </c>
      <c r="J1220" s="8">
        <f>Table3[[#This Row],[PrimaTécnica]]*Table3[[#This Row],[Gastos Adm]]</f>
        <v>1441.0585088639996</v>
      </c>
      <c r="K1220" s="8">
        <f>Table3[[#This Row],[PrimaTécnica]]*Table3[[#This Row],[Utilidad]]</f>
        <v>480.35283628799993</v>
      </c>
      <c r="L1220" s="8">
        <f>Table3[[#This Row],[PrimaTécnica]]*Table3[[#This Row],[Marketing]]</f>
        <v>96.070567257599976</v>
      </c>
      <c r="M1220" s="8">
        <f>Table3[[#This Row],[PrimaTécnica]]*Table3[[#This Row],[Cobranza]]</f>
        <v>96.070567257599976</v>
      </c>
      <c r="N122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9607.0567257599978</v>
      </c>
      <c r="O1220">
        <v>21.84</v>
      </c>
      <c r="P1220">
        <v>54.6</v>
      </c>
      <c r="Q1220">
        <v>80.64</v>
      </c>
      <c r="R1220">
        <v>44.377200000000002</v>
      </c>
      <c r="S1220">
        <v>0.2</v>
      </c>
      <c r="T1220">
        <v>0.02</v>
      </c>
      <c r="U1220" s="8">
        <f>Table3[[#This Row],[PrimaNeta]]*Table3[[#This Row],[Comisión]]</f>
        <v>2452.1284814400001</v>
      </c>
      <c r="V1220" s="15">
        <f>Table3[[#This Row],[PrimaComercial Anual]]-Table3[[#This Row],[PrimaComercial Anual]]*SUM(Table3[[#This Row],[APS]:[IVA]])</f>
        <v>12260.642407199999</v>
      </c>
      <c r="W1220" s="2">
        <v>1.4800000000000001E-2</v>
      </c>
      <c r="X1220" s="2">
        <v>8.4501000000000007E-2</v>
      </c>
      <c r="Y1220">
        <v>0.03</v>
      </c>
      <c r="Z1220">
        <v>0.13</v>
      </c>
      <c r="AA1220" s="20">
        <f>Table3[[#This Row],[APS]]*Table3[[#This Row],[PrimaComercial Anual]]</f>
        <v>244.98143999999999</v>
      </c>
      <c r="AB1220" s="8">
        <f>Table3[[#This Row],[PrimaComercial Anual]]*Table3[[#This Row],[Recargo adicional]]</f>
        <v>1398.7281528000001</v>
      </c>
      <c r="AC1220" s="8">
        <f>Table3[[#This Row],[PrimaComercial Anual]]*Table3[[#This Row],[IT]]</f>
        <v>496.58399999999995</v>
      </c>
      <c r="AD1220" s="8">
        <f>Table3[[#This Row],[PrimaComercial Anual]]*Table3[[#This Row],[IVA]]</f>
        <v>2151.864</v>
      </c>
      <c r="AE1220" s="15">
        <f>Table3[[#This Row],[PrimaComercial Anual Asistencia]]</f>
        <v>16552.8</v>
      </c>
      <c r="AG1220">
        <v>16552.8</v>
      </c>
    </row>
    <row r="1221" spans="1:33" x14ac:dyDescent="0.25">
      <c r="A1221" t="s">
        <v>17</v>
      </c>
      <c r="B1221">
        <v>1750000</v>
      </c>
      <c r="C1221">
        <v>64</v>
      </c>
      <c r="D1221" s="2">
        <f>Table3[[#This Row],[PrimaTécnica]]-Table3[[#This Row],[PrimaTécnica]]*SUM(Table3[[#This Row],[Gastos Adm]:[Cobranza]])</f>
        <v>7493.504246092798</v>
      </c>
      <c r="E1221">
        <v>0</v>
      </c>
      <c r="F1221">
        <v>0.15</v>
      </c>
      <c r="G1221">
        <v>0.05</v>
      </c>
      <c r="H1221">
        <v>0.01</v>
      </c>
      <c r="I1221">
        <v>0.01</v>
      </c>
      <c r="J1221" s="8">
        <f>Table3[[#This Row],[PrimaTécnica]]*Table3[[#This Row],[Gastos Adm]]</f>
        <v>1441.0585088639996</v>
      </c>
      <c r="K1221" s="8">
        <f>Table3[[#This Row],[PrimaTécnica]]*Table3[[#This Row],[Utilidad]]</f>
        <v>480.35283628799993</v>
      </c>
      <c r="L1221" s="8">
        <f>Table3[[#This Row],[PrimaTécnica]]*Table3[[#This Row],[Marketing]]</f>
        <v>96.070567257599976</v>
      </c>
      <c r="M1221" s="8">
        <f>Table3[[#This Row],[PrimaTécnica]]*Table3[[#This Row],[Cobranza]]</f>
        <v>96.070567257599976</v>
      </c>
      <c r="N122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9607.0567257599978</v>
      </c>
      <c r="O1221">
        <v>21.84</v>
      </c>
      <c r="P1221">
        <v>54.6</v>
      </c>
      <c r="Q1221">
        <v>80.64</v>
      </c>
      <c r="R1221">
        <v>44.377200000000002</v>
      </c>
      <c r="S1221">
        <v>0.2</v>
      </c>
      <c r="T1221">
        <v>0.02</v>
      </c>
      <c r="U1221" s="8">
        <f>Table3[[#This Row],[PrimaNeta]]*Table3[[#This Row],[Comisión]]</f>
        <v>2452.1284814400001</v>
      </c>
      <c r="V1221" s="15">
        <f>Table3[[#This Row],[PrimaComercial Anual]]-Table3[[#This Row],[PrimaComercial Anual]]*SUM(Table3[[#This Row],[APS]:[IVA]])</f>
        <v>12260.642407199999</v>
      </c>
      <c r="W1221" s="2">
        <v>1.4800000000000001E-2</v>
      </c>
      <c r="X1221" s="2">
        <v>8.4501000000000007E-2</v>
      </c>
      <c r="Y1221">
        <v>0.03</v>
      </c>
      <c r="Z1221">
        <v>0.13</v>
      </c>
      <c r="AA1221" s="20">
        <f>Table3[[#This Row],[APS]]*Table3[[#This Row],[PrimaComercial Anual]]</f>
        <v>244.98143999999999</v>
      </c>
      <c r="AB1221" s="8">
        <f>Table3[[#This Row],[PrimaComercial Anual]]*Table3[[#This Row],[Recargo adicional]]</f>
        <v>1398.7281528000001</v>
      </c>
      <c r="AC1221" s="8">
        <f>Table3[[#This Row],[PrimaComercial Anual]]*Table3[[#This Row],[IT]]</f>
        <v>496.58399999999995</v>
      </c>
      <c r="AD1221" s="8">
        <f>Table3[[#This Row],[PrimaComercial Anual]]*Table3[[#This Row],[IVA]]</f>
        <v>2151.864</v>
      </c>
      <c r="AE1221" s="15">
        <f>Table3[[#This Row],[PrimaComercial Anual Asistencia]]</f>
        <v>16552.8</v>
      </c>
      <c r="AG1221">
        <v>16552.8</v>
      </c>
    </row>
    <row r="1222" spans="1:33" x14ac:dyDescent="0.25">
      <c r="A1222" t="s">
        <v>17</v>
      </c>
      <c r="B1222">
        <v>1750000</v>
      </c>
      <c r="C1222">
        <v>65</v>
      </c>
      <c r="D1222" s="2">
        <f>Table3[[#This Row],[PrimaTécnica]]-Table3[[#This Row],[PrimaTécnica]]*SUM(Table3[[#This Row],[Gastos Adm]:[Cobranza]])</f>
        <v>10517.931143366399</v>
      </c>
      <c r="E1222">
        <v>0</v>
      </c>
      <c r="F1222">
        <v>0.15</v>
      </c>
      <c r="G1222">
        <v>0.05</v>
      </c>
      <c r="H1222">
        <v>0.01</v>
      </c>
      <c r="I1222">
        <v>0.01</v>
      </c>
      <c r="J1222" s="8">
        <f>Table3[[#This Row],[PrimaTécnica]]*Table3[[#This Row],[Gastos Adm]]</f>
        <v>2022.6790660319998</v>
      </c>
      <c r="K1222" s="8">
        <f>Table3[[#This Row],[PrimaTécnica]]*Table3[[#This Row],[Utilidad]]</f>
        <v>674.22635534400001</v>
      </c>
      <c r="L1222" s="8">
        <f>Table3[[#This Row],[PrimaTécnica]]*Table3[[#This Row],[Marketing]]</f>
        <v>134.8452710688</v>
      </c>
      <c r="M1222" s="8">
        <f>Table3[[#This Row],[PrimaTécnica]]*Table3[[#This Row],[Cobranza]]</f>
        <v>134.8452710688</v>
      </c>
      <c r="N122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13484.527106879999</v>
      </c>
      <c r="O1222">
        <v>21.84</v>
      </c>
      <c r="P1222">
        <v>54.6</v>
      </c>
      <c r="Q1222">
        <v>80.64</v>
      </c>
      <c r="R1222">
        <v>44.377200000000002</v>
      </c>
      <c r="S1222">
        <v>0.2</v>
      </c>
      <c r="T1222">
        <v>0.02</v>
      </c>
      <c r="U1222" s="8">
        <f>Table3[[#This Row],[PrimaNeta]]*Table3[[#This Row],[Comisión]]</f>
        <v>3421.49607672</v>
      </c>
      <c r="V1222" s="15">
        <f>Table3[[#This Row],[PrimaComercial Anual]]-Table3[[#This Row],[PrimaComercial Anual]]*SUM(Table3[[#This Row],[APS]:[IVA]])</f>
        <v>17107.480383599999</v>
      </c>
      <c r="W1222" s="2">
        <v>1.4800000000000001E-2</v>
      </c>
      <c r="X1222" s="2">
        <v>8.4501000000000007E-2</v>
      </c>
      <c r="Y1222">
        <v>0.03</v>
      </c>
      <c r="Z1222">
        <v>0.13</v>
      </c>
      <c r="AA1222" s="20">
        <f>Table3[[#This Row],[APS]]*Table3[[#This Row],[PrimaComercial Anual]]</f>
        <v>341.82672000000002</v>
      </c>
      <c r="AB1222" s="8">
        <f>Table3[[#This Row],[PrimaComercial Anual]]*Table3[[#This Row],[Recargo adicional]]</f>
        <v>1951.6688964000002</v>
      </c>
      <c r="AC1222" s="8">
        <f>Table3[[#This Row],[PrimaComercial Anual]]*Table3[[#This Row],[IT]]</f>
        <v>692.89200000000005</v>
      </c>
      <c r="AD1222" s="8">
        <f>Table3[[#This Row],[PrimaComercial Anual]]*Table3[[#This Row],[IVA]]</f>
        <v>3002.5320000000002</v>
      </c>
      <c r="AE1222" s="15">
        <f>Table3[[#This Row],[PrimaComercial Anual Asistencia]]</f>
        <v>23096.400000000001</v>
      </c>
      <c r="AG1222">
        <v>23096.400000000001</v>
      </c>
    </row>
    <row r="1223" spans="1:33" x14ac:dyDescent="0.25">
      <c r="A1223" t="s">
        <v>17</v>
      </c>
      <c r="B1223">
        <v>1750000</v>
      </c>
      <c r="C1223">
        <v>66</v>
      </c>
      <c r="D1223" s="2">
        <f>Table3[[#This Row],[PrimaTécnica]]-Table3[[#This Row],[PrimaTécnica]]*SUM(Table3[[#This Row],[Gastos Adm]:[Cobranza]])</f>
        <v>10517.931143366399</v>
      </c>
      <c r="E1223">
        <v>0</v>
      </c>
      <c r="F1223">
        <v>0.15</v>
      </c>
      <c r="G1223">
        <v>0.05</v>
      </c>
      <c r="H1223">
        <v>0.01</v>
      </c>
      <c r="I1223">
        <v>0.01</v>
      </c>
      <c r="J1223" s="8">
        <f>Table3[[#This Row],[PrimaTécnica]]*Table3[[#This Row],[Gastos Adm]]</f>
        <v>2022.6790660319998</v>
      </c>
      <c r="K1223" s="8">
        <f>Table3[[#This Row],[PrimaTécnica]]*Table3[[#This Row],[Utilidad]]</f>
        <v>674.22635534400001</v>
      </c>
      <c r="L1223" s="8">
        <f>Table3[[#This Row],[PrimaTécnica]]*Table3[[#This Row],[Marketing]]</f>
        <v>134.8452710688</v>
      </c>
      <c r="M1223" s="8">
        <f>Table3[[#This Row],[PrimaTécnica]]*Table3[[#This Row],[Cobranza]]</f>
        <v>134.8452710688</v>
      </c>
      <c r="N122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13484.527106879999</v>
      </c>
      <c r="O1223">
        <v>21.84</v>
      </c>
      <c r="P1223">
        <v>54.6</v>
      </c>
      <c r="Q1223">
        <v>80.64</v>
      </c>
      <c r="R1223">
        <v>44.377200000000002</v>
      </c>
      <c r="S1223">
        <v>0.2</v>
      </c>
      <c r="T1223">
        <v>0.02</v>
      </c>
      <c r="U1223" s="8">
        <f>Table3[[#This Row],[PrimaNeta]]*Table3[[#This Row],[Comisión]]</f>
        <v>3421.49607672</v>
      </c>
      <c r="V1223" s="15">
        <f>Table3[[#This Row],[PrimaComercial Anual]]-Table3[[#This Row],[PrimaComercial Anual]]*SUM(Table3[[#This Row],[APS]:[IVA]])</f>
        <v>17107.480383599999</v>
      </c>
      <c r="W1223" s="2">
        <v>1.4800000000000001E-2</v>
      </c>
      <c r="X1223" s="2">
        <v>8.4501000000000007E-2</v>
      </c>
      <c r="Y1223">
        <v>0.03</v>
      </c>
      <c r="Z1223">
        <v>0.13</v>
      </c>
      <c r="AA1223" s="20">
        <f>Table3[[#This Row],[APS]]*Table3[[#This Row],[PrimaComercial Anual]]</f>
        <v>341.82672000000002</v>
      </c>
      <c r="AB1223" s="8">
        <f>Table3[[#This Row],[PrimaComercial Anual]]*Table3[[#This Row],[Recargo adicional]]</f>
        <v>1951.6688964000002</v>
      </c>
      <c r="AC1223" s="8">
        <f>Table3[[#This Row],[PrimaComercial Anual]]*Table3[[#This Row],[IT]]</f>
        <v>692.89200000000005</v>
      </c>
      <c r="AD1223" s="8">
        <f>Table3[[#This Row],[PrimaComercial Anual]]*Table3[[#This Row],[IVA]]</f>
        <v>3002.5320000000002</v>
      </c>
      <c r="AE1223" s="15">
        <f>Table3[[#This Row],[PrimaComercial Anual Asistencia]]</f>
        <v>23096.400000000001</v>
      </c>
      <c r="AG1223">
        <v>23096.400000000001</v>
      </c>
    </row>
    <row r="1224" spans="1:33" x14ac:dyDescent="0.25">
      <c r="A1224" t="s">
        <v>17</v>
      </c>
      <c r="B1224">
        <v>1750000</v>
      </c>
      <c r="C1224">
        <v>67</v>
      </c>
      <c r="D1224" s="2">
        <f>Table3[[#This Row],[PrimaTécnica]]-Table3[[#This Row],[PrimaTécnica]]*SUM(Table3[[#This Row],[Gastos Adm]:[Cobranza]])</f>
        <v>10517.931143366399</v>
      </c>
      <c r="E1224">
        <v>0</v>
      </c>
      <c r="F1224">
        <v>0.15</v>
      </c>
      <c r="G1224">
        <v>0.05</v>
      </c>
      <c r="H1224">
        <v>0.01</v>
      </c>
      <c r="I1224">
        <v>0.01</v>
      </c>
      <c r="J1224" s="8">
        <f>Table3[[#This Row],[PrimaTécnica]]*Table3[[#This Row],[Gastos Adm]]</f>
        <v>2022.6790660319998</v>
      </c>
      <c r="K1224" s="8">
        <f>Table3[[#This Row],[PrimaTécnica]]*Table3[[#This Row],[Utilidad]]</f>
        <v>674.22635534400001</v>
      </c>
      <c r="L1224" s="8">
        <f>Table3[[#This Row],[PrimaTécnica]]*Table3[[#This Row],[Marketing]]</f>
        <v>134.8452710688</v>
      </c>
      <c r="M1224" s="8">
        <f>Table3[[#This Row],[PrimaTécnica]]*Table3[[#This Row],[Cobranza]]</f>
        <v>134.8452710688</v>
      </c>
      <c r="N122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13484.527106879999</v>
      </c>
      <c r="O1224">
        <v>21.84</v>
      </c>
      <c r="P1224">
        <v>54.6</v>
      </c>
      <c r="Q1224">
        <v>80.64</v>
      </c>
      <c r="R1224">
        <v>44.377200000000002</v>
      </c>
      <c r="S1224">
        <v>0.2</v>
      </c>
      <c r="T1224">
        <v>0.02</v>
      </c>
      <c r="U1224" s="8">
        <f>Table3[[#This Row],[PrimaNeta]]*Table3[[#This Row],[Comisión]]</f>
        <v>3421.49607672</v>
      </c>
      <c r="V1224" s="15">
        <f>Table3[[#This Row],[PrimaComercial Anual]]-Table3[[#This Row],[PrimaComercial Anual]]*SUM(Table3[[#This Row],[APS]:[IVA]])</f>
        <v>17107.480383599999</v>
      </c>
      <c r="W1224" s="2">
        <v>1.4800000000000001E-2</v>
      </c>
      <c r="X1224" s="2">
        <v>8.4501000000000007E-2</v>
      </c>
      <c r="Y1224">
        <v>0.03</v>
      </c>
      <c r="Z1224">
        <v>0.13</v>
      </c>
      <c r="AA1224" s="20">
        <f>Table3[[#This Row],[APS]]*Table3[[#This Row],[PrimaComercial Anual]]</f>
        <v>341.82672000000002</v>
      </c>
      <c r="AB1224" s="8">
        <f>Table3[[#This Row],[PrimaComercial Anual]]*Table3[[#This Row],[Recargo adicional]]</f>
        <v>1951.6688964000002</v>
      </c>
      <c r="AC1224" s="8">
        <f>Table3[[#This Row],[PrimaComercial Anual]]*Table3[[#This Row],[IT]]</f>
        <v>692.89200000000005</v>
      </c>
      <c r="AD1224" s="8">
        <f>Table3[[#This Row],[PrimaComercial Anual]]*Table3[[#This Row],[IVA]]</f>
        <v>3002.5320000000002</v>
      </c>
      <c r="AE1224" s="15">
        <f>Table3[[#This Row],[PrimaComercial Anual Asistencia]]</f>
        <v>23096.400000000001</v>
      </c>
      <c r="AG1224">
        <v>23096.400000000001</v>
      </c>
    </row>
    <row r="1225" spans="1:33" x14ac:dyDescent="0.25">
      <c r="A1225" t="s">
        <v>17</v>
      </c>
      <c r="B1225">
        <v>1750000</v>
      </c>
      <c r="C1225">
        <v>68</v>
      </c>
      <c r="D1225" s="2">
        <f>Table3[[#This Row],[PrimaTécnica]]-Table3[[#This Row],[PrimaTécnica]]*SUM(Table3[[#This Row],[Gastos Adm]:[Cobranza]])</f>
        <v>10517.931143366399</v>
      </c>
      <c r="E1225">
        <v>0</v>
      </c>
      <c r="F1225">
        <v>0.15</v>
      </c>
      <c r="G1225">
        <v>0.05</v>
      </c>
      <c r="H1225">
        <v>0.01</v>
      </c>
      <c r="I1225">
        <v>0.01</v>
      </c>
      <c r="J1225" s="8">
        <f>Table3[[#This Row],[PrimaTécnica]]*Table3[[#This Row],[Gastos Adm]]</f>
        <v>2022.6790660319998</v>
      </c>
      <c r="K1225" s="8">
        <f>Table3[[#This Row],[PrimaTécnica]]*Table3[[#This Row],[Utilidad]]</f>
        <v>674.22635534400001</v>
      </c>
      <c r="L1225" s="8">
        <f>Table3[[#This Row],[PrimaTécnica]]*Table3[[#This Row],[Marketing]]</f>
        <v>134.8452710688</v>
      </c>
      <c r="M1225" s="8">
        <f>Table3[[#This Row],[PrimaTécnica]]*Table3[[#This Row],[Cobranza]]</f>
        <v>134.8452710688</v>
      </c>
      <c r="N122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13484.527106879999</v>
      </c>
      <c r="O1225">
        <v>21.84</v>
      </c>
      <c r="P1225">
        <v>54.6</v>
      </c>
      <c r="Q1225">
        <v>80.64</v>
      </c>
      <c r="R1225">
        <v>44.377200000000002</v>
      </c>
      <c r="S1225">
        <v>0.2</v>
      </c>
      <c r="T1225">
        <v>0.02</v>
      </c>
      <c r="U1225" s="8">
        <f>Table3[[#This Row],[PrimaNeta]]*Table3[[#This Row],[Comisión]]</f>
        <v>3421.49607672</v>
      </c>
      <c r="V1225" s="15">
        <f>Table3[[#This Row],[PrimaComercial Anual]]-Table3[[#This Row],[PrimaComercial Anual]]*SUM(Table3[[#This Row],[APS]:[IVA]])</f>
        <v>17107.480383599999</v>
      </c>
      <c r="W1225" s="2">
        <v>1.4800000000000001E-2</v>
      </c>
      <c r="X1225" s="2">
        <v>8.4501000000000007E-2</v>
      </c>
      <c r="Y1225">
        <v>0.03</v>
      </c>
      <c r="Z1225">
        <v>0.13</v>
      </c>
      <c r="AA1225" s="20">
        <f>Table3[[#This Row],[APS]]*Table3[[#This Row],[PrimaComercial Anual]]</f>
        <v>341.82672000000002</v>
      </c>
      <c r="AB1225" s="8">
        <f>Table3[[#This Row],[PrimaComercial Anual]]*Table3[[#This Row],[Recargo adicional]]</f>
        <v>1951.6688964000002</v>
      </c>
      <c r="AC1225" s="8">
        <f>Table3[[#This Row],[PrimaComercial Anual]]*Table3[[#This Row],[IT]]</f>
        <v>692.89200000000005</v>
      </c>
      <c r="AD1225" s="8">
        <f>Table3[[#This Row],[PrimaComercial Anual]]*Table3[[#This Row],[IVA]]</f>
        <v>3002.5320000000002</v>
      </c>
      <c r="AE1225" s="15">
        <f>Table3[[#This Row],[PrimaComercial Anual Asistencia]]</f>
        <v>23096.400000000001</v>
      </c>
      <c r="AG1225">
        <v>23096.400000000001</v>
      </c>
    </row>
    <row r="1226" spans="1:33" x14ac:dyDescent="0.25">
      <c r="A1226" t="s">
        <v>17</v>
      </c>
      <c r="B1226">
        <v>1750000</v>
      </c>
      <c r="C1226">
        <v>69</v>
      </c>
      <c r="D1226" s="2">
        <f>Table3[[#This Row],[PrimaTécnica]]-Table3[[#This Row],[PrimaTécnica]]*SUM(Table3[[#This Row],[Gastos Adm]:[Cobranza]])</f>
        <v>10517.931143366399</v>
      </c>
      <c r="E1226">
        <v>0</v>
      </c>
      <c r="F1226">
        <v>0.15</v>
      </c>
      <c r="G1226">
        <v>0.05</v>
      </c>
      <c r="H1226">
        <v>0.01</v>
      </c>
      <c r="I1226">
        <v>0.01</v>
      </c>
      <c r="J1226" s="8">
        <f>Table3[[#This Row],[PrimaTécnica]]*Table3[[#This Row],[Gastos Adm]]</f>
        <v>2022.6790660319998</v>
      </c>
      <c r="K1226" s="8">
        <f>Table3[[#This Row],[PrimaTécnica]]*Table3[[#This Row],[Utilidad]]</f>
        <v>674.22635534400001</v>
      </c>
      <c r="L1226" s="8">
        <f>Table3[[#This Row],[PrimaTécnica]]*Table3[[#This Row],[Marketing]]</f>
        <v>134.8452710688</v>
      </c>
      <c r="M1226" s="8">
        <f>Table3[[#This Row],[PrimaTécnica]]*Table3[[#This Row],[Cobranza]]</f>
        <v>134.8452710688</v>
      </c>
      <c r="N122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13484.527106879999</v>
      </c>
      <c r="O1226">
        <v>21.84</v>
      </c>
      <c r="P1226">
        <v>54.6</v>
      </c>
      <c r="Q1226">
        <v>80.64</v>
      </c>
      <c r="R1226">
        <v>44.377200000000002</v>
      </c>
      <c r="S1226">
        <v>0.2</v>
      </c>
      <c r="T1226">
        <v>0.02</v>
      </c>
      <c r="U1226" s="8">
        <f>Table3[[#This Row],[PrimaNeta]]*Table3[[#This Row],[Comisión]]</f>
        <v>3421.49607672</v>
      </c>
      <c r="V1226" s="15">
        <f>Table3[[#This Row],[PrimaComercial Anual]]-Table3[[#This Row],[PrimaComercial Anual]]*SUM(Table3[[#This Row],[APS]:[IVA]])</f>
        <v>17107.480383599999</v>
      </c>
      <c r="W1226" s="2">
        <v>1.4800000000000001E-2</v>
      </c>
      <c r="X1226" s="2">
        <v>8.4501000000000007E-2</v>
      </c>
      <c r="Y1226">
        <v>0.03</v>
      </c>
      <c r="Z1226">
        <v>0.13</v>
      </c>
      <c r="AA1226" s="20">
        <f>Table3[[#This Row],[APS]]*Table3[[#This Row],[PrimaComercial Anual]]</f>
        <v>341.82672000000002</v>
      </c>
      <c r="AB1226" s="8">
        <f>Table3[[#This Row],[PrimaComercial Anual]]*Table3[[#This Row],[Recargo adicional]]</f>
        <v>1951.6688964000002</v>
      </c>
      <c r="AC1226" s="8">
        <f>Table3[[#This Row],[PrimaComercial Anual]]*Table3[[#This Row],[IT]]</f>
        <v>692.89200000000005</v>
      </c>
      <c r="AD1226" s="8">
        <f>Table3[[#This Row],[PrimaComercial Anual]]*Table3[[#This Row],[IVA]]</f>
        <v>3002.5320000000002</v>
      </c>
      <c r="AE1226" s="15">
        <f>Table3[[#This Row],[PrimaComercial Anual Asistencia]]</f>
        <v>23096.400000000001</v>
      </c>
      <c r="AG1226">
        <v>23096.400000000001</v>
      </c>
    </row>
    <row r="1227" spans="1:33" x14ac:dyDescent="0.25">
      <c r="A1227" t="s">
        <v>17</v>
      </c>
      <c r="B1227">
        <v>1750000</v>
      </c>
      <c r="C1227">
        <v>70</v>
      </c>
      <c r="D1227" s="2">
        <f>Table3[[#This Row],[PrimaTécnica]]-Table3[[#This Row],[PrimaTécnica]]*SUM(Table3[[#This Row],[Gastos Adm]:[Cobranza]])</f>
        <v>10517.931143366399</v>
      </c>
      <c r="E1227">
        <v>0</v>
      </c>
      <c r="F1227">
        <v>0.15</v>
      </c>
      <c r="G1227">
        <v>0.05</v>
      </c>
      <c r="H1227">
        <v>0.01</v>
      </c>
      <c r="I1227">
        <v>0.01</v>
      </c>
      <c r="J1227" s="8">
        <f>Table3[[#This Row],[PrimaTécnica]]*Table3[[#This Row],[Gastos Adm]]</f>
        <v>2022.6790660319998</v>
      </c>
      <c r="K1227" s="8">
        <f>Table3[[#This Row],[PrimaTécnica]]*Table3[[#This Row],[Utilidad]]</f>
        <v>674.22635534400001</v>
      </c>
      <c r="L1227" s="8">
        <f>Table3[[#This Row],[PrimaTécnica]]*Table3[[#This Row],[Marketing]]</f>
        <v>134.8452710688</v>
      </c>
      <c r="M1227" s="8">
        <f>Table3[[#This Row],[PrimaTécnica]]*Table3[[#This Row],[Cobranza]]</f>
        <v>134.8452710688</v>
      </c>
      <c r="N122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13484.527106879999</v>
      </c>
      <c r="O1227">
        <v>21.84</v>
      </c>
      <c r="P1227">
        <v>54.6</v>
      </c>
      <c r="Q1227">
        <v>80.64</v>
      </c>
      <c r="R1227">
        <v>44.377200000000002</v>
      </c>
      <c r="S1227">
        <v>0.2</v>
      </c>
      <c r="T1227">
        <v>0.02</v>
      </c>
      <c r="U1227" s="8">
        <f>Table3[[#This Row],[PrimaNeta]]*Table3[[#This Row],[Comisión]]</f>
        <v>3421.49607672</v>
      </c>
      <c r="V1227" s="15">
        <f>Table3[[#This Row],[PrimaComercial Anual]]-Table3[[#This Row],[PrimaComercial Anual]]*SUM(Table3[[#This Row],[APS]:[IVA]])</f>
        <v>17107.480383599999</v>
      </c>
      <c r="W1227" s="2">
        <v>1.4800000000000001E-2</v>
      </c>
      <c r="X1227" s="2">
        <v>8.4501000000000007E-2</v>
      </c>
      <c r="Y1227">
        <v>0.03</v>
      </c>
      <c r="Z1227">
        <v>0.13</v>
      </c>
      <c r="AA1227" s="20">
        <f>Table3[[#This Row],[APS]]*Table3[[#This Row],[PrimaComercial Anual]]</f>
        <v>341.82672000000002</v>
      </c>
      <c r="AB1227" s="8">
        <f>Table3[[#This Row],[PrimaComercial Anual]]*Table3[[#This Row],[Recargo adicional]]</f>
        <v>1951.6688964000002</v>
      </c>
      <c r="AC1227" s="8">
        <f>Table3[[#This Row],[PrimaComercial Anual]]*Table3[[#This Row],[IT]]</f>
        <v>692.89200000000005</v>
      </c>
      <c r="AD1227" s="8">
        <f>Table3[[#This Row],[PrimaComercial Anual]]*Table3[[#This Row],[IVA]]</f>
        <v>3002.5320000000002</v>
      </c>
      <c r="AE1227" s="15">
        <f>Table3[[#This Row],[PrimaComercial Anual Asistencia]]</f>
        <v>23096.400000000001</v>
      </c>
      <c r="AG1227">
        <v>23096.400000000001</v>
      </c>
    </row>
    <row r="1228" spans="1:33" x14ac:dyDescent="0.25">
      <c r="A1228" t="s">
        <v>17</v>
      </c>
      <c r="B1228">
        <v>1750000</v>
      </c>
      <c r="C1228">
        <v>71</v>
      </c>
      <c r="D1228" s="2">
        <f>Table3[[#This Row],[PrimaTécnica]]-Table3[[#This Row],[PrimaTécnica]]*SUM(Table3[[#This Row],[Gastos Adm]:[Cobranza]])</f>
        <v>12362.0938856064</v>
      </c>
      <c r="E1228">
        <v>0</v>
      </c>
      <c r="F1228">
        <v>0.15</v>
      </c>
      <c r="G1228">
        <v>0.05</v>
      </c>
      <c r="H1228">
        <v>0.01</v>
      </c>
      <c r="I1228">
        <v>0.01</v>
      </c>
      <c r="J1228" s="8">
        <f>Table3[[#This Row],[PrimaTécnica]]*Table3[[#This Row],[Gastos Adm]]</f>
        <v>2377.3257472320001</v>
      </c>
      <c r="K1228" s="8">
        <f>Table3[[#This Row],[PrimaTécnica]]*Table3[[#This Row],[Utilidad]]</f>
        <v>792.44191574400008</v>
      </c>
      <c r="L1228" s="8">
        <f>Table3[[#This Row],[PrimaTécnica]]*Table3[[#This Row],[Marketing]]</f>
        <v>158.48838314880001</v>
      </c>
      <c r="M1228" s="8">
        <f>Table3[[#This Row],[PrimaTécnica]]*Table3[[#This Row],[Cobranza]]</f>
        <v>158.48838314880001</v>
      </c>
      <c r="N122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28">
        <v>21.84</v>
      </c>
      <c r="P1228">
        <v>54.6</v>
      </c>
      <c r="Q1228">
        <v>80.64</v>
      </c>
      <c r="R1228">
        <v>44.377200000000002</v>
      </c>
      <c r="S1228">
        <v>0.2</v>
      </c>
      <c r="T1228">
        <v>0.02</v>
      </c>
      <c r="U1228" s="8">
        <f>Table3[[#This Row],[PrimaNeta]]*Table3[[#This Row],[Comisión]]</f>
        <v>4012.5738787200007</v>
      </c>
      <c r="V1228" s="15">
        <f>Table3[[#This Row],[PrimaComercial Anual]]-Table3[[#This Row],[PrimaComercial Anual]]*SUM(Table3[[#This Row],[APS]:[IVA]])</f>
        <v>20062.869393600002</v>
      </c>
      <c r="W1228" s="2">
        <v>1.4800000000000001E-2</v>
      </c>
      <c r="X1228" s="2">
        <v>8.4501000000000007E-2</v>
      </c>
      <c r="Y1228">
        <v>0.03</v>
      </c>
      <c r="Z1228">
        <v>0.13</v>
      </c>
      <c r="AA1228" s="20">
        <f>Table3[[#This Row],[APS]]*Table3[[#This Row],[PrimaComercial Anual]]</f>
        <v>400.87872000000004</v>
      </c>
      <c r="AB1228" s="8">
        <f>Table3[[#This Row],[PrimaComercial Anual]]*Table3[[#This Row],[Recargo adicional]]</f>
        <v>2288.8278864000004</v>
      </c>
      <c r="AC1228" s="8">
        <f>Table3[[#This Row],[PrimaComercial Anual]]*Table3[[#This Row],[IT]]</f>
        <v>812.59199999999998</v>
      </c>
      <c r="AD1228" s="8">
        <f>Table3[[#This Row],[PrimaComercial Anual]]*Table3[[#This Row],[IVA]]</f>
        <v>3521.2320000000004</v>
      </c>
      <c r="AE1228" s="15">
        <f>Table3[[#This Row],[PrimaComercial Anual Asistencia]]</f>
        <v>27086.400000000001</v>
      </c>
      <c r="AG1228">
        <v>27086.400000000001</v>
      </c>
    </row>
    <row r="1229" spans="1:33" x14ac:dyDescent="0.25">
      <c r="A1229" t="s">
        <v>17</v>
      </c>
      <c r="B1229">
        <v>1750000</v>
      </c>
      <c r="C1229">
        <v>72</v>
      </c>
      <c r="D1229" s="2">
        <f>Table3[[#This Row],[PrimaTécnica]]-Table3[[#This Row],[PrimaTécnica]]*SUM(Table3[[#This Row],[Gastos Adm]:[Cobranza]])</f>
        <v>12362.0938856064</v>
      </c>
      <c r="E1229">
        <v>0</v>
      </c>
      <c r="F1229">
        <v>0.15</v>
      </c>
      <c r="G1229">
        <v>0.05</v>
      </c>
      <c r="H1229">
        <v>0.01</v>
      </c>
      <c r="I1229">
        <v>0.01</v>
      </c>
      <c r="J1229" s="8">
        <f>Table3[[#This Row],[PrimaTécnica]]*Table3[[#This Row],[Gastos Adm]]</f>
        <v>2377.3257472320001</v>
      </c>
      <c r="K1229" s="8">
        <f>Table3[[#This Row],[PrimaTécnica]]*Table3[[#This Row],[Utilidad]]</f>
        <v>792.44191574400008</v>
      </c>
      <c r="L1229" s="8">
        <f>Table3[[#This Row],[PrimaTécnica]]*Table3[[#This Row],[Marketing]]</f>
        <v>158.48838314880001</v>
      </c>
      <c r="M1229" s="8">
        <f>Table3[[#This Row],[PrimaTécnica]]*Table3[[#This Row],[Cobranza]]</f>
        <v>158.48838314880001</v>
      </c>
      <c r="N122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29">
        <v>21.84</v>
      </c>
      <c r="P1229">
        <v>54.6</v>
      </c>
      <c r="Q1229">
        <v>80.64</v>
      </c>
      <c r="R1229">
        <v>44.377200000000002</v>
      </c>
      <c r="S1229">
        <v>0.2</v>
      </c>
      <c r="T1229">
        <v>0.02</v>
      </c>
      <c r="U1229" s="8">
        <f>Table3[[#This Row],[PrimaNeta]]*Table3[[#This Row],[Comisión]]</f>
        <v>4012.5738787200007</v>
      </c>
      <c r="V1229" s="15">
        <f>Table3[[#This Row],[PrimaComercial Anual]]-Table3[[#This Row],[PrimaComercial Anual]]*SUM(Table3[[#This Row],[APS]:[IVA]])</f>
        <v>20062.869393600002</v>
      </c>
      <c r="W1229" s="2">
        <v>1.4800000000000001E-2</v>
      </c>
      <c r="X1229" s="2">
        <v>8.4501000000000007E-2</v>
      </c>
      <c r="Y1229">
        <v>0.03</v>
      </c>
      <c r="Z1229">
        <v>0.13</v>
      </c>
      <c r="AA1229" s="20">
        <f>Table3[[#This Row],[APS]]*Table3[[#This Row],[PrimaComercial Anual]]</f>
        <v>400.87872000000004</v>
      </c>
      <c r="AB1229" s="8">
        <f>Table3[[#This Row],[PrimaComercial Anual]]*Table3[[#This Row],[Recargo adicional]]</f>
        <v>2288.8278864000004</v>
      </c>
      <c r="AC1229" s="8">
        <f>Table3[[#This Row],[PrimaComercial Anual]]*Table3[[#This Row],[IT]]</f>
        <v>812.59199999999998</v>
      </c>
      <c r="AD1229" s="8">
        <f>Table3[[#This Row],[PrimaComercial Anual]]*Table3[[#This Row],[IVA]]</f>
        <v>3521.2320000000004</v>
      </c>
      <c r="AE1229" s="15">
        <f>Table3[[#This Row],[PrimaComercial Anual Asistencia]]</f>
        <v>27086.400000000001</v>
      </c>
      <c r="AG1229">
        <v>27086.400000000001</v>
      </c>
    </row>
    <row r="1230" spans="1:33" x14ac:dyDescent="0.25">
      <c r="A1230" t="s">
        <v>17</v>
      </c>
      <c r="B1230">
        <v>1750000</v>
      </c>
      <c r="C1230">
        <v>73</v>
      </c>
      <c r="D1230" s="2">
        <f>Table3[[#This Row],[PrimaTécnica]]-Table3[[#This Row],[PrimaTécnica]]*SUM(Table3[[#This Row],[Gastos Adm]:[Cobranza]])</f>
        <v>12362.0938856064</v>
      </c>
      <c r="E1230">
        <v>0</v>
      </c>
      <c r="F1230">
        <v>0.15</v>
      </c>
      <c r="G1230">
        <v>0.05</v>
      </c>
      <c r="H1230">
        <v>0.01</v>
      </c>
      <c r="I1230">
        <v>0.01</v>
      </c>
      <c r="J1230" s="8">
        <f>Table3[[#This Row],[PrimaTécnica]]*Table3[[#This Row],[Gastos Adm]]</f>
        <v>2377.3257472320001</v>
      </c>
      <c r="K1230" s="8">
        <f>Table3[[#This Row],[PrimaTécnica]]*Table3[[#This Row],[Utilidad]]</f>
        <v>792.44191574400008</v>
      </c>
      <c r="L1230" s="8">
        <f>Table3[[#This Row],[PrimaTécnica]]*Table3[[#This Row],[Marketing]]</f>
        <v>158.48838314880001</v>
      </c>
      <c r="M1230" s="8">
        <f>Table3[[#This Row],[PrimaTécnica]]*Table3[[#This Row],[Cobranza]]</f>
        <v>158.48838314880001</v>
      </c>
      <c r="N123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30">
        <v>21.84</v>
      </c>
      <c r="P1230">
        <v>54.6</v>
      </c>
      <c r="Q1230">
        <v>80.64</v>
      </c>
      <c r="R1230">
        <v>44.377200000000002</v>
      </c>
      <c r="S1230">
        <v>0.2</v>
      </c>
      <c r="T1230">
        <v>0.02</v>
      </c>
      <c r="U1230" s="8">
        <f>Table3[[#This Row],[PrimaNeta]]*Table3[[#This Row],[Comisión]]</f>
        <v>4012.5738787200007</v>
      </c>
      <c r="V1230" s="15">
        <f>Table3[[#This Row],[PrimaComercial Anual]]-Table3[[#This Row],[PrimaComercial Anual]]*SUM(Table3[[#This Row],[APS]:[IVA]])</f>
        <v>20062.869393600002</v>
      </c>
      <c r="W1230" s="2">
        <v>1.4800000000000001E-2</v>
      </c>
      <c r="X1230" s="2">
        <v>8.4501000000000007E-2</v>
      </c>
      <c r="Y1230">
        <v>0.03</v>
      </c>
      <c r="Z1230">
        <v>0.13</v>
      </c>
      <c r="AA1230" s="20">
        <f>Table3[[#This Row],[APS]]*Table3[[#This Row],[PrimaComercial Anual]]</f>
        <v>400.87872000000004</v>
      </c>
      <c r="AB1230" s="8">
        <f>Table3[[#This Row],[PrimaComercial Anual]]*Table3[[#This Row],[Recargo adicional]]</f>
        <v>2288.8278864000004</v>
      </c>
      <c r="AC1230" s="8">
        <f>Table3[[#This Row],[PrimaComercial Anual]]*Table3[[#This Row],[IT]]</f>
        <v>812.59199999999998</v>
      </c>
      <c r="AD1230" s="8">
        <f>Table3[[#This Row],[PrimaComercial Anual]]*Table3[[#This Row],[IVA]]</f>
        <v>3521.2320000000004</v>
      </c>
      <c r="AE1230" s="15">
        <f>Table3[[#This Row],[PrimaComercial Anual Asistencia]]</f>
        <v>27086.400000000001</v>
      </c>
      <c r="AG1230">
        <v>27086.400000000001</v>
      </c>
    </row>
    <row r="1231" spans="1:33" x14ac:dyDescent="0.25">
      <c r="A1231" t="s">
        <v>17</v>
      </c>
      <c r="B1231">
        <v>1750000</v>
      </c>
      <c r="C1231">
        <v>74</v>
      </c>
      <c r="D1231" s="2">
        <f>Table3[[#This Row],[PrimaTécnica]]-Table3[[#This Row],[PrimaTécnica]]*SUM(Table3[[#This Row],[Gastos Adm]:[Cobranza]])</f>
        <v>12362.0938856064</v>
      </c>
      <c r="E1231">
        <v>0</v>
      </c>
      <c r="F1231">
        <v>0.15</v>
      </c>
      <c r="G1231">
        <v>0.05</v>
      </c>
      <c r="H1231">
        <v>0.01</v>
      </c>
      <c r="I1231">
        <v>0.01</v>
      </c>
      <c r="J1231" s="8">
        <f>Table3[[#This Row],[PrimaTécnica]]*Table3[[#This Row],[Gastos Adm]]</f>
        <v>2377.3257472320001</v>
      </c>
      <c r="K1231" s="8">
        <f>Table3[[#This Row],[PrimaTécnica]]*Table3[[#This Row],[Utilidad]]</f>
        <v>792.44191574400008</v>
      </c>
      <c r="L1231" s="8">
        <f>Table3[[#This Row],[PrimaTécnica]]*Table3[[#This Row],[Marketing]]</f>
        <v>158.48838314880001</v>
      </c>
      <c r="M1231" s="8">
        <f>Table3[[#This Row],[PrimaTécnica]]*Table3[[#This Row],[Cobranza]]</f>
        <v>158.48838314880001</v>
      </c>
      <c r="N123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31">
        <v>21.84</v>
      </c>
      <c r="P1231">
        <v>54.6</v>
      </c>
      <c r="Q1231">
        <v>80.64</v>
      </c>
      <c r="R1231">
        <v>44.377200000000002</v>
      </c>
      <c r="S1231">
        <v>0.2</v>
      </c>
      <c r="T1231">
        <v>0.02</v>
      </c>
      <c r="U1231" s="8">
        <f>Table3[[#This Row],[PrimaNeta]]*Table3[[#This Row],[Comisión]]</f>
        <v>4012.5738787200007</v>
      </c>
      <c r="V1231" s="15">
        <f>Table3[[#This Row],[PrimaComercial Anual]]-Table3[[#This Row],[PrimaComercial Anual]]*SUM(Table3[[#This Row],[APS]:[IVA]])</f>
        <v>20062.869393600002</v>
      </c>
      <c r="W1231" s="2">
        <v>1.4800000000000001E-2</v>
      </c>
      <c r="X1231" s="2">
        <v>8.4501000000000007E-2</v>
      </c>
      <c r="Y1231">
        <v>0.03</v>
      </c>
      <c r="Z1231">
        <v>0.13</v>
      </c>
      <c r="AA1231" s="20">
        <f>Table3[[#This Row],[APS]]*Table3[[#This Row],[PrimaComercial Anual]]</f>
        <v>400.87872000000004</v>
      </c>
      <c r="AB1231" s="8">
        <f>Table3[[#This Row],[PrimaComercial Anual]]*Table3[[#This Row],[Recargo adicional]]</f>
        <v>2288.8278864000004</v>
      </c>
      <c r="AC1231" s="8">
        <f>Table3[[#This Row],[PrimaComercial Anual]]*Table3[[#This Row],[IT]]</f>
        <v>812.59199999999998</v>
      </c>
      <c r="AD1231" s="8">
        <f>Table3[[#This Row],[PrimaComercial Anual]]*Table3[[#This Row],[IVA]]</f>
        <v>3521.2320000000004</v>
      </c>
      <c r="AE1231" s="15">
        <f>Table3[[#This Row],[PrimaComercial Anual Asistencia]]</f>
        <v>27086.400000000001</v>
      </c>
      <c r="AG1231">
        <v>27086.400000000001</v>
      </c>
    </row>
    <row r="1232" spans="1:33" x14ac:dyDescent="0.25">
      <c r="A1232" t="s">
        <v>17</v>
      </c>
      <c r="B1232">
        <v>1750000</v>
      </c>
      <c r="C1232">
        <v>75</v>
      </c>
      <c r="D1232" s="2">
        <f>Table3[[#This Row],[PrimaTécnica]]-Table3[[#This Row],[PrimaTécnica]]*SUM(Table3[[#This Row],[Gastos Adm]:[Cobranza]])</f>
        <v>12362.0938856064</v>
      </c>
      <c r="E1232">
        <v>0</v>
      </c>
      <c r="F1232">
        <v>0.15</v>
      </c>
      <c r="G1232">
        <v>0.05</v>
      </c>
      <c r="H1232">
        <v>0.01</v>
      </c>
      <c r="I1232">
        <v>0.01</v>
      </c>
      <c r="J1232" s="8">
        <f>Table3[[#This Row],[PrimaTécnica]]*Table3[[#This Row],[Gastos Adm]]</f>
        <v>2377.3257472320001</v>
      </c>
      <c r="K1232" s="8">
        <f>Table3[[#This Row],[PrimaTécnica]]*Table3[[#This Row],[Utilidad]]</f>
        <v>792.44191574400008</v>
      </c>
      <c r="L1232" s="8">
        <f>Table3[[#This Row],[PrimaTécnica]]*Table3[[#This Row],[Marketing]]</f>
        <v>158.48838314880001</v>
      </c>
      <c r="M1232" s="8">
        <f>Table3[[#This Row],[PrimaTécnica]]*Table3[[#This Row],[Cobranza]]</f>
        <v>158.48838314880001</v>
      </c>
      <c r="N123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32">
        <v>21.84</v>
      </c>
      <c r="P1232">
        <v>54.6</v>
      </c>
      <c r="Q1232">
        <v>80.64</v>
      </c>
      <c r="R1232">
        <v>44.377200000000002</v>
      </c>
      <c r="S1232">
        <v>0.2</v>
      </c>
      <c r="T1232">
        <v>0.02</v>
      </c>
      <c r="U1232" s="8">
        <f>Table3[[#This Row],[PrimaNeta]]*Table3[[#This Row],[Comisión]]</f>
        <v>4012.5738787200007</v>
      </c>
      <c r="V1232" s="15">
        <f>Table3[[#This Row],[PrimaComercial Anual]]-Table3[[#This Row],[PrimaComercial Anual]]*SUM(Table3[[#This Row],[APS]:[IVA]])</f>
        <v>20062.869393600002</v>
      </c>
      <c r="W1232" s="2">
        <v>1.4800000000000001E-2</v>
      </c>
      <c r="X1232" s="2">
        <v>8.4501000000000007E-2</v>
      </c>
      <c r="Y1232">
        <v>0.03</v>
      </c>
      <c r="Z1232">
        <v>0.13</v>
      </c>
      <c r="AA1232" s="20">
        <f>Table3[[#This Row],[APS]]*Table3[[#This Row],[PrimaComercial Anual]]</f>
        <v>400.87872000000004</v>
      </c>
      <c r="AB1232" s="8">
        <f>Table3[[#This Row],[PrimaComercial Anual]]*Table3[[#This Row],[Recargo adicional]]</f>
        <v>2288.8278864000004</v>
      </c>
      <c r="AC1232" s="8">
        <f>Table3[[#This Row],[PrimaComercial Anual]]*Table3[[#This Row],[IT]]</f>
        <v>812.59199999999998</v>
      </c>
      <c r="AD1232" s="8">
        <f>Table3[[#This Row],[PrimaComercial Anual]]*Table3[[#This Row],[IVA]]</f>
        <v>3521.2320000000004</v>
      </c>
      <c r="AE1232" s="15">
        <f>Table3[[#This Row],[PrimaComercial Anual Asistencia]]</f>
        <v>27086.400000000001</v>
      </c>
      <c r="AG1232">
        <v>27086.400000000001</v>
      </c>
    </row>
    <row r="1233" spans="1:33" x14ac:dyDescent="0.25">
      <c r="A1233" t="s">
        <v>17</v>
      </c>
      <c r="B1233">
        <v>1750000</v>
      </c>
      <c r="C1233">
        <v>76</v>
      </c>
      <c r="D1233" s="2">
        <f>Table3[[#This Row],[PrimaTécnica]]-Table3[[#This Row],[PrimaTécnica]]*SUM(Table3[[#This Row],[Gastos Adm]:[Cobranza]])</f>
        <v>12362.0938856064</v>
      </c>
      <c r="E1233">
        <v>0</v>
      </c>
      <c r="F1233">
        <v>0.15</v>
      </c>
      <c r="G1233">
        <v>0.05</v>
      </c>
      <c r="H1233">
        <v>0.01</v>
      </c>
      <c r="I1233">
        <v>0.01</v>
      </c>
      <c r="J1233" s="8">
        <f>Table3[[#This Row],[PrimaTécnica]]*Table3[[#This Row],[Gastos Adm]]</f>
        <v>2377.3257472320001</v>
      </c>
      <c r="K1233" s="8">
        <f>Table3[[#This Row],[PrimaTécnica]]*Table3[[#This Row],[Utilidad]]</f>
        <v>792.44191574400008</v>
      </c>
      <c r="L1233" s="8">
        <f>Table3[[#This Row],[PrimaTécnica]]*Table3[[#This Row],[Marketing]]</f>
        <v>158.48838314880001</v>
      </c>
      <c r="M1233" s="8">
        <f>Table3[[#This Row],[PrimaTécnica]]*Table3[[#This Row],[Cobranza]]</f>
        <v>158.48838314880001</v>
      </c>
      <c r="N123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33">
        <v>21.84</v>
      </c>
      <c r="P1233">
        <v>54.6</v>
      </c>
      <c r="Q1233">
        <v>80.64</v>
      </c>
      <c r="R1233">
        <v>44.377200000000002</v>
      </c>
      <c r="S1233">
        <v>0.2</v>
      </c>
      <c r="T1233">
        <v>0.02</v>
      </c>
      <c r="U1233" s="8">
        <f>Table3[[#This Row],[PrimaNeta]]*Table3[[#This Row],[Comisión]]</f>
        <v>4012.5738787200007</v>
      </c>
      <c r="V1233" s="15">
        <f>Table3[[#This Row],[PrimaComercial Anual]]-Table3[[#This Row],[PrimaComercial Anual]]*SUM(Table3[[#This Row],[APS]:[IVA]])</f>
        <v>20062.869393600002</v>
      </c>
      <c r="W1233" s="2">
        <v>1.4800000000000001E-2</v>
      </c>
      <c r="X1233" s="2">
        <v>8.4501000000000007E-2</v>
      </c>
      <c r="Y1233">
        <v>0.03</v>
      </c>
      <c r="Z1233">
        <v>0.13</v>
      </c>
      <c r="AA1233" s="20">
        <f>Table3[[#This Row],[APS]]*Table3[[#This Row],[PrimaComercial Anual]]</f>
        <v>400.87872000000004</v>
      </c>
      <c r="AB1233" s="8">
        <f>Table3[[#This Row],[PrimaComercial Anual]]*Table3[[#This Row],[Recargo adicional]]</f>
        <v>2288.8278864000004</v>
      </c>
      <c r="AC1233" s="8">
        <f>Table3[[#This Row],[PrimaComercial Anual]]*Table3[[#This Row],[IT]]</f>
        <v>812.59199999999998</v>
      </c>
      <c r="AD1233" s="8">
        <f>Table3[[#This Row],[PrimaComercial Anual]]*Table3[[#This Row],[IVA]]</f>
        <v>3521.2320000000004</v>
      </c>
      <c r="AE1233" s="15">
        <f>Table3[[#This Row],[PrimaComercial Anual Asistencia]]</f>
        <v>27086.400000000001</v>
      </c>
      <c r="AG1233">
        <v>27086.400000000001</v>
      </c>
    </row>
    <row r="1234" spans="1:33" x14ac:dyDescent="0.25">
      <c r="A1234" t="s">
        <v>17</v>
      </c>
      <c r="B1234">
        <v>1750000</v>
      </c>
      <c r="C1234">
        <v>77</v>
      </c>
      <c r="D1234" s="2">
        <f>Table3[[#This Row],[PrimaTécnica]]-Table3[[#This Row],[PrimaTécnica]]*SUM(Table3[[#This Row],[Gastos Adm]:[Cobranza]])</f>
        <v>12362.0938856064</v>
      </c>
      <c r="E1234">
        <v>0</v>
      </c>
      <c r="F1234">
        <v>0.15</v>
      </c>
      <c r="G1234">
        <v>0.05</v>
      </c>
      <c r="H1234">
        <v>0.01</v>
      </c>
      <c r="I1234">
        <v>0.01</v>
      </c>
      <c r="J1234" s="8">
        <f>Table3[[#This Row],[PrimaTécnica]]*Table3[[#This Row],[Gastos Adm]]</f>
        <v>2377.3257472320001</v>
      </c>
      <c r="K1234" s="8">
        <f>Table3[[#This Row],[PrimaTécnica]]*Table3[[#This Row],[Utilidad]]</f>
        <v>792.44191574400008</v>
      </c>
      <c r="L1234" s="8">
        <f>Table3[[#This Row],[PrimaTécnica]]*Table3[[#This Row],[Marketing]]</f>
        <v>158.48838314880001</v>
      </c>
      <c r="M1234" s="8">
        <f>Table3[[#This Row],[PrimaTécnica]]*Table3[[#This Row],[Cobranza]]</f>
        <v>158.48838314880001</v>
      </c>
      <c r="N123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34">
        <v>21.84</v>
      </c>
      <c r="P1234">
        <v>54.6</v>
      </c>
      <c r="Q1234">
        <v>80.64</v>
      </c>
      <c r="R1234">
        <v>44.377200000000002</v>
      </c>
      <c r="S1234">
        <v>0.2</v>
      </c>
      <c r="T1234">
        <v>0.02</v>
      </c>
      <c r="U1234" s="8">
        <f>Table3[[#This Row],[PrimaNeta]]*Table3[[#This Row],[Comisión]]</f>
        <v>4012.5738787200007</v>
      </c>
      <c r="V1234" s="15">
        <f>Table3[[#This Row],[PrimaComercial Anual]]-Table3[[#This Row],[PrimaComercial Anual]]*SUM(Table3[[#This Row],[APS]:[IVA]])</f>
        <v>20062.869393600002</v>
      </c>
      <c r="W1234" s="2">
        <v>1.4800000000000001E-2</v>
      </c>
      <c r="X1234" s="2">
        <v>8.4501000000000007E-2</v>
      </c>
      <c r="Y1234">
        <v>0.03</v>
      </c>
      <c r="Z1234">
        <v>0.13</v>
      </c>
      <c r="AA1234" s="20">
        <f>Table3[[#This Row],[APS]]*Table3[[#This Row],[PrimaComercial Anual]]</f>
        <v>400.87872000000004</v>
      </c>
      <c r="AB1234" s="8">
        <f>Table3[[#This Row],[PrimaComercial Anual]]*Table3[[#This Row],[Recargo adicional]]</f>
        <v>2288.8278864000004</v>
      </c>
      <c r="AC1234" s="8">
        <f>Table3[[#This Row],[PrimaComercial Anual]]*Table3[[#This Row],[IT]]</f>
        <v>812.59199999999998</v>
      </c>
      <c r="AD1234" s="8">
        <f>Table3[[#This Row],[PrimaComercial Anual]]*Table3[[#This Row],[IVA]]</f>
        <v>3521.2320000000004</v>
      </c>
      <c r="AE1234" s="15">
        <f>Table3[[#This Row],[PrimaComercial Anual Asistencia]]</f>
        <v>27086.400000000001</v>
      </c>
      <c r="AG1234">
        <v>27086.400000000001</v>
      </c>
    </row>
    <row r="1235" spans="1:33" x14ac:dyDescent="0.25">
      <c r="A1235" t="s">
        <v>17</v>
      </c>
      <c r="B1235">
        <v>1750000</v>
      </c>
      <c r="C1235">
        <v>78</v>
      </c>
      <c r="D1235" s="2">
        <f>Table3[[#This Row],[PrimaTécnica]]-Table3[[#This Row],[PrimaTécnica]]*SUM(Table3[[#This Row],[Gastos Adm]:[Cobranza]])</f>
        <v>12362.0938856064</v>
      </c>
      <c r="E1235">
        <v>0</v>
      </c>
      <c r="F1235">
        <v>0.15</v>
      </c>
      <c r="G1235">
        <v>0.05</v>
      </c>
      <c r="H1235">
        <v>0.01</v>
      </c>
      <c r="I1235">
        <v>0.01</v>
      </c>
      <c r="J1235" s="8">
        <f>Table3[[#This Row],[PrimaTécnica]]*Table3[[#This Row],[Gastos Adm]]</f>
        <v>2377.3257472320001</v>
      </c>
      <c r="K1235" s="8">
        <f>Table3[[#This Row],[PrimaTécnica]]*Table3[[#This Row],[Utilidad]]</f>
        <v>792.44191574400008</v>
      </c>
      <c r="L1235" s="8">
        <f>Table3[[#This Row],[PrimaTécnica]]*Table3[[#This Row],[Marketing]]</f>
        <v>158.48838314880001</v>
      </c>
      <c r="M1235" s="8">
        <f>Table3[[#This Row],[PrimaTécnica]]*Table3[[#This Row],[Cobranza]]</f>
        <v>158.48838314880001</v>
      </c>
      <c r="N123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35">
        <v>21.84</v>
      </c>
      <c r="P1235">
        <v>54.6</v>
      </c>
      <c r="Q1235">
        <v>80.64</v>
      </c>
      <c r="R1235">
        <v>44.377200000000002</v>
      </c>
      <c r="S1235">
        <v>0.2</v>
      </c>
      <c r="T1235">
        <v>0.02</v>
      </c>
      <c r="U1235" s="8">
        <f>Table3[[#This Row],[PrimaNeta]]*Table3[[#This Row],[Comisión]]</f>
        <v>4012.5738787200007</v>
      </c>
      <c r="V1235" s="15">
        <f>Table3[[#This Row],[PrimaComercial Anual]]-Table3[[#This Row],[PrimaComercial Anual]]*SUM(Table3[[#This Row],[APS]:[IVA]])</f>
        <v>20062.869393600002</v>
      </c>
      <c r="W1235" s="2">
        <v>1.4800000000000001E-2</v>
      </c>
      <c r="X1235" s="2">
        <v>8.4501000000000007E-2</v>
      </c>
      <c r="Y1235">
        <v>0.03</v>
      </c>
      <c r="Z1235">
        <v>0.13</v>
      </c>
      <c r="AA1235" s="20">
        <f>Table3[[#This Row],[APS]]*Table3[[#This Row],[PrimaComercial Anual]]</f>
        <v>400.87872000000004</v>
      </c>
      <c r="AB1235" s="8">
        <f>Table3[[#This Row],[PrimaComercial Anual]]*Table3[[#This Row],[Recargo adicional]]</f>
        <v>2288.8278864000004</v>
      </c>
      <c r="AC1235" s="8">
        <f>Table3[[#This Row],[PrimaComercial Anual]]*Table3[[#This Row],[IT]]</f>
        <v>812.59199999999998</v>
      </c>
      <c r="AD1235" s="8">
        <f>Table3[[#This Row],[PrimaComercial Anual]]*Table3[[#This Row],[IVA]]</f>
        <v>3521.2320000000004</v>
      </c>
      <c r="AE1235" s="15">
        <f>Table3[[#This Row],[PrimaComercial Anual Asistencia]]</f>
        <v>27086.400000000001</v>
      </c>
      <c r="AG1235">
        <v>27086.400000000001</v>
      </c>
    </row>
    <row r="1236" spans="1:33" x14ac:dyDescent="0.25">
      <c r="A1236" t="s">
        <v>17</v>
      </c>
      <c r="B1236">
        <v>1750000</v>
      </c>
      <c r="C1236">
        <v>79</v>
      </c>
      <c r="D1236" s="2">
        <f>Table3[[#This Row],[PrimaTécnica]]-Table3[[#This Row],[PrimaTécnica]]*SUM(Table3[[#This Row],[Gastos Adm]:[Cobranza]])</f>
        <v>12362.0938856064</v>
      </c>
      <c r="E1236">
        <v>0</v>
      </c>
      <c r="F1236">
        <v>0.15</v>
      </c>
      <c r="G1236">
        <v>0.05</v>
      </c>
      <c r="H1236">
        <v>0.01</v>
      </c>
      <c r="I1236">
        <v>0.01</v>
      </c>
      <c r="J1236" s="8">
        <f>Table3[[#This Row],[PrimaTécnica]]*Table3[[#This Row],[Gastos Adm]]</f>
        <v>2377.3257472320001</v>
      </c>
      <c r="K1236" s="8">
        <f>Table3[[#This Row],[PrimaTécnica]]*Table3[[#This Row],[Utilidad]]</f>
        <v>792.44191574400008</v>
      </c>
      <c r="L1236" s="8">
        <f>Table3[[#This Row],[PrimaTécnica]]*Table3[[#This Row],[Marketing]]</f>
        <v>158.48838314880001</v>
      </c>
      <c r="M1236" s="8">
        <f>Table3[[#This Row],[PrimaTécnica]]*Table3[[#This Row],[Cobranza]]</f>
        <v>158.48838314880001</v>
      </c>
      <c r="N123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36">
        <v>21.84</v>
      </c>
      <c r="P1236">
        <v>54.6</v>
      </c>
      <c r="Q1236">
        <v>80.64</v>
      </c>
      <c r="R1236">
        <v>44.377200000000002</v>
      </c>
      <c r="S1236">
        <v>0.2</v>
      </c>
      <c r="T1236">
        <v>0.02</v>
      </c>
      <c r="U1236" s="8">
        <f>Table3[[#This Row],[PrimaNeta]]*Table3[[#This Row],[Comisión]]</f>
        <v>4012.5738787200007</v>
      </c>
      <c r="V1236" s="15">
        <f>Table3[[#This Row],[PrimaComercial Anual]]-Table3[[#This Row],[PrimaComercial Anual]]*SUM(Table3[[#This Row],[APS]:[IVA]])</f>
        <v>20062.869393600002</v>
      </c>
      <c r="W1236" s="2">
        <v>1.4800000000000001E-2</v>
      </c>
      <c r="X1236" s="2">
        <v>8.4501000000000007E-2</v>
      </c>
      <c r="Y1236">
        <v>0.03</v>
      </c>
      <c r="Z1236">
        <v>0.13</v>
      </c>
      <c r="AA1236" s="20">
        <f>Table3[[#This Row],[APS]]*Table3[[#This Row],[PrimaComercial Anual]]</f>
        <v>400.87872000000004</v>
      </c>
      <c r="AB1236" s="8">
        <f>Table3[[#This Row],[PrimaComercial Anual]]*Table3[[#This Row],[Recargo adicional]]</f>
        <v>2288.8278864000004</v>
      </c>
      <c r="AC1236" s="8">
        <f>Table3[[#This Row],[PrimaComercial Anual]]*Table3[[#This Row],[IT]]</f>
        <v>812.59199999999998</v>
      </c>
      <c r="AD1236" s="8">
        <f>Table3[[#This Row],[PrimaComercial Anual]]*Table3[[#This Row],[IVA]]</f>
        <v>3521.2320000000004</v>
      </c>
      <c r="AE1236" s="15">
        <f>Table3[[#This Row],[PrimaComercial Anual Asistencia]]</f>
        <v>27086.400000000001</v>
      </c>
      <c r="AG1236">
        <v>27086.400000000001</v>
      </c>
    </row>
    <row r="1237" spans="1:33" x14ac:dyDescent="0.25">
      <c r="A1237" t="s">
        <v>17</v>
      </c>
      <c r="B1237">
        <v>1750000</v>
      </c>
      <c r="C1237">
        <v>80</v>
      </c>
      <c r="D1237" s="2">
        <f>Table3[[#This Row],[PrimaTécnica]]-Table3[[#This Row],[PrimaTécnica]]*SUM(Table3[[#This Row],[Gastos Adm]:[Cobranza]])</f>
        <v>12362.0938856064</v>
      </c>
      <c r="E1237">
        <v>0</v>
      </c>
      <c r="F1237">
        <v>0.15</v>
      </c>
      <c r="G1237">
        <v>0.05</v>
      </c>
      <c r="H1237">
        <v>0.01</v>
      </c>
      <c r="I1237">
        <v>0.01</v>
      </c>
      <c r="J1237" s="8">
        <f>Table3[[#This Row],[PrimaTécnica]]*Table3[[#This Row],[Gastos Adm]]</f>
        <v>2377.3257472320001</v>
      </c>
      <c r="K1237" s="8">
        <f>Table3[[#This Row],[PrimaTécnica]]*Table3[[#This Row],[Utilidad]]</f>
        <v>792.44191574400008</v>
      </c>
      <c r="L1237" s="8">
        <f>Table3[[#This Row],[PrimaTécnica]]*Table3[[#This Row],[Marketing]]</f>
        <v>158.48838314880001</v>
      </c>
      <c r="M1237" s="8">
        <f>Table3[[#This Row],[PrimaTécnica]]*Table3[[#This Row],[Cobranza]]</f>
        <v>158.48838314880001</v>
      </c>
      <c r="N123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37">
        <v>21.84</v>
      </c>
      <c r="P1237">
        <v>54.6</v>
      </c>
      <c r="Q1237">
        <v>80.64</v>
      </c>
      <c r="R1237">
        <v>44.377200000000002</v>
      </c>
      <c r="S1237">
        <v>0.2</v>
      </c>
      <c r="T1237">
        <v>0.02</v>
      </c>
      <c r="U1237" s="8">
        <f>Table3[[#This Row],[PrimaNeta]]*Table3[[#This Row],[Comisión]]</f>
        <v>4012.5738787200007</v>
      </c>
      <c r="V1237" s="15">
        <f>Table3[[#This Row],[PrimaComercial Anual]]-Table3[[#This Row],[PrimaComercial Anual]]*SUM(Table3[[#This Row],[APS]:[IVA]])</f>
        <v>20062.869393600002</v>
      </c>
      <c r="W1237" s="2">
        <v>1.4800000000000001E-2</v>
      </c>
      <c r="X1237" s="2">
        <v>8.4501000000000007E-2</v>
      </c>
      <c r="Y1237">
        <v>0.03</v>
      </c>
      <c r="Z1237">
        <v>0.13</v>
      </c>
      <c r="AA1237" s="20">
        <f>Table3[[#This Row],[APS]]*Table3[[#This Row],[PrimaComercial Anual]]</f>
        <v>400.87872000000004</v>
      </c>
      <c r="AB1237" s="8">
        <f>Table3[[#This Row],[PrimaComercial Anual]]*Table3[[#This Row],[Recargo adicional]]</f>
        <v>2288.8278864000004</v>
      </c>
      <c r="AC1237" s="8">
        <f>Table3[[#This Row],[PrimaComercial Anual]]*Table3[[#This Row],[IT]]</f>
        <v>812.59199999999998</v>
      </c>
      <c r="AD1237" s="8">
        <f>Table3[[#This Row],[PrimaComercial Anual]]*Table3[[#This Row],[IVA]]</f>
        <v>3521.2320000000004</v>
      </c>
      <c r="AE1237" s="15">
        <f>Table3[[#This Row],[PrimaComercial Anual Asistencia]]</f>
        <v>27086.400000000001</v>
      </c>
      <c r="AG1237">
        <v>27086.400000000001</v>
      </c>
    </row>
    <row r="1238" spans="1:33" x14ac:dyDescent="0.25">
      <c r="A1238" t="s">
        <v>17</v>
      </c>
      <c r="B1238">
        <v>1750000</v>
      </c>
      <c r="C1238">
        <v>81</v>
      </c>
      <c r="D1238" s="2">
        <f>Table3[[#This Row],[PrimaTécnica]]-Table3[[#This Row],[PrimaTécnica]]*SUM(Table3[[#This Row],[Gastos Adm]:[Cobranza]])</f>
        <v>12362.0938856064</v>
      </c>
      <c r="E1238">
        <v>0</v>
      </c>
      <c r="F1238">
        <v>0.15</v>
      </c>
      <c r="G1238">
        <v>0.05</v>
      </c>
      <c r="H1238">
        <v>0.01</v>
      </c>
      <c r="I1238">
        <v>0.01</v>
      </c>
      <c r="J1238" s="8">
        <f>Table3[[#This Row],[PrimaTécnica]]*Table3[[#This Row],[Gastos Adm]]</f>
        <v>2377.3257472320001</v>
      </c>
      <c r="K1238" s="8">
        <f>Table3[[#This Row],[PrimaTécnica]]*Table3[[#This Row],[Utilidad]]</f>
        <v>792.44191574400008</v>
      </c>
      <c r="L1238" s="8">
        <f>Table3[[#This Row],[PrimaTécnica]]*Table3[[#This Row],[Marketing]]</f>
        <v>158.48838314880001</v>
      </c>
      <c r="M1238" s="8">
        <f>Table3[[#This Row],[PrimaTécnica]]*Table3[[#This Row],[Cobranza]]</f>
        <v>158.48838314880001</v>
      </c>
      <c r="N123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38">
        <v>21.84</v>
      </c>
      <c r="P1238">
        <v>54.6</v>
      </c>
      <c r="Q1238">
        <v>80.64</v>
      </c>
      <c r="R1238">
        <v>44.377200000000002</v>
      </c>
      <c r="S1238">
        <v>0.2</v>
      </c>
      <c r="T1238">
        <v>0.02</v>
      </c>
      <c r="U1238" s="8">
        <f>Table3[[#This Row],[PrimaNeta]]*Table3[[#This Row],[Comisión]]</f>
        <v>4012.5738787200007</v>
      </c>
      <c r="V1238" s="15">
        <f>Table3[[#This Row],[PrimaComercial Anual]]-Table3[[#This Row],[PrimaComercial Anual]]*SUM(Table3[[#This Row],[APS]:[IVA]])</f>
        <v>20062.869393600002</v>
      </c>
      <c r="W1238" s="2">
        <v>1.4800000000000001E-2</v>
      </c>
      <c r="X1238" s="2">
        <v>8.4501000000000007E-2</v>
      </c>
      <c r="Y1238">
        <v>0.03</v>
      </c>
      <c r="Z1238">
        <v>0.13</v>
      </c>
      <c r="AA1238" s="20">
        <f>Table3[[#This Row],[APS]]*Table3[[#This Row],[PrimaComercial Anual]]</f>
        <v>400.87872000000004</v>
      </c>
      <c r="AB1238" s="8">
        <f>Table3[[#This Row],[PrimaComercial Anual]]*Table3[[#This Row],[Recargo adicional]]</f>
        <v>2288.8278864000004</v>
      </c>
      <c r="AC1238" s="8">
        <f>Table3[[#This Row],[PrimaComercial Anual]]*Table3[[#This Row],[IT]]</f>
        <v>812.59199999999998</v>
      </c>
      <c r="AD1238" s="8">
        <f>Table3[[#This Row],[PrimaComercial Anual]]*Table3[[#This Row],[IVA]]</f>
        <v>3521.2320000000004</v>
      </c>
      <c r="AE1238" s="15">
        <f>Table3[[#This Row],[PrimaComercial Anual Asistencia]]</f>
        <v>27086.400000000001</v>
      </c>
      <c r="AG1238">
        <v>27086.400000000001</v>
      </c>
    </row>
    <row r="1239" spans="1:33" x14ac:dyDescent="0.25">
      <c r="A1239" t="s">
        <v>17</v>
      </c>
      <c r="B1239">
        <v>1750000</v>
      </c>
      <c r="C1239">
        <v>82</v>
      </c>
      <c r="D1239" s="2">
        <f>Table3[[#This Row],[PrimaTécnica]]-Table3[[#This Row],[PrimaTécnica]]*SUM(Table3[[#This Row],[Gastos Adm]:[Cobranza]])</f>
        <v>12362.0938856064</v>
      </c>
      <c r="E1239">
        <v>0</v>
      </c>
      <c r="F1239">
        <v>0.15</v>
      </c>
      <c r="G1239">
        <v>0.05</v>
      </c>
      <c r="H1239">
        <v>0.01</v>
      </c>
      <c r="I1239">
        <v>0.01</v>
      </c>
      <c r="J1239" s="8">
        <f>Table3[[#This Row],[PrimaTécnica]]*Table3[[#This Row],[Gastos Adm]]</f>
        <v>2377.3257472320001</v>
      </c>
      <c r="K1239" s="8">
        <f>Table3[[#This Row],[PrimaTécnica]]*Table3[[#This Row],[Utilidad]]</f>
        <v>792.44191574400008</v>
      </c>
      <c r="L1239" s="8">
        <f>Table3[[#This Row],[PrimaTécnica]]*Table3[[#This Row],[Marketing]]</f>
        <v>158.48838314880001</v>
      </c>
      <c r="M1239" s="8">
        <f>Table3[[#This Row],[PrimaTécnica]]*Table3[[#This Row],[Cobranza]]</f>
        <v>158.48838314880001</v>
      </c>
      <c r="N123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39">
        <v>21.84</v>
      </c>
      <c r="P1239">
        <v>54.6</v>
      </c>
      <c r="Q1239">
        <v>80.64</v>
      </c>
      <c r="R1239">
        <v>44.377200000000002</v>
      </c>
      <c r="S1239">
        <v>0.2</v>
      </c>
      <c r="T1239">
        <v>0.02</v>
      </c>
      <c r="U1239" s="8">
        <f>Table3[[#This Row],[PrimaNeta]]*Table3[[#This Row],[Comisión]]</f>
        <v>4012.5738787200007</v>
      </c>
      <c r="V1239" s="15">
        <f>Table3[[#This Row],[PrimaComercial Anual]]-Table3[[#This Row],[PrimaComercial Anual]]*SUM(Table3[[#This Row],[APS]:[IVA]])</f>
        <v>20062.869393600002</v>
      </c>
      <c r="W1239" s="2">
        <v>1.4800000000000001E-2</v>
      </c>
      <c r="X1239" s="2">
        <v>8.4501000000000007E-2</v>
      </c>
      <c r="Y1239">
        <v>0.03</v>
      </c>
      <c r="Z1239">
        <v>0.13</v>
      </c>
      <c r="AA1239" s="20">
        <f>Table3[[#This Row],[APS]]*Table3[[#This Row],[PrimaComercial Anual]]</f>
        <v>400.87872000000004</v>
      </c>
      <c r="AB1239" s="8">
        <f>Table3[[#This Row],[PrimaComercial Anual]]*Table3[[#This Row],[Recargo adicional]]</f>
        <v>2288.8278864000004</v>
      </c>
      <c r="AC1239" s="8">
        <f>Table3[[#This Row],[PrimaComercial Anual]]*Table3[[#This Row],[IT]]</f>
        <v>812.59199999999998</v>
      </c>
      <c r="AD1239" s="8">
        <f>Table3[[#This Row],[PrimaComercial Anual]]*Table3[[#This Row],[IVA]]</f>
        <v>3521.2320000000004</v>
      </c>
      <c r="AE1239" s="15">
        <f>Table3[[#This Row],[PrimaComercial Anual Asistencia]]</f>
        <v>27086.400000000001</v>
      </c>
      <c r="AG1239">
        <v>27086.400000000001</v>
      </c>
    </row>
    <row r="1240" spans="1:33" x14ac:dyDescent="0.25">
      <c r="A1240" t="s">
        <v>17</v>
      </c>
      <c r="B1240">
        <v>1750000</v>
      </c>
      <c r="C1240">
        <v>83</v>
      </c>
      <c r="D1240" s="2">
        <f>Table3[[#This Row],[PrimaTécnica]]-Table3[[#This Row],[PrimaTécnica]]*SUM(Table3[[#This Row],[Gastos Adm]:[Cobranza]])</f>
        <v>12362.0938856064</v>
      </c>
      <c r="E1240">
        <v>0</v>
      </c>
      <c r="F1240">
        <v>0.15</v>
      </c>
      <c r="G1240">
        <v>0.05</v>
      </c>
      <c r="H1240">
        <v>0.01</v>
      </c>
      <c r="I1240">
        <v>0.01</v>
      </c>
      <c r="J1240" s="8">
        <f>Table3[[#This Row],[PrimaTécnica]]*Table3[[#This Row],[Gastos Adm]]</f>
        <v>2377.3257472320001</v>
      </c>
      <c r="K1240" s="8">
        <f>Table3[[#This Row],[PrimaTécnica]]*Table3[[#This Row],[Utilidad]]</f>
        <v>792.44191574400008</v>
      </c>
      <c r="L1240" s="8">
        <f>Table3[[#This Row],[PrimaTécnica]]*Table3[[#This Row],[Marketing]]</f>
        <v>158.48838314880001</v>
      </c>
      <c r="M1240" s="8">
        <f>Table3[[#This Row],[PrimaTécnica]]*Table3[[#This Row],[Cobranza]]</f>
        <v>158.48838314880001</v>
      </c>
      <c r="N124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40">
        <v>21.84</v>
      </c>
      <c r="P1240">
        <v>54.6</v>
      </c>
      <c r="Q1240">
        <v>80.64</v>
      </c>
      <c r="R1240">
        <v>44.377200000000002</v>
      </c>
      <c r="S1240">
        <v>0.2</v>
      </c>
      <c r="T1240">
        <v>0.02</v>
      </c>
      <c r="U1240" s="8">
        <f>Table3[[#This Row],[PrimaNeta]]*Table3[[#This Row],[Comisión]]</f>
        <v>4012.5738787200007</v>
      </c>
      <c r="V1240" s="15">
        <f>Table3[[#This Row],[PrimaComercial Anual]]-Table3[[#This Row],[PrimaComercial Anual]]*SUM(Table3[[#This Row],[APS]:[IVA]])</f>
        <v>20062.869393600002</v>
      </c>
      <c r="W1240" s="2">
        <v>1.4800000000000001E-2</v>
      </c>
      <c r="X1240" s="2">
        <v>8.4501000000000007E-2</v>
      </c>
      <c r="Y1240">
        <v>0.03</v>
      </c>
      <c r="Z1240">
        <v>0.13</v>
      </c>
      <c r="AA1240" s="20">
        <f>Table3[[#This Row],[APS]]*Table3[[#This Row],[PrimaComercial Anual]]</f>
        <v>400.87872000000004</v>
      </c>
      <c r="AB1240" s="8">
        <f>Table3[[#This Row],[PrimaComercial Anual]]*Table3[[#This Row],[Recargo adicional]]</f>
        <v>2288.8278864000004</v>
      </c>
      <c r="AC1240" s="8">
        <f>Table3[[#This Row],[PrimaComercial Anual]]*Table3[[#This Row],[IT]]</f>
        <v>812.59199999999998</v>
      </c>
      <c r="AD1240" s="8">
        <f>Table3[[#This Row],[PrimaComercial Anual]]*Table3[[#This Row],[IVA]]</f>
        <v>3521.2320000000004</v>
      </c>
      <c r="AE1240" s="15">
        <f>Table3[[#This Row],[PrimaComercial Anual Asistencia]]</f>
        <v>27086.400000000001</v>
      </c>
      <c r="AG1240">
        <v>27086.400000000001</v>
      </c>
    </row>
    <row r="1241" spans="1:33" x14ac:dyDescent="0.25">
      <c r="A1241" t="s">
        <v>17</v>
      </c>
      <c r="B1241">
        <v>1750000</v>
      </c>
      <c r="C1241">
        <v>84</v>
      </c>
      <c r="D1241" s="2">
        <f>Table3[[#This Row],[PrimaTécnica]]-Table3[[#This Row],[PrimaTécnica]]*SUM(Table3[[#This Row],[Gastos Adm]:[Cobranza]])</f>
        <v>12362.0938856064</v>
      </c>
      <c r="E1241">
        <v>0</v>
      </c>
      <c r="F1241">
        <v>0.15</v>
      </c>
      <c r="G1241">
        <v>0.05</v>
      </c>
      <c r="H1241">
        <v>0.01</v>
      </c>
      <c r="I1241">
        <v>0.01</v>
      </c>
      <c r="J1241" s="8">
        <f>Table3[[#This Row],[PrimaTécnica]]*Table3[[#This Row],[Gastos Adm]]</f>
        <v>2377.3257472320001</v>
      </c>
      <c r="K1241" s="8">
        <f>Table3[[#This Row],[PrimaTécnica]]*Table3[[#This Row],[Utilidad]]</f>
        <v>792.44191574400008</v>
      </c>
      <c r="L1241" s="8">
        <f>Table3[[#This Row],[PrimaTécnica]]*Table3[[#This Row],[Marketing]]</f>
        <v>158.48838314880001</v>
      </c>
      <c r="M1241" s="8">
        <f>Table3[[#This Row],[PrimaTécnica]]*Table3[[#This Row],[Cobranza]]</f>
        <v>158.48838314880001</v>
      </c>
      <c r="N124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41">
        <v>21.84</v>
      </c>
      <c r="P1241">
        <v>54.6</v>
      </c>
      <c r="Q1241">
        <v>80.64</v>
      </c>
      <c r="R1241">
        <v>44.377200000000002</v>
      </c>
      <c r="S1241">
        <v>0.2</v>
      </c>
      <c r="T1241">
        <v>0.02</v>
      </c>
      <c r="U1241" s="8">
        <f>Table3[[#This Row],[PrimaNeta]]*Table3[[#This Row],[Comisión]]</f>
        <v>4012.5738787200007</v>
      </c>
      <c r="V1241" s="15">
        <f>Table3[[#This Row],[PrimaComercial Anual]]-Table3[[#This Row],[PrimaComercial Anual]]*SUM(Table3[[#This Row],[APS]:[IVA]])</f>
        <v>20062.869393600002</v>
      </c>
      <c r="W1241" s="2">
        <v>1.4800000000000001E-2</v>
      </c>
      <c r="X1241" s="2">
        <v>8.4501000000000007E-2</v>
      </c>
      <c r="Y1241">
        <v>0.03</v>
      </c>
      <c r="Z1241">
        <v>0.13</v>
      </c>
      <c r="AA1241" s="20">
        <f>Table3[[#This Row],[APS]]*Table3[[#This Row],[PrimaComercial Anual]]</f>
        <v>400.87872000000004</v>
      </c>
      <c r="AB1241" s="8">
        <f>Table3[[#This Row],[PrimaComercial Anual]]*Table3[[#This Row],[Recargo adicional]]</f>
        <v>2288.8278864000004</v>
      </c>
      <c r="AC1241" s="8">
        <f>Table3[[#This Row],[PrimaComercial Anual]]*Table3[[#This Row],[IT]]</f>
        <v>812.59199999999998</v>
      </c>
      <c r="AD1241" s="8">
        <f>Table3[[#This Row],[PrimaComercial Anual]]*Table3[[#This Row],[IVA]]</f>
        <v>3521.2320000000004</v>
      </c>
      <c r="AE1241" s="15">
        <f>Table3[[#This Row],[PrimaComercial Anual Asistencia]]</f>
        <v>27086.400000000001</v>
      </c>
      <c r="AG1241">
        <v>27086.400000000001</v>
      </c>
    </row>
    <row r="1242" spans="1:33" x14ac:dyDescent="0.25">
      <c r="A1242" t="s">
        <v>17</v>
      </c>
      <c r="B1242">
        <v>1750000</v>
      </c>
      <c r="C1242">
        <v>85</v>
      </c>
      <c r="D1242" s="2">
        <f>Table3[[#This Row],[PrimaTécnica]]-Table3[[#This Row],[PrimaTécnica]]*SUM(Table3[[#This Row],[Gastos Adm]:[Cobranza]])</f>
        <v>12362.0938856064</v>
      </c>
      <c r="E1242">
        <v>0</v>
      </c>
      <c r="F1242">
        <v>0.15</v>
      </c>
      <c r="G1242">
        <v>0.05</v>
      </c>
      <c r="H1242">
        <v>0.01</v>
      </c>
      <c r="I1242">
        <v>0.01</v>
      </c>
      <c r="J1242" s="8">
        <f>Table3[[#This Row],[PrimaTécnica]]*Table3[[#This Row],[Gastos Adm]]</f>
        <v>2377.3257472320001</v>
      </c>
      <c r="K1242" s="8">
        <f>Table3[[#This Row],[PrimaTécnica]]*Table3[[#This Row],[Utilidad]]</f>
        <v>792.44191574400008</v>
      </c>
      <c r="L1242" s="8">
        <f>Table3[[#This Row],[PrimaTécnica]]*Table3[[#This Row],[Marketing]]</f>
        <v>158.48838314880001</v>
      </c>
      <c r="M1242" s="8">
        <f>Table3[[#This Row],[PrimaTécnica]]*Table3[[#This Row],[Cobranza]]</f>
        <v>158.48838314880001</v>
      </c>
      <c r="N124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42">
        <v>21.84</v>
      </c>
      <c r="P1242">
        <v>54.6</v>
      </c>
      <c r="Q1242">
        <v>80.64</v>
      </c>
      <c r="R1242">
        <v>44.377200000000002</v>
      </c>
      <c r="S1242">
        <v>0.2</v>
      </c>
      <c r="T1242">
        <v>0.02</v>
      </c>
      <c r="U1242" s="8">
        <f>Table3[[#This Row],[PrimaNeta]]*Table3[[#This Row],[Comisión]]</f>
        <v>4012.5738787200007</v>
      </c>
      <c r="V1242" s="15">
        <f>Table3[[#This Row],[PrimaComercial Anual]]-Table3[[#This Row],[PrimaComercial Anual]]*SUM(Table3[[#This Row],[APS]:[IVA]])</f>
        <v>20062.869393600002</v>
      </c>
      <c r="W1242" s="2">
        <v>1.4800000000000001E-2</v>
      </c>
      <c r="X1242" s="2">
        <v>8.4501000000000007E-2</v>
      </c>
      <c r="Y1242">
        <v>0.03</v>
      </c>
      <c r="Z1242">
        <v>0.13</v>
      </c>
      <c r="AA1242" s="20">
        <f>Table3[[#This Row],[APS]]*Table3[[#This Row],[PrimaComercial Anual]]</f>
        <v>400.87872000000004</v>
      </c>
      <c r="AB1242" s="8">
        <f>Table3[[#This Row],[PrimaComercial Anual]]*Table3[[#This Row],[Recargo adicional]]</f>
        <v>2288.8278864000004</v>
      </c>
      <c r="AC1242" s="8">
        <f>Table3[[#This Row],[PrimaComercial Anual]]*Table3[[#This Row],[IT]]</f>
        <v>812.59199999999998</v>
      </c>
      <c r="AD1242" s="8">
        <f>Table3[[#This Row],[PrimaComercial Anual]]*Table3[[#This Row],[IVA]]</f>
        <v>3521.2320000000004</v>
      </c>
      <c r="AE1242" s="15">
        <f>Table3[[#This Row],[PrimaComercial Anual Asistencia]]</f>
        <v>27086.400000000001</v>
      </c>
      <c r="AG1242">
        <v>27086.400000000001</v>
      </c>
    </row>
    <row r="1243" spans="1:33" x14ac:dyDescent="0.25">
      <c r="A1243" t="s">
        <v>17</v>
      </c>
      <c r="B1243">
        <v>1750000</v>
      </c>
      <c r="C1243">
        <v>86</v>
      </c>
      <c r="D1243" s="2">
        <f>Table3[[#This Row],[PrimaTécnica]]-Table3[[#This Row],[PrimaTécnica]]*SUM(Table3[[#This Row],[Gastos Adm]:[Cobranza]])</f>
        <v>12362.0938856064</v>
      </c>
      <c r="E1243">
        <v>0</v>
      </c>
      <c r="F1243">
        <v>0.15</v>
      </c>
      <c r="G1243">
        <v>0.05</v>
      </c>
      <c r="H1243">
        <v>0.01</v>
      </c>
      <c r="I1243">
        <v>0.01</v>
      </c>
      <c r="J1243" s="8">
        <f>Table3[[#This Row],[PrimaTécnica]]*Table3[[#This Row],[Gastos Adm]]</f>
        <v>2377.3257472320001</v>
      </c>
      <c r="K1243" s="8">
        <f>Table3[[#This Row],[PrimaTécnica]]*Table3[[#This Row],[Utilidad]]</f>
        <v>792.44191574400008</v>
      </c>
      <c r="L1243" s="8">
        <f>Table3[[#This Row],[PrimaTécnica]]*Table3[[#This Row],[Marketing]]</f>
        <v>158.48838314880001</v>
      </c>
      <c r="M1243" s="8">
        <f>Table3[[#This Row],[PrimaTécnica]]*Table3[[#This Row],[Cobranza]]</f>
        <v>158.48838314880001</v>
      </c>
      <c r="N124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43">
        <v>21.84</v>
      </c>
      <c r="P1243">
        <v>54.6</v>
      </c>
      <c r="Q1243">
        <v>80.64</v>
      </c>
      <c r="R1243">
        <v>44.377200000000002</v>
      </c>
      <c r="S1243">
        <v>0.2</v>
      </c>
      <c r="T1243">
        <v>0.02</v>
      </c>
      <c r="U1243" s="8">
        <f>Table3[[#This Row],[PrimaNeta]]*Table3[[#This Row],[Comisión]]</f>
        <v>4012.5738787200007</v>
      </c>
      <c r="V1243" s="15">
        <f>Table3[[#This Row],[PrimaComercial Anual]]-Table3[[#This Row],[PrimaComercial Anual]]*SUM(Table3[[#This Row],[APS]:[IVA]])</f>
        <v>20062.869393600002</v>
      </c>
      <c r="W1243" s="2">
        <v>1.4800000000000001E-2</v>
      </c>
      <c r="X1243" s="2">
        <v>8.4501000000000007E-2</v>
      </c>
      <c r="Y1243">
        <v>0.03</v>
      </c>
      <c r="Z1243">
        <v>0.13</v>
      </c>
      <c r="AA1243" s="20">
        <f>Table3[[#This Row],[APS]]*Table3[[#This Row],[PrimaComercial Anual]]</f>
        <v>400.87872000000004</v>
      </c>
      <c r="AB1243" s="8">
        <f>Table3[[#This Row],[PrimaComercial Anual]]*Table3[[#This Row],[Recargo adicional]]</f>
        <v>2288.8278864000004</v>
      </c>
      <c r="AC1243" s="8">
        <f>Table3[[#This Row],[PrimaComercial Anual]]*Table3[[#This Row],[IT]]</f>
        <v>812.59199999999998</v>
      </c>
      <c r="AD1243" s="8">
        <f>Table3[[#This Row],[PrimaComercial Anual]]*Table3[[#This Row],[IVA]]</f>
        <v>3521.2320000000004</v>
      </c>
      <c r="AE1243" s="15">
        <f>Table3[[#This Row],[PrimaComercial Anual Asistencia]]</f>
        <v>27086.400000000001</v>
      </c>
      <c r="AG1243">
        <v>27086.400000000001</v>
      </c>
    </row>
    <row r="1244" spans="1:33" x14ac:dyDescent="0.25">
      <c r="A1244" t="s">
        <v>17</v>
      </c>
      <c r="B1244">
        <v>1750000</v>
      </c>
      <c r="C1244">
        <v>87</v>
      </c>
      <c r="D1244" s="2">
        <f>Table3[[#This Row],[PrimaTécnica]]-Table3[[#This Row],[PrimaTécnica]]*SUM(Table3[[#This Row],[Gastos Adm]:[Cobranza]])</f>
        <v>12362.0938856064</v>
      </c>
      <c r="E1244">
        <v>0</v>
      </c>
      <c r="F1244">
        <v>0.15</v>
      </c>
      <c r="G1244">
        <v>0.05</v>
      </c>
      <c r="H1244">
        <v>0.01</v>
      </c>
      <c r="I1244">
        <v>0.01</v>
      </c>
      <c r="J1244" s="8">
        <f>Table3[[#This Row],[PrimaTécnica]]*Table3[[#This Row],[Gastos Adm]]</f>
        <v>2377.3257472320001</v>
      </c>
      <c r="K1244" s="8">
        <f>Table3[[#This Row],[PrimaTécnica]]*Table3[[#This Row],[Utilidad]]</f>
        <v>792.44191574400008</v>
      </c>
      <c r="L1244" s="8">
        <f>Table3[[#This Row],[PrimaTécnica]]*Table3[[#This Row],[Marketing]]</f>
        <v>158.48838314880001</v>
      </c>
      <c r="M1244" s="8">
        <f>Table3[[#This Row],[PrimaTécnica]]*Table3[[#This Row],[Cobranza]]</f>
        <v>158.48838314880001</v>
      </c>
      <c r="N124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44">
        <v>21.84</v>
      </c>
      <c r="P1244">
        <v>54.6</v>
      </c>
      <c r="Q1244">
        <v>80.64</v>
      </c>
      <c r="R1244">
        <v>44.377200000000002</v>
      </c>
      <c r="S1244">
        <v>0.2</v>
      </c>
      <c r="T1244">
        <v>0.02</v>
      </c>
      <c r="U1244" s="8">
        <f>Table3[[#This Row],[PrimaNeta]]*Table3[[#This Row],[Comisión]]</f>
        <v>4012.5738787200007</v>
      </c>
      <c r="V1244" s="15">
        <f>Table3[[#This Row],[PrimaComercial Anual]]-Table3[[#This Row],[PrimaComercial Anual]]*SUM(Table3[[#This Row],[APS]:[IVA]])</f>
        <v>20062.869393600002</v>
      </c>
      <c r="W1244" s="2">
        <v>1.4800000000000001E-2</v>
      </c>
      <c r="X1244" s="2">
        <v>8.4501000000000007E-2</v>
      </c>
      <c r="Y1244">
        <v>0.03</v>
      </c>
      <c r="Z1244">
        <v>0.13</v>
      </c>
      <c r="AA1244" s="20">
        <f>Table3[[#This Row],[APS]]*Table3[[#This Row],[PrimaComercial Anual]]</f>
        <v>400.87872000000004</v>
      </c>
      <c r="AB1244" s="8">
        <f>Table3[[#This Row],[PrimaComercial Anual]]*Table3[[#This Row],[Recargo adicional]]</f>
        <v>2288.8278864000004</v>
      </c>
      <c r="AC1244" s="8">
        <f>Table3[[#This Row],[PrimaComercial Anual]]*Table3[[#This Row],[IT]]</f>
        <v>812.59199999999998</v>
      </c>
      <c r="AD1244" s="8">
        <f>Table3[[#This Row],[PrimaComercial Anual]]*Table3[[#This Row],[IVA]]</f>
        <v>3521.2320000000004</v>
      </c>
      <c r="AE1244" s="15">
        <f>Table3[[#This Row],[PrimaComercial Anual Asistencia]]</f>
        <v>27086.400000000001</v>
      </c>
      <c r="AG1244">
        <v>27086.400000000001</v>
      </c>
    </row>
    <row r="1245" spans="1:33" x14ac:dyDescent="0.25">
      <c r="A1245" t="s">
        <v>17</v>
      </c>
      <c r="B1245">
        <v>1750000</v>
      </c>
      <c r="C1245">
        <v>88</v>
      </c>
      <c r="D1245" s="2">
        <f>Table3[[#This Row],[PrimaTécnica]]-Table3[[#This Row],[PrimaTécnica]]*SUM(Table3[[#This Row],[Gastos Adm]:[Cobranza]])</f>
        <v>12362.0938856064</v>
      </c>
      <c r="E1245">
        <v>0</v>
      </c>
      <c r="F1245">
        <v>0.15</v>
      </c>
      <c r="G1245">
        <v>0.05</v>
      </c>
      <c r="H1245">
        <v>0.01</v>
      </c>
      <c r="I1245">
        <v>0.01</v>
      </c>
      <c r="J1245" s="8">
        <f>Table3[[#This Row],[PrimaTécnica]]*Table3[[#This Row],[Gastos Adm]]</f>
        <v>2377.3257472320001</v>
      </c>
      <c r="K1245" s="8">
        <f>Table3[[#This Row],[PrimaTécnica]]*Table3[[#This Row],[Utilidad]]</f>
        <v>792.44191574400008</v>
      </c>
      <c r="L1245" s="8">
        <f>Table3[[#This Row],[PrimaTécnica]]*Table3[[#This Row],[Marketing]]</f>
        <v>158.48838314880001</v>
      </c>
      <c r="M1245" s="8">
        <f>Table3[[#This Row],[PrimaTécnica]]*Table3[[#This Row],[Cobranza]]</f>
        <v>158.48838314880001</v>
      </c>
      <c r="N124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45">
        <v>21.84</v>
      </c>
      <c r="P1245">
        <v>54.6</v>
      </c>
      <c r="Q1245">
        <v>80.64</v>
      </c>
      <c r="R1245">
        <v>44.377200000000002</v>
      </c>
      <c r="S1245">
        <v>0.2</v>
      </c>
      <c r="T1245">
        <v>0.02</v>
      </c>
      <c r="U1245" s="8">
        <f>Table3[[#This Row],[PrimaNeta]]*Table3[[#This Row],[Comisión]]</f>
        <v>4012.5738787200007</v>
      </c>
      <c r="V1245" s="15">
        <f>Table3[[#This Row],[PrimaComercial Anual]]-Table3[[#This Row],[PrimaComercial Anual]]*SUM(Table3[[#This Row],[APS]:[IVA]])</f>
        <v>20062.869393600002</v>
      </c>
      <c r="W1245" s="2">
        <v>1.4800000000000001E-2</v>
      </c>
      <c r="X1245" s="2">
        <v>8.4501000000000007E-2</v>
      </c>
      <c r="Y1245">
        <v>0.03</v>
      </c>
      <c r="Z1245">
        <v>0.13</v>
      </c>
      <c r="AA1245" s="20">
        <f>Table3[[#This Row],[APS]]*Table3[[#This Row],[PrimaComercial Anual]]</f>
        <v>400.87872000000004</v>
      </c>
      <c r="AB1245" s="8">
        <f>Table3[[#This Row],[PrimaComercial Anual]]*Table3[[#This Row],[Recargo adicional]]</f>
        <v>2288.8278864000004</v>
      </c>
      <c r="AC1245" s="8">
        <f>Table3[[#This Row],[PrimaComercial Anual]]*Table3[[#This Row],[IT]]</f>
        <v>812.59199999999998</v>
      </c>
      <c r="AD1245" s="8">
        <f>Table3[[#This Row],[PrimaComercial Anual]]*Table3[[#This Row],[IVA]]</f>
        <v>3521.2320000000004</v>
      </c>
      <c r="AE1245" s="15">
        <f>Table3[[#This Row],[PrimaComercial Anual Asistencia]]</f>
        <v>27086.400000000001</v>
      </c>
      <c r="AG1245">
        <v>27086.400000000001</v>
      </c>
    </row>
    <row r="1246" spans="1:33" x14ac:dyDescent="0.25">
      <c r="A1246" t="s">
        <v>17</v>
      </c>
      <c r="B1246">
        <v>1750000</v>
      </c>
      <c r="C1246">
        <v>89</v>
      </c>
      <c r="D1246" s="2">
        <f>Table3[[#This Row],[PrimaTécnica]]-Table3[[#This Row],[PrimaTécnica]]*SUM(Table3[[#This Row],[Gastos Adm]:[Cobranza]])</f>
        <v>12362.0938856064</v>
      </c>
      <c r="E1246">
        <v>0</v>
      </c>
      <c r="F1246">
        <v>0.15</v>
      </c>
      <c r="G1246">
        <v>0.05</v>
      </c>
      <c r="H1246">
        <v>0.01</v>
      </c>
      <c r="I1246">
        <v>0.01</v>
      </c>
      <c r="J1246" s="8">
        <f>Table3[[#This Row],[PrimaTécnica]]*Table3[[#This Row],[Gastos Adm]]</f>
        <v>2377.3257472320001</v>
      </c>
      <c r="K1246" s="8">
        <f>Table3[[#This Row],[PrimaTécnica]]*Table3[[#This Row],[Utilidad]]</f>
        <v>792.44191574400008</v>
      </c>
      <c r="L1246" s="8">
        <f>Table3[[#This Row],[PrimaTécnica]]*Table3[[#This Row],[Marketing]]</f>
        <v>158.48838314880001</v>
      </c>
      <c r="M1246" s="8">
        <f>Table3[[#This Row],[PrimaTécnica]]*Table3[[#This Row],[Cobranza]]</f>
        <v>158.48838314880001</v>
      </c>
      <c r="N124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46">
        <v>21.84</v>
      </c>
      <c r="P1246">
        <v>54.6</v>
      </c>
      <c r="Q1246">
        <v>80.64</v>
      </c>
      <c r="R1246">
        <v>44.377200000000002</v>
      </c>
      <c r="S1246">
        <v>0.2</v>
      </c>
      <c r="T1246">
        <v>0.02</v>
      </c>
      <c r="U1246" s="8">
        <f>Table3[[#This Row],[PrimaNeta]]*Table3[[#This Row],[Comisión]]</f>
        <v>4012.5738787200007</v>
      </c>
      <c r="V1246" s="15">
        <f>Table3[[#This Row],[PrimaComercial Anual]]-Table3[[#This Row],[PrimaComercial Anual]]*SUM(Table3[[#This Row],[APS]:[IVA]])</f>
        <v>20062.869393600002</v>
      </c>
      <c r="W1246" s="2">
        <v>1.4800000000000001E-2</v>
      </c>
      <c r="X1246" s="2">
        <v>8.4501000000000007E-2</v>
      </c>
      <c r="Y1246">
        <v>0.03</v>
      </c>
      <c r="Z1246">
        <v>0.13</v>
      </c>
      <c r="AA1246" s="20">
        <f>Table3[[#This Row],[APS]]*Table3[[#This Row],[PrimaComercial Anual]]</f>
        <v>400.87872000000004</v>
      </c>
      <c r="AB1246" s="8">
        <f>Table3[[#This Row],[PrimaComercial Anual]]*Table3[[#This Row],[Recargo adicional]]</f>
        <v>2288.8278864000004</v>
      </c>
      <c r="AC1246" s="8">
        <f>Table3[[#This Row],[PrimaComercial Anual]]*Table3[[#This Row],[IT]]</f>
        <v>812.59199999999998</v>
      </c>
      <c r="AD1246" s="8">
        <f>Table3[[#This Row],[PrimaComercial Anual]]*Table3[[#This Row],[IVA]]</f>
        <v>3521.2320000000004</v>
      </c>
      <c r="AE1246" s="15">
        <f>Table3[[#This Row],[PrimaComercial Anual Asistencia]]</f>
        <v>27086.400000000001</v>
      </c>
      <c r="AG1246">
        <v>27086.400000000001</v>
      </c>
    </row>
    <row r="1247" spans="1:33" x14ac:dyDescent="0.25">
      <c r="A1247" t="s">
        <v>17</v>
      </c>
      <c r="B1247">
        <v>1750000</v>
      </c>
      <c r="C1247">
        <v>90</v>
      </c>
      <c r="D1247" s="2">
        <f>Table3[[#This Row],[PrimaTécnica]]-Table3[[#This Row],[PrimaTécnica]]*SUM(Table3[[#This Row],[Gastos Adm]:[Cobranza]])</f>
        <v>12362.0938856064</v>
      </c>
      <c r="E1247">
        <v>0</v>
      </c>
      <c r="F1247">
        <v>0.15</v>
      </c>
      <c r="G1247">
        <v>0.05</v>
      </c>
      <c r="H1247">
        <v>0.01</v>
      </c>
      <c r="I1247">
        <v>0.01</v>
      </c>
      <c r="J1247" s="8">
        <f>Table3[[#This Row],[PrimaTécnica]]*Table3[[#This Row],[Gastos Adm]]</f>
        <v>2377.3257472320001</v>
      </c>
      <c r="K1247" s="8">
        <f>Table3[[#This Row],[PrimaTécnica]]*Table3[[#This Row],[Utilidad]]</f>
        <v>792.44191574400008</v>
      </c>
      <c r="L1247" s="8">
        <f>Table3[[#This Row],[PrimaTécnica]]*Table3[[#This Row],[Marketing]]</f>
        <v>158.48838314880001</v>
      </c>
      <c r="M1247" s="8">
        <f>Table3[[#This Row],[PrimaTécnica]]*Table3[[#This Row],[Cobranza]]</f>
        <v>158.48838314880001</v>
      </c>
      <c r="N124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47">
        <v>21.84</v>
      </c>
      <c r="P1247">
        <v>54.6</v>
      </c>
      <c r="Q1247">
        <v>80.64</v>
      </c>
      <c r="R1247">
        <v>44.377200000000002</v>
      </c>
      <c r="S1247">
        <v>0.2</v>
      </c>
      <c r="T1247">
        <v>0.02</v>
      </c>
      <c r="U1247" s="8">
        <f>Table3[[#This Row],[PrimaNeta]]*Table3[[#This Row],[Comisión]]</f>
        <v>4012.5738787200007</v>
      </c>
      <c r="V1247" s="15">
        <f>Table3[[#This Row],[PrimaComercial Anual]]-Table3[[#This Row],[PrimaComercial Anual]]*SUM(Table3[[#This Row],[APS]:[IVA]])</f>
        <v>20062.869393600002</v>
      </c>
      <c r="W1247" s="2">
        <v>1.4800000000000001E-2</v>
      </c>
      <c r="X1247" s="2">
        <v>8.4501000000000007E-2</v>
      </c>
      <c r="Y1247">
        <v>0.03</v>
      </c>
      <c r="Z1247">
        <v>0.13</v>
      </c>
      <c r="AA1247" s="20">
        <f>Table3[[#This Row],[APS]]*Table3[[#This Row],[PrimaComercial Anual]]</f>
        <v>400.87872000000004</v>
      </c>
      <c r="AB1247" s="8">
        <f>Table3[[#This Row],[PrimaComercial Anual]]*Table3[[#This Row],[Recargo adicional]]</f>
        <v>2288.8278864000004</v>
      </c>
      <c r="AC1247" s="8">
        <f>Table3[[#This Row],[PrimaComercial Anual]]*Table3[[#This Row],[IT]]</f>
        <v>812.59199999999998</v>
      </c>
      <c r="AD1247" s="8">
        <f>Table3[[#This Row],[PrimaComercial Anual]]*Table3[[#This Row],[IVA]]</f>
        <v>3521.2320000000004</v>
      </c>
      <c r="AE1247" s="15">
        <f>Table3[[#This Row],[PrimaComercial Anual Asistencia]]</f>
        <v>27086.400000000001</v>
      </c>
      <c r="AG1247">
        <v>27086.400000000001</v>
      </c>
    </row>
    <row r="1248" spans="1:33" x14ac:dyDescent="0.25">
      <c r="A1248" t="s">
        <v>17</v>
      </c>
      <c r="B1248">
        <v>1750000</v>
      </c>
      <c r="C1248">
        <v>91</v>
      </c>
      <c r="D1248" s="2">
        <f>Table3[[#This Row],[PrimaTécnica]]-Table3[[#This Row],[PrimaTécnica]]*SUM(Table3[[#This Row],[Gastos Adm]:[Cobranza]])</f>
        <v>12362.0938856064</v>
      </c>
      <c r="E1248">
        <v>0</v>
      </c>
      <c r="F1248">
        <v>0.15</v>
      </c>
      <c r="G1248">
        <v>0.05</v>
      </c>
      <c r="H1248">
        <v>0.01</v>
      </c>
      <c r="I1248">
        <v>0.01</v>
      </c>
      <c r="J1248" s="8">
        <f>Table3[[#This Row],[PrimaTécnica]]*Table3[[#This Row],[Gastos Adm]]</f>
        <v>2377.3257472320001</v>
      </c>
      <c r="K1248" s="8">
        <f>Table3[[#This Row],[PrimaTécnica]]*Table3[[#This Row],[Utilidad]]</f>
        <v>792.44191574400008</v>
      </c>
      <c r="L1248" s="8">
        <f>Table3[[#This Row],[PrimaTécnica]]*Table3[[#This Row],[Marketing]]</f>
        <v>158.48838314880001</v>
      </c>
      <c r="M1248" s="8">
        <f>Table3[[#This Row],[PrimaTécnica]]*Table3[[#This Row],[Cobranza]]</f>
        <v>158.48838314880001</v>
      </c>
      <c r="N124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48">
        <v>21.84</v>
      </c>
      <c r="P1248">
        <v>54.6</v>
      </c>
      <c r="Q1248">
        <v>80.64</v>
      </c>
      <c r="R1248">
        <v>44.377200000000002</v>
      </c>
      <c r="S1248">
        <v>0.2</v>
      </c>
      <c r="T1248">
        <v>0.02</v>
      </c>
      <c r="U1248" s="8">
        <f>Table3[[#This Row],[PrimaNeta]]*Table3[[#This Row],[Comisión]]</f>
        <v>4012.5738787200007</v>
      </c>
      <c r="V1248" s="15">
        <f>Table3[[#This Row],[PrimaComercial Anual]]-Table3[[#This Row],[PrimaComercial Anual]]*SUM(Table3[[#This Row],[APS]:[IVA]])</f>
        <v>20062.869393600002</v>
      </c>
      <c r="W1248" s="2">
        <v>1.4800000000000001E-2</v>
      </c>
      <c r="X1248" s="2">
        <v>8.4501000000000007E-2</v>
      </c>
      <c r="Y1248">
        <v>0.03</v>
      </c>
      <c r="Z1248">
        <v>0.13</v>
      </c>
      <c r="AA1248" s="20">
        <f>Table3[[#This Row],[APS]]*Table3[[#This Row],[PrimaComercial Anual]]</f>
        <v>400.87872000000004</v>
      </c>
      <c r="AB1248" s="8">
        <f>Table3[[#This Row],[PrimaComercial Anual]]*Table3[[#This Row],[Recargo adicional]]</f>
        <v>2288.8278864000004</v>
      </c>
      <c r="AC1248" s="8">
        <f>Table3[[#This Row],[PrimaComercial Anual]]*Table3[[#This Row],[IT]]</f>
        <v>812.59199999999998</v>
      </c>
      <c r="AD1248" s="8">
        <f>Table3[[#This Row],[PrimaComercial Anual]]*Table3[[#This Row],[IVA]]</f>
        <v>3521.2320000000004</v>
      </c>
      <c r="AE1248" s="15">
        <f>Table3[[#This Row],[PrimaComercial Anual Asistencia]]</f>
        <v>27086.400000000001</v>
      </c>
      <c r="AG1248">
        <v>27086.400000000001</v>
      </c>
    </row>
    <row r="1249" spans="1:33" x14ac:dyDescent="0.25">
      <c r="A1249" t="s">
        <v>17</v>
      </c>
      <c r="B1249">
        <v>1750000</v>
      </c>
      <c r="C1249">
        <v>92</v>
      </c>
      <c r="D1249" s="2">
        <f>Table3[[#This Row],[PrimaTécnica]]-Table3[[#This Row],[PrimaTécnica]]*SUM(Table3[[#This Row],[Gastos Adm]:[Cobranza]])</f>
        <v>12362.0938856064</v>
      </c>
      <c r="E1249">
        <v>0</v>
      </c>
      <c r="F1249">
        <v>0.15</v>
      </c>
      <c r="G1249">
        <v>0.05</v>
      </c>
      <c r="H1249">
        <v>0.01</v>
      </c>
      <c r="I1249">
        <v>0.01</v>
      </c>
      <c r="J1249" s="8">
        <f>Table3[[#This Row],[PrimaTécnica]]*Table3[[#This Row],[Gastos Adm]]</f>
        <v>2377.3257472320001</v>
      </c>
      <c r="K1249" s="8">
        <f>Table3[[#This Row],[PrimaTécnica]]*Table3[[#This Row],[Utilidad]]</f>
        <v>792.44191574400008</v>
      </c>
      <c r="L1249" s="8">
        <f>Table3[[#This Row],[PrimaTécnica]]*Table3[[#This Row],[Marketing]]</f>
        <v>158.48838314880001</v>
      </c>
      <c r="M1249" s="8">
        <f>Table3[[#This Row],[PrimaTécnica]]*Table3[[#This Row],[Cobranza]]</f>
        <v>158.48838314880001</v>
      </c>
      <c r="N124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49">
        <v>21.84</v>
      </c>
      <c r="P1249">
        <v>54.6</v>
      </c>
      <c r="Q1249">
        <v>80.64</v>
      </c>
      <c r="R1249">
        <v>44.377200000000002</v>
      </c>
      <c r="S1249">
        <v>0.2</v>
      </c>
      <c r="T1249">
        <v>0.02</v>
      </c>
      <c r="U1249" s="8">
        <f>Table3[[#This Row],[PrimaNeta]]*Table3[[#This Row],[Comisión]]</f>
        <v>4012.5738787200007</v>
      </c>
      <c r="V1249" s="15">
        <f>Table3[[#This Row],[PrimaComercial Anual]]-Table3[[#This Row],[PrimaComercial Anual]]*SUM(Table3[[#This Row],[APS]:[IVA]])</f>
        <v>20062.869393600002</v>
      </c>
      <c r="W1249" s="2">
        <v>1.4800000000000001E-2</v>
      </c>
      <c r="X1249" s="2">
        <v>8.4501000000000007E-2</v>
      </c>
      <c r="Y1249">
        <v>0.03</v>
      </c>
      <c r="Z1249">
        <v>0.13</v>
      </c>
      <c r="AA1249" s="20">
        <f>Table3[[#This Row],[APS]]*Table3[[#This Row],[PrimaComercial Anual]]</f>
        <v>400.87872000000004</v>
      </c>
      <c r="AB1249" s="8">
        <f>Table3[[#This Row],[PrimaComercial Anual]]*Table3[[#This Row],[Recargo adicional]]</f>
        <v>2288.8278864000004</v>
      </c>
      <c r="AC1249" s="8">
        <f>Table3[[#This Row],[PrimaComercial Anual]]*Table3[[#This Row],[IT]]</f>
        <v>812.59199999999998</v>
      </c>
      <c r="AD1249" s="8">
        <f>Table3[[#This Row],[PrimaComercial Anual]]*Table3[[#This Row],[IVA]]</f>
        <v>3521.2320000000004</v>
      </c>
      <c r="AE1249" s="15">
        <f>Table3[[#This Row],[PrimaComercial Anual Asistencia]]</f>
        <v>27086.400000000001</v>
      </c>
      <c r="AG1249">
        <v>27086.400000000001</v>
      </c>
    </row>
    <row r="1250" spans="1:33" x14ac:dyDescent="0.25">
      <c r="A1250" t="s">
        <v>17</v>
      </c>
      <c r="B1250">
        <v>1750000</v>
      </c>
      <c r="C1250">
        <v>93</v>
      </c>
      <c r="D1250" s="2">
        <f>Table3[[#This Row],[PrimaTécnica]]-Table3[[#This Row],[PrimaTécnica]]*SUM(Table3[[#This Row],[Gastos Adm]:[Cobranza]])</f>
        <v>12362.0938856064</v>
      </c>
      <c r="E1250">
        <v>0</v>
      </c>
      <c r="F1250">
        <v>0.15</v>
      </c>
      <c r="G1250">
        <v>0.05</v>
      </c>
      <c r="H1250">
        <v>0.01</v>
      </c>
      <c r="I1250">
        <v>0.01</v>
      </c>
      <c r="J1250" s="8">
        <f>Table3[[#This Row],[PrimaTécnica]]*Table3[[#This Row],[Gastos Adm]]</f>
        <v>2377.3257472320001</v>
      </c>
      <c r="K1250" s="8">
        <f>Table3[[#This Row],[PrimaTécnica]]*Table3[[#This Row],[Utilidad]]</f>
        <v>792.44191574400008</v>
      </c>
      <c r="L1250" s="8">
        <f>Table3[[#This Row],[PrimaTécnica]]*Table3[[#This Row],[Marketing]]</f>
        <v>158.48838314880001</v>
      </c>
      <c r="M1250" s="8">
        <f>Table3[[#This Row],[PrimaTécnica]]*Table3[[#This Row],[Cobranza]]</f>
        <v>158.48838314880001</v>
      </c>
      <c r="N125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50">
        <v>21.84</v>
      </c>
      <c r="P1250">
        <v>54.6</v>
      </c>
      <c r="Q1250">
        <v>80.64</v>
      </c>
      <c r="R1250">
        <v>44.377200000000002</v>
      </c>
      <c r="S1250">
        <v>0.2</v>
      </c>
      <c r="T1250">
        <v>0.02</v>
      </c>
      <c r="U1250" s="8">
        <f>Table3[[#This Row],[PrimaNeta]]*Table3[[#This Row],[Comisión]]</f>
        <v>4012.5738787200007</v>
      </c>
      <c r="V1250" s="15">
        <f>Table3[[#This Row],[PrimaComercial Anual]]-Table3[[#This Row],[PrimaComercial Anual]]*SUM(Table3[[#This Row],[APS]:[IVA]])</f>
        <v>20062.869393600002</v>
      </c>
      <c r="W1250" s="2">
        <v>1.4800000000000001E-2</v>
      </c>
      <c r="X1250" s="2">
        <v>8.4501000000000007E-2</v>
      </c>
      <c r="Y1250">
        <v>0.03</v>
      </c>
      <c r="Z1250">
        <v>0.13</v>
      </c>
      <c r="AA1250" s="20">
        <f>Table3[[#This Row],[APS]]*Table3[[#This Row],[PrimaComercial Anual]]</f>
        <v>400.87872000000004</v>
      </c>
      <c r="AB1250" s="8">
        <f>Table3[[#This Row],[PrimaComercial Anual]]*Table3[[#This Row],[Recargo adicional]]</f>
        <v>2288.8278864000004</v>
      </c>
      <c r="AC1250" s="8">
        <f>Table3[[#This Row],[PrimaComercial Anual]]*Table3[[#This Row],[IT]]</f>
        <v>812.59199999999998</v>
      </c>
      <c r="AD1250" s="8">
        <f>Table3[[#This Row],[PrimaComercial Anual]]*Table3[[#This Row],[IVA]]</f>
        <v>3521.2320000000004</v>
      </c>
      <c r="AE1250" s="15">
        <f>Table3[[#This Row],[PrimaComercial Anual Asistencia]]</f>
        <v>27086.400000000001</v>
      </c>
      <c r="AG1250">
        <v>27086.400000000001</v>
      </c>
    </row>
    <row r="1251" spans="1:33" x14ac:dyDescent="0.25">
      <c r="A1251" t="s">
        <v>17</v>
      </c>
      <c r="B1251">
        <v>1750000</v>
      </c>
      <c r="C1251">
        <v>94</v>
      </c>
      <c r="D1251" s="2">
        <f>Table3[[#This Row],[PrimaTécnica]]-Table3[[#This Row],[PrimaTécnica]]*SUM(Table3[[#This Row],[Gastos Adm]:[Cobranza]])</f>
        <v>12362.0938856064</v>
      </c>
      <c r="E1251">
        <v>0</v>
      </c>
      <c r="F1251">
        <v>0.15</v>
      </c>
      <c r="G1251">
        <v>0.05</v>
      </c>
      <c r="H1251">
        <v>0.01</v>
      </c>
      <c r="I1251">
        <v>0.01</v>
      </c>
      <c r="J1251" s="8">
        <f>Table3[[#This Row],[PrimaTécnica]]*Table3[[#This Row],[Gastos Adm]]</f>
        <v>2377.3257472320001</v>
      </c>
      <c r="K1251" s="8">
        <f>Table3[[#This Row],[PrimaTécnica]]*Table3[[#This Row],[Utilidad]]</f>
        <v>792.44191574400008</v>
      </c>
      <c r="L1251" s="8">
        <f>Table3[[#This Row],[PrimaTécnica]]*Table3[[#This Row],[Marketing]]</f>
        <v>158.48838314880001</v>
      </c>
      <c r="M1251" s="8">
        <f>Table3[[#This Row],[PrimaTécnica]]*Table3[[#This Row],[Cobranza]]</f>
        <v>158.48838314880001</v>
      </c>
      <c r="N125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51">
        <v>21.84</v>
      </c>
      <c r="P1251">
        <v>54.6</v>
      </c>
      <c r="Q1251">
        <v>80.64</v>
      </c>
      <c r="R1251">
        <v>44.377200000000002</v>
      </c>
      <c r="S1251">
        <v>0.2</v>
      </c>
      <c r="T1251">
        <v>0.02</v>
      </c>
      <c r="U1251" s="8">
        <f>Table3[[#This Row],[PrimaNeta]]*Table3[[#This Row],[Comisión]]</f>
        <v>4012.5738787200007</v>
      </c>
      <c r="V1251" s="15">
        <f>Table3[[#This Row],[PrimaComercial Anual]]-Table3[[#This Row],[PrimaComercial Anual]]*SUM(Table3[[#This Row],[APS]:[IVA]])</f>
        <v>20062.869393600002</v>
      </c>
      <c r="W1251" s="2">
        <v>1.4800000000000001E-2</v>
      </c>
      <c r="X1251" s="2">
        <v>8.4501000000000007E-2</v>
      </c>
      <c r="Y1251">
        <v>0.03</v>
      </c>
      <c r="Z1251">
        <v>0.13</v>
      </c>
      <c r="AA1251" s="20">
        <f>Table3[[#This Row],[APS]]*Table3[[#This Row],[PrimaComercial Anual]]</f>
        <v>400.87872000000004</v>
      </c>
      <c r="AB1251" s="8">
        <f>Table3[[#This Row],[PrimaComercial Anual]]*Table3[[#This Row],[Recargo adicional]]</f>
        <v>2288.8278864000004</v>
      </c>
      <c r="AC1251" s="8">
        <f>Table3[[#This Row],[PrimaComercial Anual]]*Table3[[#This Row],[IT]]</f>
        <v>812.59199999999998</v>
      </c>
      <c r="AD1251" s="8">
        <f>Table3[[#This Row],[PrimaComercial Anual]]*Table3[[#This Row],[IVA]]</f>
        <v>3521.2320000000004</v>
      </c>
      <c r="AE1251" s="15">
        <f>Table3[[#This Row],[PrimaComercial Anual Asistencia]]</f>
        <v>27086.400000000001</v>
      </c>
      <c r="AG1251">
        <v>27086.400000000001</v>
      </c>
    </row>
    <row r="1252" spans="1:33" x14ac:dyDescent="0.25">
      <c r="A1252" t="s">
        <v>17</v>
      </c>
      <c r="B1252">
        <v>1750000</v>
      </c>
      <c r="C1252">
        <v>95</v>
      </c>
      <c r="D1252" s="2">
        <f>Table3[[#This Row],[PrimaTécnica]]-Table3[[#This Row],[PrimaTécnica]]*SUM(Table3[[#This Row],[Gastos Adm]:[Cobranza]])</f>
        <v>12362.0938856064</v>
      </c>
      <c r="E1252">
        <v>0</v>
      </c>
      <c r="F1252">
        <v>0.15</v>
      </c>
      <c r="G1252">
        <v>0.05</v>
      </c>
      <c r="H1252">
        <v>0.01</v>
      </c>
      <c r="I1252">
        <v>0.01</v>
      </c>
      <c r="J1252" s="8">
        <f>Table3[[#This Row],[PrimaTécnica]]*Table3[[#This Row],[Gastos Adm]]</f>
        <v>2377.3257472320001</v>
      </c>
      <c r="K1252" s="8">
        <f>Table3[[#This Row],[PrimaTécnica]]*Table3[[#This Row],[Utilidad]]</f>
        <v>792.44191574400008</v>
      </c>
      <c r="L1252" s="8">
        <f>Table3[[#This Row],[PrimaTécnica]]*Table3[[#This Row],[Marketing]]</f>
        <v>158.48838314880001</v>
      </c>
      <c r="M1252" s="8">
        <f>Table3[[#This Row],[PrimaTécnica]]*Table3[[#This Row],[Cobranza]]</f>
        <v>158.48838314880001</v>
      </c>
      <c r="N125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52">
        <v>21.84</v>
      </c>
      <c r="P1252">
        <v>54.6</v>
      </c>
      <c r="Q1252">
        <v>80.64</v>
      </c>
      <c r="R1252">
        <v>44.377200000000002</v>
      </c>
      <c r="S1252">
        <v>0.2</v>
      </c>
      <c r="T1252">
        <v>0.02</v>
      </c>
      <c r="U1252" s="8">
        <f>Table3[[#This Row],[PrimaNeta]]*Table3[[#This Row],[Comisión]]</f>
        <v>4012.5738787200007</v>
      </c>
      <c r="V1252" s="15">
        <f>Table3[[#This Row],[PrimaComercial Anual]]-Table3[[#This Row],[PrimaComercial Anual]]*SUM(Table3[[#This Row],[APS]:[IVA]])</f>
        <v>20062.869393600002</v>
      </c>
      <c r="W1252" s="2">
        <v>1.4800000000000001E-2</v>
      </c>
      <c r="X1252" s="2">
        <v>8.4501000000000007E-2</v>
      </c>
      <c r="Y1252">
        <v>0.03</v>
      </c>
      <c r="Z1252">
        <v>0.13</v>
      </c>
      <c r="AA1252" s="20">
        <f>Table3[[#This Row],[APS]]*Table3[[#This Row],[PrimaComercial Anual]]</f>
        <v>400.87872000000004</v>
      </c>
      <c r="AB1252" s="8">
        <f>Table3[[#This Row],[PrimaComercial Anual]]*Table3[[#This Row],[Recargo adicional]]</f>
        <v>2288.8278864000004</v>
      </c>
      <c r="AC1252" s="8">
        <f>Table3[[#This Row],[PrimaComercial Anual]]*Table3[[#This Row],[IT]]</f>
        <v>812.59199999999998</v>
      </c>
      <c r="AD1252" s="8">
        <f>Table3[[#This Row],[PrimaComercial Anual]]*Table3[[#This Row],[IVA]]</f>
        <v>3521.2320000000004</v>
      </c>
      <c r="AE1252" s="15">
        <f>Table3[[#This Row],[PrimaComercial Anual Asistencia]]</f>
        <v>27086.400000000001</v>
      </c>
      <c r="AG1252">
        <v>27086.400000000001</v>
      </c>
    </row>
    <row r="1253" spans="1:33" x14ac:dyDescent="0.25">
      <c r="A1253" t="s">
        <v>17</v>
      </c>
      <c r="B1253">
        <v>1750000</v>
      </c>
      <c r="C1253">
        <v>96</v>
      </c>
      <c r="D1253" s="2">
        <f>Table3[[#This Row],[PrimaTécnica]]-Table3[[#This Row],[PrimaTécnica]]*SUM(Table3[[#This Row],[Gastos Adm]:[Cobranza]])</f>
        <v>12362.0938856064</v>
      </c>
      <c r="E1253">
        <v>0</v>
      </c>
      <c r="F1253">
        <v>0.15</v>
      </c>
      <c r="G1253">
        <v>0.05</v>
      </c>
      <c r="H1253">
        <v>0.01</v>
      </c>
      <c r="I1253">
        <v>0.01</v>
      </c>
      <c r="J1253" s="8">
        <f>Table3[[#This Row],[PrimaTécnica]]*Table3[[#This Row],[Gastos Adm]]</f>
        <v>2377.3257472320001</v>
      </c>
      <c r="K1253" s="8">
        <f>Table3[[#This Row],[PrimaTécnica]]*Table3[[#This Row],[Utilidad]]</f>
        <v>792.44191574400008</v>
      </c>
      <c r="L1253" s="8">
        <f>Table3[[#This Row],[PrimaTécnica]]*Table3[[#This Row],[Marketing]]</f>
        <v>158.48838314880001</v>
      </c>
      <c r="M1253" s="8">
        <f>Table3[[#This Row],[PrimaTécnica]]*Table3[[#This Row],[Cobranza]]</f>
        <v>158.48838314880001</v>
      </c>
      <c r="N125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53">
        <v>21.84</v>
      </c>
      <c r="P1253">
        <v>54.6</v>
      </c>
      <c r="Q1253">
        <v>80.64</v>
      </c>
      <c r="R1253">
        <v>44.377200000000002</v>
      </c>
      <c r="S1253">
        <v>0.2</v>
      </c>
      <c r="T1253">
        <v>0.02</v>
      </c>
      <c r="U1253" s="8">
        <f>Table3[[#This Row],[PrimaNeta]]*Table3[[#This Row],[Comisión]]</f>
        <v>4012.5738787200007</v>
      </c>
      <c r="V1253" s="15">
        <f>Table3[[#This Row],[PrimaComercial Anual]]-Table3[[#This Row],[PrimaComercial Anual]]*SUM(Table3[[#This Row],[APS]:[IVA]])</f>
        <v>20062.869393600002</v>
      </c>
      <c r="W1253" s="2">
        <v>1.4800000000000001E-2</v>
      </c>
      <c r="X1253" s="2">
        <v>8.4501000000000007E-2</v>
      </c>
      <c r="Y1253">
        <v>0.03</v>
      </c>
      <c r="Z1253">
        <v>0.13</v>
      </c>
      <c r="AA1253" s="20">
        <f>Table3[[#This Row],[APS]]*Table3[[#This Row],[PrimaComercial Anual]]</f>
        <v>400.87872000000004</v>
      </c>
      <c r="AB1253" s="8">
        <f>Table3[[#This Row],[PrimaComercial Anual]]*Table3[[#This Row],[Recargo adicional]]</f>
        <v>2288.8278864000004</v>
      </c>
      <c r="AC1253" s="8">
        <f>Table3[[#This Row],[PrimaComercial Anual]]*Table3[[#This Row],[IT]]</f>
        <v>812.59199999999998</v>
      </c>
      <c r="AD1253" s="8">
        <f>Table3[[#This Row],[PrimaComercial Anual]]*Table3[[#This Row],[IVA]]</f>
        <v>3521.2320000000004</v>
      </c>
      <c r="AE1253" s="15">
        <f>Table3[[#This Row],[PrimaComercial Anual Asistencia]]</f>
        <v>27086.400000000001</v>
      </c>
      <c r="AG1253">
        <v>27086.400000000001</v>
      </c>
    </row>
    <row r="1254" spans="1:33" x14ac:dyDescent="0.25">
      <c r="A1254" t="s">
        <v>17</v>
      </c>
      <c r="B1254">
        <v>1750000</v>
      </c>
      <c r="C1254">
        <v>97</v>
      </c>
      <c r="D1254" s="2">
        <f>Table3[[#This Row],[PrimaTécnica]]-Table3[[#This Row],[PrimaTécnica]]*SUM(Table3[[#This Row],[Gastos Adm]:[Cobranza]])</f>
        <v>12362.0938856064</v>
      </c>
      <c r="E1254">
        <v>0</v>
      </c>
      <c r="F1254">
        <v>0.15</v>
      </c>
      <c r="G1254">
        <v>0.05</v>
      </c>
      <c r="H1254">
        <v>0.01</v>
      </c>
      <c r="I1254">
        <v>0.01</v>
      </c>
      <c r="J1254" s="8">
        <f>Table3[[#This Row],[PrimaTécnica]]*Table3[[#This Row],[Gastos Adm]]</f>
        <v>2377.3257472320001</v>
      </c>
      <c r="K1254" s="8">
        <f>Table3[[#This Row],[PrimaTécnica]]*Table3[[#This Row],[Utilidad]]</f>
        <v>792.44191574400008</v>
      </c>
      <c r="L1254" s="8">
        <f>Table3[[#This Row],[PrimaTécnica]]*Table3[[#This Row],[Marketing]]</f>
        <v>158.48838314880001</v>
      </c>
      <c r="M1254" s="8">
        <f>Table3[[#This Row],[PrimaTécnica]]*Table3[[#This Row],[Cobranza]]</f>
        <v>158.48838314880001</v>
      </c>
      <c r="N125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54">
        <v>21.84</v>
      </c>
      <c r="P1254">
        <v>54.6</v>
      </c>
      <c r="Q1254">
        <v>80.64</v>
      </c>
      <c r="R1254">
        <v>44.377200000000002</v>
      </c>
      <c r="S1254">
        <v>0.2</v>
      </c>
      <c r="T1254">
        <v>0.02</v>
      </c>
      <c r="U1254" s="8">
        <f>Table3[[#This Row],[PrimaNeta]]*Table3[[#This Row],[Comisión]]</f>
        <v>4012.5738787200007</v>
      </c>
      <c r="V1254" s="15">
        <f>Table3[[#This Row],[PrimaComercial Anual]]-Table3[[#This Row],[PrimaComercial Anual]]*SUM(Table3[[#This Row],[APS]:[IVA]])</f>
        <v>20062.869393600002</v>
      </c>
      <c r="W1254" s="2">
        <v>1.4800000000000001E-2</v>
      </c>
      <c r="X1254" s="2">
        <v>8.4501000000000007E-2</v>
      </c>
      <c r="Y1254">
        <v>0.03</v>
      </c>
      <c r="Z1254">
        <v>0.13</v>
      </c>
      <c r="AA1254" s="20">
        <f>Table3[[#This Row],[APS]]*Table3[[#This Row],[PrimaComercial Anual]]</f>
        <v>400.87872000000004</v>
      </c>
      <c r="AB1254" s="8">
        <f>Table3[[#This Row],[PrimaComercial Anual]]*Table3[[#This Row],[Recargo adicional]]</f>
        <v>2288.8278864000004</v>
      </c>
      <c r="AC1254" s="8">
        <f>Table3[[#This Row],[PrimaComercial Anual]]*Table3[[#This Row],[IT]]</f>
        <v>812.59199999999998</v>
      </c>
      <c r="AD1254" s="8">
        <f>Table3[[#This Row],[PrimaComercial Anual]]*Table3[[#This Row],[IVA]]</f>
        <v>3521.2320000000004</v>
      </c>
      <c r="AE1254" s="15">
        <f>Table3[[#This Row],[PrimaComercial Anual Asistencia]]</f>
        <v>27086.400000000001</v>
      </c>
      <c r="AG1254">
        <v>27086.400000000001</v>
      </c>
    </row>
    <row r="1255" spans="1:33" x14ac:dyDescent="0.25">
      <c r="A1255" t="s">
        <v>17</v>
      </c>
      <c r="B1255">
        <v>1750000</v>
      </c>
      <c r="C1255">
        <v>98</v>
      </c>
      <c r="D1255" s="2">
        <f>Table3[[#This Row],[PrimaTécnica]]-Table3[[#This Row],[PrimaTécnica]]*SUM(Table3[[#This Row],[Gastos Adm]:[Cobranza]])</f>
        <v>12362.0938856064</v>
      </c>
      <c r="E1255">
        <v>0</v>
      </c>
      <c r="F1255">
        <v>0.15</v>
      </c>
      <c r="G1255">
        <v>0.05</v>
      </c>
      <c r="H1255">
        <v>0.01</v>
      </c>
      <c r="I1255">
        <v>0.01</v>
      </c>
      <c r="J1255" s="8">
        <f>Table3[[#This Row],[PrimaTécnica]]*Table3[[#This Row],[Gastos Adm]]</f>
        <v>2377.3257472320001</v>
      </c>
      <c r="K1255" s="8">
        <f>Table3[[#This Row],[PrimaTécnica]]*Table3[[#This Row],[Utilidad]]</f>
        <v>792.44191574400008</v>
      </c>
      <c r="L1255" s="8">
        <f>Table3[[#This Row],[PrimaTécnica]]*Table3[[#This Row],[Marketing]]</f>
        <v>158.48838314880001</v>
      </c>
      <c r="M1255" s="8">
        <f>Table3[[#This Row],[PrimaTécnica]]*Table3[[#This Row],[Cobranza]]</f>
        <v>158.48838314880001</v>
      </c>
      <c r="N125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55">
        <v>21.84</v>
      </c>
      <c r="P1255">
        <v>54.6</v>
      </c>
      <c r="Q1255">
        <v>80.64</v>
      </c>
      <c r="R1255">
        <v>44.377200000000002</v>
      </c>
      <c r="S1255">
        <v>0.2</v>
      </c>
      <c r="T1255">
        <v>0.02</v>
      </c>
      <c r="U1255" s="8">
        <f>Table3[[#This Row],[PrimaNeta]]*Table3[[#This Row],[Comisión]]</f>
        <v>4012.5738787200007</v>
      </c>
      <c r="V1255" s="15">
        <f>Table3[[#This Row],[PrimaComercial Anual]]-Table3[[#This Row],[PrimaComercial Anual]]*SUM(Table3[[#This Row],[APS]:[IVA]])</f>
        <v>20062.869393600002</v>
      </c>
      <c r="W1255" s="2">
        <v>1.4800000000000001E-2</v>
      </c>
      <c r="X1255" s="2">
        <v>8.4501000000000007E-2</v>
      </c>
      <c r="Y1255">
        <v>0.03</v>
      </c>
      <c r="Z1255">
        <v>0.13</v>
      </c>
      <c r="AA1255" s="20">
        <f>Table3[[#This Row],[APS]]*Table3[[#This Row],[PrimaComercial Anual]]</f>
        <v>400.87872000000004</v>
      </c>
      <c r="AB1255" s="8">
        <f>Table3[[#This Row],[PrimaComercial Anual]]*Table3[[#This Row],[Recargo adicional]]</f>
        <v>2288.8278864000004</v>
      </c>
      <c r="AC1255" s="8">
        <f>Table3[[#This Row],[PrimaComercial Anual]]*Table3[[#This Row],[IT]]</f>
        <v>812.59199999999998</v>
      </c>
      <c r="AD1255" s="8">
        <f>Table3[[#This Row],[PrimaComercial Anual]]*Table3[[#This Row],[IVA]]</f>
        <v>3521.2320000000004</v>
      </c>
      <c r="AE1255" s="15">
        <f>Table3[[#This Row],[PrimaComercial Anual Asistencia]]</f>
        <v>27086.400000000001</v>
      </c>
      <c r="AG1255">
        <v>27086.400000000001</v>
      </c>
    </row>
    <row r="1256" spans="1:33" x14ac:dyDescent="0.25">
      <c r="A1256" t="s">
        <v>17</v>
      </c>
      <c r="B1256">
        <v>1750000</v>
      </c>
      <c r="C1256">
        <v>99</v>
      </c>
      <c r="D1256" s="2">
        <f>Table3[[#This Row],[PrimaTécnica]]-Table3[[#This Row],[PrimaTécnica]]*SUM(Table3[[#This Row],[Gastos Adm]:[Cobranza]])</f>
        <v>12362.0938856064</v>
      </c>
      <c r="E1256">
        <v>0</v>
      </c>
      <c r="F1256">
        <v>0.15</v>
      </c>
      <c r="G1256">
        <v>0.05</v>
      </c>
      <c r="H1256">
        <v>0.01</v>
      </c>
      <c r="I1256">
        <v>0.01</v>
      </c>
      <c r="J1256" s="8">
        <f>Table3[[#This Row],[PrimaTécnica]]*Table3[[#This Row],[Gastos Adm]]</f>
        <v>2377.3257472320001</v>
      </c>
      <c r="K1256" s="8">
        <f>Table3[[#This Row],[PrimaTécnica]]*Table3[[#This Row],[Utilidad]]</f>
        <v>792.44191574400008</v>
      </c>
      <c r="L1256" s="8">
        <f>Table3[[#This Row],[PrimaTécnica]]*Table3[[#This Row],[Marketing]]</f>
        <v>158.48838314880001</v>
      </c>
      <c r="M1256" s="8">
        <f>Table3[[#This Row],[PrimaTécnica]]*Table3[[#This Row],[Cobranza]]</f>
        <v>158.48838314880001</v>
      </c>
      <c r="N125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256">
        <v>21.84</v>
      </c>
      <c r="P1256">
        <v>54.6</v>
      </c>
      <c r="Q1256">
        <v>80.64</v>
      </c>
      <c r="R1256">
        <v>44.377200000000002</v>
      </c>
      <c r="S1256">
        <v>0.2</v>
      </c>
      <c r="T1256">
        <v>0.02</v>
      </c>
      <c r="U1256" s="8">
        <f>Table3[[#This Row],[PrimaNeta]]*Table3[[#This Row],[Comisión]]</f>
        <v>4012.5738787200007</v>
      </c>
      <c r="V1256" s="15">
        <f>Table3[[#This Row],[PrimaComercial Anual]]-Table3[[#This Row],[PrimaComercial Anual]]*SUM(Table3[[#This Row],[APS]:[IVA]])</f>
        <v>20062.869393600002</v>
      </c>
      <c r="W1256" s="2">
        <v>1.4800000000000001E-2</v>
      </c>
      <c r="X1256" s="2">
        <v>8.4501000000000007E-2</v>
      </c>
      <c r="Y1256">
        <v>0.03</v>
      </c>
      <c r="Z1256">
        <v>0.13</v>
      </c>
      <c r="AA1256" s="20">
        <f>Table3[[#This Row],[APS]]*Table3[[#This Row],[PrimaComercial Anual]]</f>
        <v>400.87872000000004</v>
      </c>
      <c r="AB1256" s="8">
        <f>Table3[[#This Row],[PrimaComercial Anual]]*Table3[[#This Row],[Recargo adicional]]</f>
        <v>2288.8278864000004</v>
      </c>
      <c r="AC1256" s="8">
        <f>Table3[[#This Row],[PrimaComercial Anual]]*Table3[[#This Row],[IT]]</f>
        <v>812.59199999999998</v>
      </c>
      <c r="AD1256" s="8">
        <f>Table3[[#This Row],[PrimaComercial Anual]]*Table3[[#This Row],[IVA]]</f>
        <v>3521.2320000000004</v>
      </c>
      <c r="AE1256" s="15">
        <f>Table3[[#This Row],[PrimaComercial Anual Asistencia]]</f>
        <v>27086.400000000001</v>
      </c>
      <c r="AG1256">
        <v>27086.400000000001</v>
      </c>
    </row>
    <row r="1257" spans="1:33" x14ac:dyDescent="0.25">
      <c r="A1257" t="s">
        <v>18</v>
      </c>
      <c r="B1257">
        <v>1750000</v>
      </c>
      <c r="C1257">
        <v>0</v>
      </c>
      <c r="D1257" s="2">
        <f>Table3[[#This Row],[PrimaTécnica]]-Table3[[#This Row],[PrimaTécnica]]*SUM(Table3[[#This Row],[Gastos Adm]:[Cobranza]])</f>
        <v>3436.3462131647993</v>
      </c>
      <c r="E1257">
        <v>0</v>
      </c>
      <c r="F1257">
        <v>0.15</v>
      </c>
      <c r="G1257">
        <v>0.05</v>
      </c>
      <c r="H1257">
        <v>0.01</v>
      </c>
      <c r="I1257">
        <v>0.01</v>
      </c>
      <c r="J1257" s="8">
        <f>Table3[[#This Row],[PrimaTécnica]]*Table3[[#This Row],[Gastos Adm]]</f>
        <v>660.83581022399994</v>
      </c>
      <c r="K1257" s="8">
        <f>Table3[[#This Row],[PrimaTécnica]]*Table3[[#This Row],[Utilidad]]</f>
        <v>220.27860340799998</v>
      </c>
      <c r="L1257" s="8">
        <f>Table3[[#This Row],[PrimaTécnica]]*Table3[[#This Row],[Marketing]]</f>
        <v>44.0557206816</v>
      </c>
      <c r="M1257" s="8">
        <f>Table3[[#This Row],[PrimaTécnica]]*Table3[[#This Row],[Cobranza]]</f>
        <v>44.0557206816</v>
      </c>
      <c r="N125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1257">
        <v>21.84</v>
      </c>
      <c r="P1257">
        <v>54.6</v>
      </c>
      <c r="Q1257">
        <v>80.64</v>
      </c>
      <c r="R1257">
        <v>44.377200000000002</v>
      </c>
      <c r="S1257">
        <v>0.2</v>
      </c>
      <c r="T1257">
        <v>0.02</v>
      </c>
      <c r="U1257" s="8">
        <f>Table3[[#This Row],[PrimaNeta]]*Table3[[#This Row],[Comisión]]</f>
        <v>1151.7573170400001</v>
      </c>
      <c r="V1257" s="15">
        <f>Table3[[#This Row],[PrimaComercial Anual]]-Table3[[#This Row],[PrimaComercial Anual]]*SUM(Table3[[#This Row],[APS]:[IVA]])</f>
        <v>5758.7865852000004</v>
      </c>
      <c r="W1257" s="2">
        <v>1.4800000000000001E-2</v>
      </c>
      <c r="X1257" s="2">
        <v>8.4501000000000007E-2</v>
      </c>
      <c r="Y1257">
        <v>0.03</v>
      </c>
      <c r="Z1257">
        <v>0.13</v>
      </c>
      <c r="AA1257" s="20">
        <f>Table3[[#This Row],[APS]]*Table3[[#This Row],[PrimaComercial Anual]]</f>
        <v>115.06704000000001</v>
      </c>
      <c r="AB1257" s="8">
        <f>Table3[[#This Row],[PrimaComercial Anual]]*Table3[[#This Row],[Recargo adicional]]</f>
        <v>656.9783748000001</v>
      </c>
      <c r="AC1257" s="8">
        <f>Table3[[#This Row],[PrimaComercial Anual]]*Table3[[#This Row],[IT]]</f>
        <v>233.244</v>
      </c>
      <c r="AD1257" s="8">
        <f>Table3[[#This Row],[PrimaComercial Anual]]*Table3[[#This Row],[IVA]]</f>
        <v>1010.724</v>
      </c>
      <c r="AE1257" s="15">
        <f>Table3[[#This Row],[PrimaComercial Anual Asistencia]]</f>
        <v>7774.8</v>
      </c>
      <c r="AG1257">
        <v>7774.8</v>
      </c>
    </row>
    <row r="1258" spans="1:33" x14ac:dyDescent="0.25">
      <c r="A1258" t="s">
        <v>18</v>
      </c>
      <c r="B1258">
        <v>1750000</v>
      </c>
      <c r="C1258">
        <v>1</v>
      </c>
      <c r="D1258" s="2">
        <f>Table3[[#This Row],[PrimaTécnica]]-Table3[[#This Row],[PrimaTécnica]]*SUM(Table3[[#This Row],[Gastos Adm]:[Cobranza]])</f>
        <v>3436.3462131647993</v>
      </c>
      <c r="E1258">
        <v>0</v>
      </c>
      <c r="F1258">
        <v>0.15</v>
      </c>
      <c r="G1258">
        <v>0.05</v>
      </c>
      <c r="H1258">
        <v>0.01</v>
      </c>
      <c r="I1258">
        <v>0.01</v>
      </c>
      <c r="J1258" s="8">
        <f>Table3[[#This Row],[PrimaTécnica]]*Table3[[#This Row],[Gastos Adm]]</f>
        <v>660.83581022399994</v>
      </c>
      <c r="K1258" s="8">
        <f>Table3[[#This Row],[PrimaTécnica]]*Table3[[#This Row],[Utilidad]]</f>
        <v>220.27860340799998</v>
      </c>
      <c r="L1258" s="8">
        <f>Table3[[#This Row],[PrimaTécnica]]*Table3[[#This Row],[Marketing]]</f>
        <v>44.0557206816</v>
      </c>
      <c r="M1258" s="8">
        <f>Table3[[#This Row],[PrimaTécnica]]*Table3[[#This Row],[Cobranza]]</f>
        <v>44.0557206816</v>
      </c>
      <c r="N125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1258">
        <v>21.84</v>
      </c>
      <c r="P1258">
        <v>54.6</v>
      </c>
      <c r="Q1258">
        <v>80.64</v>
      </c>
      <c r="R1258">
        <v>44.377200000000002</v>
      </c>
      <c r="S1258">
        <v>0.2</v>
      </c>
      <c r="T1258">
        <v>0.02</v>
      </c>
      <c r="U1258" s="8">
        <f>Table3[[#This Row],[PrimaNeta]]*Table3[[#This Row],[Comisión]]</f>
        <v>1151.7573170400001</v>
      </c>
      <c r="V1258" s="15">
        <f>Table3[[#This Row],[PrimaComercial Anual]]-Table3[[#This Row],[PrimaComercial Anual]]*SUM(Table3[[#This Row],[APS]:[IVA]])</f>
        <v>5758.7865852000004</v>
      </c>
      <c r="W1258" s="2">
        <v>1.4800000000000001E-2</v>
      </c>
      <c r="X1258" s="2">
        <v>8.4501000000000007E-2</v>
      </c>
      <c r="Y1258">
        <v>0.03</v>
      </c>
      <c r="Z1258">
        <v>0.13</v>
      </c>
      <c r="AA1258" s="20">
        <f>Table3[[#This Row],[APS]]*Table3[[#This Row],[PrimaComercial Anual]]</f>
        <v>115.06704000000001</v>
      </c>
      <c r="AB1258" s="8">
        <f>Table3[[#This Row],[PrimaComercial Anual]]*Table3[[#This Row],[Recargo adicional]]</f>
        <v>656.9783748000001</v>
      </c>
      <c r="AC1258" s="8">
        <f>Table3[[#This Row],[PrimaComercial Anual]]*Table3[[#This Row],[IT]]</f>
        <v>233.244</v>
      </c>
      <c r="AD1258" s="8">
        <f>Table3[[#This Row],[PrimaComercial Anual]]*Table3[[#This Row],[IVA]]</f>
        <v>1010.724</v>
      </c>
      <c r="AE1258" s="15">
        <f>Table3[[#This Row],[PrimaComercial Anual Asistencia]]</f>
        <v>7774.8</v>
      </c>
      <c r="AG1258">
        <v>7774.8</v>
      </c>
    </row>
    <row r="1259" spans="1:33" x14ac:dyDescent="0.25">
      <c r="A1259" t="s">
        <v>18</v>
      </c>
      <c r="B1259">
        <v>1750000</v>
      </c>
      <c r="C1259">
        <v>2</v>
      </c>
      <c r="D1259" s="2">
        <f>Table3[[#This Row],[PrimaTécnica]]-Table3[[#This Row],[PrimaTécnica]]*SUM(Table3[[#This Row],[Gastos Adm]:[Cobranza]])</f>
        <v>3436.3462131647993</v>
      </c>
      <c r="E1259">
        <v>0</v>
      </c>
      <c r="F1259">
        <v>0.15</v>
      </c>
      <c r="G1259">
        <v>0.05</v>
      </c>
      <c r="H1259">
        <v>0.01</v>
      </c>
      <c r="I1259">
        <v>0.01</v>
      </c>
      <c r="J1259" s="8">
        <f>Table3[[#This Row],[PrimaTécnica]]*Table3[[#This Row],[Gastos Adm]]</f>
        <v>660.83581022399994</v>
      </c>
      <c r="K1259" s="8">
        <f>Table3[[#This Row],[PrimaTécnica]]*Table3[[#This Row],[Utilidad]]</f>
        <v>220.27860340799998</v>
      </c>
      <c r="L1259" s="8">
        <f>Table3[[#This Row],[PrimaTécnica]]*Table3[[#This Row],[Marketing]]</f>
        <v>44.0557206816</v>
      </c>
      <c r="M1259" s="8">
        <f>Table3[[#This Row],[PrimaTécnica]]*Table3[[#This Row],[Cobranza]]</f>
        <v>44.0557206816</v>
      </c>
      <c r="N125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4405.5720681599996</v>
      </c>
      <c r="O1259">
        <v>21.84</v>
      </c>
      <c r="P1259">
        <v>54.6</v>
      </c>
      <c r="Q1259">
        <v>80.64</v>
      </c>
      <c r="R1259">
        <v>44.377200000000002</v>
      </c>
      <c r="S1259">
        <v>0.2</v>
      </c>
      <c r="T1259">
        <v>0.02</v>
      </c>
      <c r="U1259" s="8">
        <f>Table3[[#This Row],[PrimaNeta]]*Table3[[#This Row],[Comisión]]</f>
        <v>1151.7573170400001</v>
      </c>
      <c r="V1259" s="15">
        <f>Table3[[#This Row],[PrimaComercial Anual]]-Table3[[#This Row],[PrimaComercial Anual]]*SUM(Table3[[#This Row],[APS]:[IVA]])</f>
        <v>5758.7865852000004</v>
      </c>
      <c r="W1259" s="2">
        <v>1.4800000000000001E-2</v>
      </c>
      <c r="X1259" s="2">
        <v>8.4501000000000007E-2</v>
      </c>
      <c r="Y1259">
        <v>0.03</v>
      </c>
      <c r="Z1259">
        <v>0.13</v>
      </c>
      <c r="AA1259" s="20">
        <f>Table3[[#This Row],[APS]]*Table3[[#This Row],[PrimaComercial Anual]]</f>
        <v>115.06704000000001</v>
      </c>
      <c r="AB1259" s="8">
        <f>Table3[[#This Row],[PrimaComercial Anual]]*Table3[[#This Row],[Recargo adicional]]</f>
        <v>656.9783748000001</v>
      </c>
      <c r="AC1259" s="8">
        <f>Table3[[#This Row],[PrimaComercial Anual]]*Table3[[#This Row],[IT]]</f>
        <v>233.244</v>
      </c>
      <c r="AD1259" s="8">
        <f>Table3[[#This Row],[PrimaComercial Anual]]*Table3[[#This Row],[IVA]]</f>
        <v>1010.724</v>
      </c>
      <c r="AE1259" s="15">
        <f>Table3[[#This Row],[PrimaComercial Anual Asistencia]]</f>
        <v>7774.8</v>
      </c>
      <c r="AG1259">
        <v>7774.8</v>
      </c>
    </row>
    <row r="1260" spans="1:33" x14ac:dyDescent="0.25">
      <c r="A1260" t="s">
        <v>18</v>
      </c>
      <c r="B1260">
        <v>1750000</v>
      </c>
      <c r="C1260">
        <v>3</v>
      </c>
      <c r="D1260" s="2">
        <f>Table3[[#This Row],[PrimaTécnica]]-Table3[[#This Row],[PrimaTécnica]]*SUM(Table3[[#This Row],[Gastos Adm]:[Cobranza]])</f>
        <v>2514.2648420447999</v>
      </c>
      <c r="E1260">
        <v>0</v>
      </c>
      <c r="F1260">
        <v>0.15</v>
      </c>
      <c r="G1260">
        <v>0.05</v>
      </c>
      <c r="H1260">
        <v>0.01</v>
      </c>
      <c r="I1260">
        <v>0.01</v>
      </c>
      <c r="J1260" s="8">
        <f>Table3[[#This Row],[PrimaTécnica]]*Table3[[#This Row],[Gastos Adm]]</f>
        <v>483.512469624</v>
      </c>
      <c r="K1260" s="8">
        <f>Table3[[#This Row],[PrimaTécnica]]*Table3[[#This Row],[Utilidad]]</f>
        <v>161.170823208</v>
      </c>
      <c r="L1260" s="8">
        <f>Table3[[#This Row],[PrimaTécnica]]*Table3[[#This Row],[Marketing]]</f>
        <v>32.234164641600003</v>
      </c>
      <c r="M1260" s="8">
        <f>Table3[[#This Row],[PrimaTécnica]]*Table3[[#This Row],[Cobranza]]</f>
        <v>32.234164641600003</v>
      </c>
      <c r="N126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3223.41646416</v>
      </c>
      <c r="O1260">
        <v>21.84</v>
      </c>
      <c r="P1260">
        <v>54.6</v>
      </c>
      <c r="Q1260">
        <v>80.64</v>
      </c>
      <c r="R1260">
        <v>44.377200000000002</v>
      </c>
      <c r="S1260">
        <v>0.2</v>
      </c>
      <c r="T1260">
        <v>0.02</v>
      </c>
      <c r="U1260" s="8">
        <f>Table3[[#This Row],[PrimaNeta]]*Table3[[#This Row],[Comisión]]</f>
        <v>856.21841604000008</v>
      </c>
      <c r="V1260" s="15">
        <f>Table3[[#This Row],[PrimaComercial Anual]]-Table3[[#This Row],[PrimaComercial Anual]]*SUM(Table3[[#This Row],[APS]:[IVA]])</f>
        <v>4281.0920802000001</v>
      </c>
      <c r="W1260" s="2">
        <v>1.4800000000000001E-2</v>
      </c>
      <c r="X1260" s="2">
        <v>8.4501000000000007E-2</v>
      </c>
      <c r="Y1260">
        <v>0.03</v>
      </c>
      <c r="Z1260">
        <v>0.13</v>
      </c>
      <c r="AA1260" s="20">
        <f>Table3[[#This Row],[APS]]*Table3[[#This Row],[PrimaComercial Anual]]</f>
        <v>85.54104000000001</v>
      </c>
      <c r="AB1260" s="8">
        <f>Table3[[#This Row],[PrimaComercial Anual]]*Table3[[#This Row],[Recargo adicional]]</f>
        <v>488.39887980000003</v>
      </c>
      <c r="AC1260" s="8">
        <f>Table3[[#This Row],[PrimaComercial Anual]]*Table3[[#This Row],[IT]]</f>
        <v>173.39400000000001</v>
      </c>
      <c r="AD1260" s="8">
        <f>Table3[[#This Row],[PrimaComercial Anual]]*Table3[[#This Row],[IVA]]</f>
        <v>751.37400000000002</v>
      </c>
      <c r="AE1260" s="15">
        <f>Table3[[#This Row],[PrimaComercial Anual Asistencia]]</f>
        <v>5779.8</v>
      </c>
      <c r="AG1260">
        <v>5779.8</v>
      </c>
    </row>
    <row r="1261" spans="1:33" x14ac:dyDescent="0.25">
      <c r="A1261" t="s">
        <v>18</v>
      </c>
      <c r="B1261">
        <v>1750000</v>
      </c>
      <c r="C1261">
        <v>4</v>
      </c>
      <c r="D1261" s="2">
        <f>Table3[[#This Row],[PrimaTécnica]]-Table3[[#This Row],[PrimaTécnica]]*SUM(Table3[[#This Row],[Gastos Adm]:[Cobranza]])</f>
        <v>2514.2648420447999</v>
      </c>
      <c r="E1261">
        <v>0</v>
      </c>
      <c r="F1261">
        <v>0.15</v>
      </c>
      <c r="G1261">
        <v>0.05</v>
      </c>
      <c r="H1261">
        <v>0.01</v>
      </c>
      <c r="I1261">
        <v>0.01</v>
      </c>
      <c r="J1261" s="8">
        <f>Table3[[#This Row],[PrimaTécnica]]*Table3[[#This Row],[Gastos Adm]]</f>
        <v>483.512469624</v>
      </c>
      <c r="K1261" s="8">
        <f>Table3[[#This Row],[PrimaTécnica]]*Table3[[#This Row],[Utilidad]]</f>
        <v>161.170823208</v>
      </c>
      <c r="L1261" s="8">
        <f>Table3[[#This Row],[PrimaTécnica]]*Table3[[#This Row],[Marketing]]</f>
        <v>32.234164641600003</v>
      </c>
      <c r="M1261" s="8">
        <f>Table3[[#This Row],[PrimaTécnica]]*Table3[[#This Row],[Cobranza]]</f>
        <v>32.234164641600003</v>
      </c>
      <c r="N126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3223.41646416</v>
      </c>
      <c r="O1261">
        <v>21.84</v>
      </c>
      <c r="P1261">
        <v>54.6</v>
      </c>
      <c r="Q1261">
        <v>80.64</v>
      </c>
      <c r="R1261">
        <v>44.377200000000002</v>
      </c>
      <c r="S1261">
        <v>0.2</v>
      </c>
      <c r="T1261">
        <v>0.02</v>
      </c>
      <c r="U1261" s="8">
        <f>Table3[[#This Row],[PrimaNeta]]*Table3[[#This Row],[Comisión]]</f>
        <v>856.21841604000008</v>
      </c>
      <c r="V1261" s="15">
        <f>Table3[[#This Row],[PrimaComercial Anual]]-Table3[[#This Row],[PrimaComercial Anual]]*SUM(Table3[[#This Row],[APS]:[IVA]])</f>
        <v>4281.0920802000001</v>
      </c>
      <c r="W1261" s="2">
        <v>1.4800000000000001E-2</v>
      </c>
      <c r="X1261" s="2">
        <v>8.4501000000000007E-2</v>
      </c>
      <c r="Y1261">
        <v>0.03</v>
      </c>
      <c r="Z1261">
        <v>0.13</v>
      </c>
      <c r="AA1261" s="20">
        <f>Table3[[#This Row],[APS]]*Table3[[#This Row],[PrimaComercial Anual]]</f>
        <v>85.54104000000001</v>
      </c>
      <c r="AB1261" s="8">
        <f>Table3[[#This Row],[PrimaComercial Anual]]*Table3[[#This Row],[Recargo adicional]]</f>
        <v>488.39887980000003</v>
      </c>
      <c r="AC1261" s="8">
        <f>Table3[[#This Row],[PrimaComercial Anual]]*Table3[[#This Row],[IT]]</f>
        <v>173.39400000000001</v>
      </c>
      <c r="AD1261" s="8">
        <f>Table3[[#This Row],[PrimaComercial Anual]]*Table3[[#This Row],[IVA]]</f>
        <v>751.37400000000002</v>
      </c>
      <c r="AE1261" s="15">
        <f>Table3[[#This Row],[PrimaComercial Anual Asistencia]]</f>
        <v>5779.8</v>
      </c>
      <c r="AG1261">
        <v>5779.8</v>
      </c>
    </row>
    <row r="1262" spans="1:33" x14ac:dyDescent="0.25">
      <c r="A1262" t="s">
        <v>18</v>
      </c>
      <c r="B1262">
        <v>1750000</v>
      </c>
      <c r="C1262">
        <v>5</v>
      </c>
      <c r="D1262" s="2">
        <f>Table3[[#This Row],[PrimaTécnica]]-Table3[[#This Row],[PrimaTécnica]]*SUM(Table3[[#This Row],[Gastos Adm]:[Cobranza]])</f>
        <v>2514.2648420447999</v>
      </c>
      <c r="E1262">
        <v>0</v>
      </c>
      <c r="F1262">
        <v>0.15</v>
      </c>
      <c r="G1262">
        <v>0.05</v>
      </c>
      <c r="H1262">
        <v>0.01</v>
      </c>
      <c r="I1262">
        <v>0.01</v>
      </c>
      <c r="J1262" s="8">
        <f>Table3[[#This Row],[PrimaTécnica]]*Table3[[#This Row],[Gastos Adm]]</f>
        <v>483.512469624</v>
      </c>
      <c r="K1262" s="8">
        <f>Table3[[#This Row],[PrimaTécnica]]*Table3[[#This Row],[Utilidad]]</f>
        <v>161.170823208</v>
      </c>
      <c r="L1262" s="8">
        <f>Table3[[#This Row],[PrimaTécnica]]*Table3[[#This Row],[Marketing]]</f>
        <v>32.234164641600003</v>
      </c>
      <c r="M1262" s="8">
        <f>Table3[[#This Row],[PrimaTécnica]]*Table3[[#This Row],[Cobranza]]</f>
        <v>32.234164641600003</v>
      </c>
      <c r="N126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3223.41646416</v>
      </c>
      <c r="O1262">
        <v>21.84</v>
      </c>
      <c r="P1262">
        <v>54.6</v>
      </c>
      <c r="Q1262">
        <v>80.64</v>
      </c>
      <c r="R1262">
        <v>44.377200000000002</v>
      </c>
      <c r="S1262">
        <v>0.2</v>
      </c>
      <c r="T1262">
        <v>0.02</v>
      </c>
      <c r="U1262" s="8">
        <f>Table3[[#This Row],[PrimaNeta]]*Table3[[#This Row],[Comisión]]</f>
        <v>856.21841604000008</v>
      </c>
      <c r="V1262" s="15">
        <f>Table3[[#This Row],[PrimaComercial Anual]]-Table3[[#This Row],[PrimaComercial Anual]]*SUM(Table3[[#This Row],[APS]:[IVA]])</f>
        <v>4281.0920802000001</v>
      </c>
      <c r="W1262" s="2">
        <v>1.4800000000000001E-2</v>
      </c>
      <c r="X1262" s="2">
        <v>8.4501000000000007E-2</v>
      </c>
      <c r="Y1262">
        <v>0.03</v>
      </c>
      <c r="Z1262">
        <v>0.13</v>
      </c>
      <c r="AA1262" s="20">
        <f>Table3[[#This Row],[APS]]*Table3[[#This Row],[PrimaComercial Anual]]</f>
        <v>85.54104000000001</v>
      </c>
      <c r="AB1262" s="8">
        <f>Table3[[#This Row],[PrimaComercial Anual]]*Table3[[#This Row],[Recargo adicional]]</f>
        <v>488.39887980000003</v>
      </c>
      <c r="AC1262" s="8">
        <f>Table3[[#This Row],[PrimaComercial Anual]]*Table3[[#This Row],[IT]]</f>
        <v>173.39400000000001</v>
      </c>
      <c r="AD1262" s="8">
        <f>Table3[[#This Row],[PrimaComercial Anual]]*Table3[[#This Row],[IVA]]</f>
        <v>751.37400000000002</v>
      </c>
      <c r="AE1262" s="15">
        <f>Table3[[#This Row],[PrimaComercial Anual Asistencia]]</f>
        <v>5779.8</v>
      </c>
      <c r="AG1262">
        <v>5779.8</v>
      </c>
    </row>
    <row r="1263" spans="1:33" x14ac:dyDescent="0.25">
      <c r="A1263" t="s">
        <v>18</v>
      </c>
      <c r="B1263">
        <v>1750000</v>
      </c>
      <c r="C1263">
        <v>6</v>
      </c>
      <c r="D1263" s="2">
        <f>Table3[[#This Row],[PrimaTécnica]]-Table3[[#This Row],[PrimaTécnica]]*SUM(Table3[[#This Row],[Gastos Adm]:[Cobranza]])</f>
        <v>2514.2648420447999</v>
      </c>
      <c r="E1263">
        <v>0</v>
      </c>
      <c r="F1263">
        <v>0.15</v>
      </c>
      <c r="G1263">
        <v>0.05</v>
      </c>
      <c r="H1263">
        <v>0.01</v>
      </c>
      <c r="I1263">
        <v>0.01</v>
      </c>
      <c r="J1263" s="8">
        <f>Table3[[#This Row],[PrimaTécnica]]*Table3[[#This Row],[Gastos Adm]]</f>
        <v>483.512469624</v>
      </c>
      <c r="K1263" s="8">
        <f>Table3[[#This Row],[PrimaTécnica]]*Table3[[#This Row],[Utilidad]]</f>
        <v>161.170823208</v>
      </c>
      <c r="L1263" s="8">
        <f>Table3[[#This Row],[PrimaTécnica]]*Table3[[#This Row],[Marketing]]</f>
        <v>32.234164641600003</v>
      </c>
      <c r="M1263" s="8">
        <f>Table3[[#This Row],[PrimaTécnica]]*Table3[[#This Row],[Cobranza]]</f>
        <v>32.234164641600003</v>
      </c>
      <c r="N126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3223.41646416</v>
      </c>
      <c r="O1263">
        <v>21.84</v>
      </c>
      <c r="P1263">
        <v>54.6</v>
      </c>
      <c r="Q1263">
        <v>80.64</v>
      </c>
      <c r="R1263">
        <v>44.377200000000002</v>
      </c>
      <c r="S1263">
        <v>0.2</v>
      </c>
      <c r="T1263">
        <v>0.02</v>
      </c>
      <c r="U1263" s="8">
        <f>Table3[[#This Row],[PrimaNeta]]*Table3[[#This Row],[Comisión]]</f>
        <v>856.21841604000008</v>
      </c>
      <c r="V1263" s="15">
        <f>Table3[[#This Row],[PrimaComercial Anual]]-Table3[[#This Row],[PrimaComercial Anual]]*SUM(Table3[[#This Row],[APS]:[IVA]])</f>
        <v>4281.0920802000001</v>
      </c>
      <c r="W1263" s="2">
        <v>1.4800000000000001E-2</v>
      </c>
      <c r="X1263" s="2">
        <v>8.4501000000000007E-2</v>
      </c>
      <c r="Y1263">
        <v>0.03</v>
      </c>
      <c r="Z1263">
        <v>0.13</v>
      </c>
      <c r="AA1263" s="20">
        <f>Table3[[#This Row],[APS]]*Table3[[#This Row],[PrimaComercial Anual]]</f>
        <v>85.54104000000001</v>
      </c>
      <c r="AB1263" s="8">
        <f>Table3[[#This Row],[PrimaComercial Anual]]*Table3[[#This Row],[Recargo adicional]]</f>
        <v>488.39887980000003</v>
      </c>
      <c r="AC1263" s="8">
        <f>Table3[[#This Row],[PrimaComercial Anual]]*Table3[[#This Row],[IT]]</f>
        <v>173.39400000000001</v>
      </c>
      <c r="AD1263" s="8">
        <f>Table3[[#This Row],[PrimaComercial Anual]]*Table3[[#This Row],[IVA]]</f>
        <v>751.37400000000002</v>
      </c>
      <c r="AE1263" s="15">
        <f>Table3[[#This Row],[PrimaComercial Anual Asistencia]]</f>
        <v>5779.8</v>
      </c>
      <c r="AG1263">
        <v>5779.8</v>
      </c>
    </row>
    <row r="1264" spans="1:33" x14ac:dyDescent="0.25">
      <c r="A1264" t="s">
        <v>18</v>
      </c>
      <c r="B1264">
        <v>1750000</v>
      </c>
      <c r="C1264">
        <v>7</v>
      </c>
      <c r="D1264" s="2">
        <f>Table3[[#This Row],[PrimaTécnica]]-Table3[[#This Row],[PrimaTécnica]]*SUM(Table3[[#This Row],[Gastos Adm]:[Cobranza]])</f>
        <v>2514.2648420447999</v>
      </c>
      <c r="E1264">
        <v>0</v>
      </c>
      <c r="F1264">
        <v>0.15</v>
      </c>
      <c r="G1264">
        <v>0.05</v>
      </c>
      <c r="H1264">
        <v>0.01</v>
      </c>
      <c r="I1264">
        <v>0.01</v>
      </c>
      <c r="J1264" s="8">
        <f>Table3[[#This Row],[PrimaTécnica]]*Table3[[#This Row],[Gastos Adm]]</f>
        <v>483.512469624</v>
      </c>
      <c r="K1264" s="8">
        <f>Table3[[#This Row],[PrimaTécnica]]*Table3[[#This Row],[Utilidad]]</f>
        <v>161.170823208</v>
      </c>
      <c r="L1264" s="8">
        <f>Table3[[#This Row],[PrimaTécnica]]*Table3[[#This Row],[Marketing]]</f>
        <v>32.234164641600003</v>
      </c>
      <c r="M1264" s="8">
        <f>Table3[[#This Row],[PrimaTécnica]]*Table3[[#This Row],[Cobranza]]</f>
        <v>32.234164641600003</v>
      </c>
      <c r="N126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3223.41646416</v>
      </c>
      <c r="O1264">
        <v>21.84</v>
      </c>
      <c r="P1264">
        <v>54.6</v>
      </c>
      <c r="Q1264">
        <v>80.64</v>
      </c>
      <c r="R1264">
        <v>44.377200000000002</v>
      </c>
      <c r="S1264">
        <v>0.2</v>
      </c>
      <c r="T1264">
        <v>0.02</v>
      </c>
      <c r="U1264" s="8">
        <f>Table3[[#This Row],[PrimaNeta]]*Table3[[#This Row],[Comisión]]</f>
        <v>856.21841604000008</v>
      </c>
      <c r="V1264" s="15">
        <f>Table3[[#This Row],[PrimaComercial Anual]]-Table3[[#This Row],[PrimaComercial Anual]]*SUM(Table3[[#This Row],[APS]:[IVA]])</f>
        <v>4281.0920802000001</v>
      </c>
      <c r="W1264" s="2">
        <v>1.4800000000000001E-2</v>
      </c>
      <c r="X1264" s="2">
        <v>8.4501000000000007E-2</v>
      </c>
      <c r="Y1264">
        <v>0.03</v>
      </c>
      <c r="Z1264">
        <v>0.13</v>
      </c>
      <c r="AA1264" s="20">
        <f>Table3[[#This Row],[APS]]*Table3[[#This Row],[PrimaComercial Anual]]</f>
        <v>85.54104000000001</v>
      </c>
      <c r="AB1264" s="8">
        <f>Table3[[#This Row],[PrimaComercial Anual]]*Table3[[#This Row],[Recargo adicional]]</f>
        <v>488.39887980000003</v>
      </c>
      <c r="AC1264" s="8">
        <f>Table3[[#This Row],[PrimaComercial Anual]]*Table3[[#This Row],[IT]]</f>
        <v>173.39400000000001</v>
      </c>
      <c r="AD1264" s="8">
        <f>Table3[[#This Row],[PrimaComercial Anual]]*Table3[[#This Row],[IVA]]</f>
        <v>751.37400000000002</v>
      </c>
      <c r="AE1264" s="15">
        <f>Table3[[#This Row],[PrimaComercial Anual Asistencia]]</f>
        <v>5779.8</v>
      </c>
      <c r="AG1264">
        <v>5779.8</v>
      </c>
    </row>
    <row r="1265" spans="1:33" x14ac:dyDescent="0.25">
      <c r="A1265" t="s">
        <v>18</v>
      </c>
      <c r="B1265">
        <v>1750000</v>
      </c>
      <c r="C1265">
        <v>8</v>
      </c>
      <c r="D1265" s="2">
        <f>Table3[[#This Row],[PrimaTécnica]]-Table3[[#This Row],[PrimaTécnica]]*SUM(Table3[[#This Row],[Gastos Adm]:[Cobranza]])</f>
        <v>2514.2648420447999</v>
      </c>
      <c r="E1265">
        <v>0</v>
      </c>
      <c r="F1265">
        <v>0.15</v>
      </c>
      <c r="G1265">
        <v>0.05</v>
      </c>
      <c r="H1265">
        <v>0.01</v>
      </c>
      <c r="I1265">
        <v>0.01</v>
      </c>
      <c r="J1265" s="8">
        <f>Table3[[#This Row],[PrimaTécnica]]*Table3[[#This Row],[Gastos Adm]]</f>
        <v>483.512469624</v>
      </c>
      <c r="K1265" s="8">
        <f>Table3[[#This Row],[PrimaTécnica]]*Table3[[#This Row],[Utilidad]]</f>
        <v>161.170823208</v>
      </c>
      <c r="L1265" s="8">
        <f>Table3[[#This Row],[PrimaTécnica]]*Table3[[#This Row],[Marketing]]</f>
        <v>32.234164641600003</v>
      </c>
      <c r="M1265" s="8">
        <f>Table3[[#This Row],[PrimaTécnica]]*Table3[[#This Row],[Cobranza]]</f>
        <v>32.234164641600003</v>
      </c>
      <c r="N126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3223.41646416</v>
      </c>
      <c r="O1265">
        <v>21.84</v>
      </c>
      <c r="P1265">
        <v>54.6</v>
      </c>
      <c r="Q1265">
        <v>80.64</v>
      </c>
      <c r="R1265">
        <v>44.377200000000002</v>
      </c>
      <c r="S1265">
        <v>0.2</v>
      </c>
      <c r="T1265">
        <v>0.02</v>
      </c>
      <c r="U1265" s="8">
        <f>Table3[[#This Row],[PrimaNeta]]*Table3[[#This Row],[Comisión]]</f>
        <v>856.21841604000008</v>
      </c>
      <c r="V1265" s="15">
        <f>Table3[[#This Row],[PrimaComercial Anual]]-Table3[[#This Row],[PrimaComercial Anual]]*SUM(Table3[[#This Row],[APS]:[IVA]])</f>
        <v>4281.0920802000001</v>
      </c>
      <c r="W1265" s="2">
        <v>1.4800000000000001E-2</v>
      </c>
      <c r="X1265" s="2">
        <v>8.4501000000000007E-2</v>
      </c>
      <c r="Y1265">
        <v>0.03</v>
      </c>
      <c r="Z1265">
        <v>0.13</v>
      </c>
      <c r="AA1265" s="20">
        <f>Table3[[#This Row],[APS]]*Table3[[#This Row],[PrimaComercial Anual]]</f>
        <v>85.54104000000001</v>
      </c>
      <c r="AB1265" s="8">
        <f>Table3[[#This Row],[PrimaComercial Anual]]*Table3[[#This Row],[Recargo adicional]]</f>
        <v>488.39887980000003</v>
      </c>
      <c r="AC1265" s="8">
        <f>Table3[[#This Row],[PrimaComercial Anual]]*Table3[[#This Row],[IT]]</f>
        <v>173.39400000000001</v>
      </c>
      <c r="AD1265" s="8">
        <f>Table3[[#This Row],[PrimaComercial Anual]]*Table3[[#This Row],[IVA]]</f>
        <v>751.37400000000002</v>
      </c>
      <c r="AE1265" s="15">
        <f>Table3[[#This Row],[PrimaComercial Anual Asistencia]]</f>
        <v>5779.8</v>
      </c>
      <c r="AG1265">
        <v>5779.8</v>
      </c>
    </row>
    <row r="1266" spans="1:33" x14ac:dyDescent="0.25">
      <c r="A1266" t="s">
        <v>18</v>
      </c>
      <c r="B1266">
        <v>1750000</v>
      </c>
      <c r="C1266">
        <v>9</v>
      </c>
      <c r="D1266" s="2">
        <f>Table3[[#This Row],[PrimaTécnica]]-Table3[[#This Row],[PrimaTécnica]]*SUM(Table3[[#This Row],[Gastos Adm]:[Cobranza]])</f>
        <v>2514.2648420447999</v>
      </c>
      <c r="E1266">
        <v>0</v>
      </c>
      <c r="F1266">
        <v>0.15</v>
      </c>
      <c r="G1266">
        <v>0.05</v>
      </c>
      <c r="H1266">
        <v>0.01</v>
      </c>
      <c r="I1266">
        <v>0.01</v>
      </c>
      <c r="J1266" s="8">
        <f>Table3[[#This Row],[PrimaTécnica]]*Table3[[#This Row],[Gastos Adm]]</f>
        <v>483.512469624</v>
      </c>
      <c r="K1266" s="8">
        <f>Table3[[#This Row],[PrimaTécnica]]*Table3[[#This Row],[Utilidad]]</f>
        <v>161.170823208</v>
      </c>
      <c r="L1266" s="8">
        <f>Table3[[#This Row],[PrimaTécnica]]*Table3[[#This Row],[Marketing]]</f>
        <v>32.234164641600003</v>
      </c>
      <c r="M1266" s="8">
        <f>Table3[[#This Row],[PrimaTécnica]]*Table3[[#This Row],[Cobranza]]</f>
        <v>32.234164641600003</v>
      </c>
      <c r="N126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3223.41646416</v>
      </c>
      <c r="O1266">
        <v>21.84</v>
      </c>
      <c r="P1266">
        <v>54.6</v>
      </c>
      <c r="Q1266">
        <v>80.64</v>
      </c>
      <c r="R1266">
        <v>44.377200000000002</v>
      </c>
      <c r="S1266">
        <v>0.2</v>
      </c>
      <c r="T1266">
        <v>0.02</v>
      </c>
      <c r="U1266" s="8">
        <f>Table3[[#This Row],[PrimaNeta]]*Table3[[#This Row],[Comisión]]</f>
        <v>856.21841604000008</v>
      </c>
      <c r="V1266" s="15">
        <f>Table3[[#This Row],[PrimaComercial Anual]]-Table3[[#This Row],[PrimaComercial Anual]]*SUM(Table3[[#This Row],[APS]:[IVA]])</f>
        <v>4281.0920802000001</v>
      </c>
      <c r="W1266" s="2">
        <v>1.4800000000000001E-2</v>
      </c>
      <c r="X1266" s="2">
        <v>8.4501000000000007E-2</v>
      </c>
      <c r="Y1266">
        <v>0.03</v>
      </c>
      <c r="Z1266">
        <v>0.13</v>
      </c>
      <c r="AA1266" s="20">
        <f>Table3[[#This Row],[APS]]*Table3[[#This Row],[PrimaComercial Anual]]</f>
        <v>85.54104000000001</v>
      </c>
      <c r="AB1266" s="8">
        <f>Table3[[#This Row],[PrimaComercial Anual]]*Table3[[#This Row],[Recargo adicional]]</f>
        <v>488.39887980000003</v>
      </c>
      <c r="AC1266" s="8">
        <f>Table3[[#This Row],[PrimaComercial Anual]]*Table3[[#This Row],[IT]]</f>
        <v>173.39400000000001</v>
      </c>
      <c r="AD1266" s="8">
        <f>Table3[[#This Row],[PrimaComercial Anual]]*Table3[[#This Row],[IVA]]</f>
        <v>751.37400000000002</v>
      </c>
      <c r="AE1266" s="15">
        <f>Table3[[#This Row],[PrimaComercial Anual Asistencia]]</f>
        <v>5779.8</v>
      </c>
      <c r="AG1266">
        <v>5779.8</v>
      </c>
    </row>
    <row r="1267" spans="1:33" x14ac:dyDescent="0.25">
      <c r="A1267" t="s">
        <v>18</v>
      </c>
      <c r="B1267">
        <v>1750000</v>
      </c>
      <c r="C1267">
        <v>10</v>
      </c>
      <c r="D1267" s="2">
        <f>Table3[[#This Row],[PrimaTécnica]]-Table3[[#This Row],[PrimaTécnica]]*SUM(Table3[[#This Row],[Gastos Adm]:[Cobranza]])</f>
        <v>2514.2648420447999</v>
      </c>
      <c r="E1267">
        <v>0</v>
      </c>
      <c r="F1267">
        <v>0.15</v>
      </c>
      <c r="G1267">
        <v>0.05</v>
      </c>
      <c r="H1267">
        <v>0.01</v>
      </c>
      <c r="I1267">
        <v>0.01</v>
      </c>
      <c r="J1267" s="8">
        <f>Table3[[#This Row],[PrimaTécnica]]*Table3[[#This Row],[Gastos Adm]]</f>
        <v>483.512469624</v>
      </c>
      <c r="K1267" s="8">
        <f>Table3[[#This Row],[PrimaTécnica]]*Table3[[#This Row],[Utilidad]]</f>
        <v>161.170823208</v>
      </c>
      <c r="L1267" s="8">
        <f>Table3[[#This Row],[PrimaTécnica]]*Table3[[#This Row],[Marketing]]</f>
        <v>32.234164641600003</v>
      </c>
      <c r="M1267" s="8">
        <f>Table3[[#This Row],[PrimaTécnica]]*Table3[[#This Row],[Cobranza]]</f>
        <v>32.234164641600003</v>
      </c>
      <c r="N126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3223.41646416</v>
      </c>
      <c r="O1267">
        <v>21.84</v>
      </c>
      <c r="P1267">
        <v>54.6</v>
      </c>
      <c r="Q1267">
        <v>80.64</v>
      </c>
      <c r="R1267">
        <v>44.377200000000002</v>
      </c>
      <c r="S1267">
        <v>0.2</v>
      </c>
      <c r="T1267">
        <v>0.02</v>
      </c>
      <c r="U1267" s="8">
        <f>Table3[[#This Row],[PrimaNeta]]*Table3[[#This Row],[Comisión]]</f>
        <v>856.21841604000008</v>
      </c>
      <c r="V1267" s="15">
        <f>Table3[[#This Row],[PrimaComercial Anual]]-Table3[[#This Row],[PrimaComercial Anual]]*SUM(Table3[[#This Row],[APS]:[IVA]])</f>
        <v>4281.0920802000001</v>
      </c>
      <c r="W1267" s="2">
        <v>1.4800000000000001E-2</v>
      </c>
      <c r="X1267" s="2">
        <v>8.4501000000000007E-2</v>
      </c>
      <c r="Y1267">
        <v>0.03</v>
      </c>
      <c r="Z1267">
        <v>0.13</v>
      </c>
      <c r="AA1267" s="20">
        <f>Table3[[#This Row],[APS]]*Table3[[#This Row],[PrimaComercial Anual]]</f>
        <v>85.54104000000001</v>
      </c>
      <c r="AB1267" s="8">
        <f>Table3[[#This Row],[PrimaComercial Anual]]*Table3[[#This Row],[Recargo adicional]]</f>
        <v>488.39887980000003</v>
      </c>
      <c r="AC1267" s="8">
        <f>Table3[[#This Row],[PrimaComercial Anual]]*Table3[[#This Row],[IT]]</f>
        <v>173.39400000000001</v>
      </c>
      <c r="AD1267" s="8">
        <f>Table3[[#This Row],[PrimaComercial Anual]]*Table3[[#This Row],[IVA]]</f>
        <v>751.37400000000002</v>
      </c>
      <c r="AE1267" s="15">
        <f>Table3[[#This Row],[PrimaComercial Anual Asistencia]]</f>
        <v>5779.8</v>
      </c>
      <c r="AG1267">
        <v>5779.8</v>
      </c>
    </row>
    <row r="1268" spans="1:33" x14ac:dyDescent="0.25">
      <c r="A1268" t="s">
        <v>18</v>
      </c>
      <c r="B1268">
        <v>1750000</v>
      </c>
      <c r="C1268">
        <v>11</v>
      </c>
      <c r="D1268" s="2">
        <f>Table3[[#This Row],[PrimaTécnica]]-Table3[[#This Row],[PrimaTécnica]]*SUM(Table3[[#This Row],[Gastos Adm]:[Cobranza]])</f>
        <v>2514.2648420447999</v>
      </c>
      <c r="E1268">
        <v>0</v>
      </c>
      <c r="F1268">
        <v>0.15</v>
      </c>
      <c r="G1268">
        <v>0.05</v>
      </c>
      <c r="H1268">
        <v>0.01</v>
      </c>
      <c r="I1268">
        <v>0.01</v>
      </c>
      <c r="J1268" s="8">
        <f>Table3[[#This Row],[PrimaTécnica]]*Table3[[#This Row],[Gastos Adm]]</f>
        <v>483.512469624</v>
      </c>
      <c r="K1268" s="8">
        <f>Table3[[#This Row],[PrimaTécnica]]*Table3[[#This Row],[Utilidad]]</f>
        <v>161.170823208</v>
      </c>
      <c r="L1268" s="8">
        <f>Table3[[#This Row],[PrimaTécnica]]*Table3[[#This Row],[Marketing]]</f>
        <v>32.234164641600003</v>
      </c>
      <c r="M1268" s="8">
        <f>Table3[[#This Row],[PrimaTécnica]]*Table3[[#This Row],[Cobranza]]</f>
        <v>32.234164641600003</v>
      </c>
      <c r="N126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3223.41646416</v>
      </c>
      <c r="O1268">
        <v>21.84</v>
      </c>
      <c r="P1268">
        <v>54.6</v>
      </c>
      <c r="Q1268">
        <v>80.64</v>
      </c>
      <c r="R1268">
        <v>44.377200000000002</v>
      </c>
      <c r="S1268">
        <v>0.2</v>
      </c>
      <c r="T1268">
        <v>0.02</v>
      </c>
      <c r="U1268" s="8">
        <f>Table3[[#This Row],[PrimaNeta]]*Table3[[#This Row],[Comisión]]</f>
        <v>856.21841604000008</v>
      </c>
      <c r="V1268" s="15">
        <f>Table3[[#This Row],[PrimaComercial Anual]]-Table3[[#This Row],[PrimaComercial Anual]]*SUM(Table3[[#This Row],[APS]:[IVA]])</f>
        <v>4281.0920802000001</v>
      </c>
      <c r="W1268" s="2">
        <v>1.4800000000000001E-2</v>
      </c>
      <c r="X1268" s="2">
        <v>8.4501000000000007E-2</v>
      </c>
      <c r="Y1268">
        <v>0.03</v>
      </c>
      <c r="Z1268">
        <v>0.13</v>
      </c>
      <c r="AA1268" s="20">
        <f>Table3[[#This Row],[APS]]*Table3[[#This Row],[PrimaComercial Anual]]</f>
        <v>85.54104000000001</v>
      </c>
      <c r="AB1268" s="8">
        <f>Table3[[#This Row],[PrimaComercial Anual]]*Table3[[#This Row],[Recargo adicional]]</f>
        <v>488.39887980000003</v>
      </c>
      <c r="AC1268" s="8">
        <f>Table3[[#This Row],[PrimaComercial Anual]]*Table3[[#This Row],[IT]]</f>
        <v>173.39400000000001</v>
      </c>
      <c r="AD1268" s="8">
        <f>Table3[[#This Row],[PrimaComercial Anual]]*Table3[[#This Row],[IVA]]</f>
        <v>751.37400000000002</v>
      </c>
      <c r="AE1268" s="15">
        <f>Table3[[#This Row],[PrimaComercial Anual Asistencia]]</f>
        <v>5779.8</v>
      </c>
      <c r="AG1268">
        <v>5779.8</v>
      </c>
    </row>
    <row r="1269" spans="1:33" x14ac:dyDescent="0.25">
      <c r="A1269" t="s">
        <v>18</v>
      </c>
      <c r="B1269">
        <v>1750000</v>
      </c>
      <c r="C1269">
        <v>12</v>
      </c>
      <c r="D1269" s="2">
        <f>Table3[[#This Row],[PrimaTécnica]]-Table3[[#This Row],[PrimaTécnica]]*SUM(Table3[[#This Row],[Gastos Adm]:[Cobranza]])</f>
        <v>2514.2648420447999</v>
      </c>
      <c r="E1269">
        <v>0</v>
      </c>
      <c r="F1269">
        <v>0.15</v>
      </c>
      <c r="G1269">
        <v>0.05</v>
      </c>
      <c r="H1269">
        <v>0.01</v>
      </c>
      <c r="I1269">
        <v>0.01</v>
      </c>
      <c r="J1269" s="8">
        <f>Table3[[#This Row],[PrimaTécnica]]*Table3[[#This Row],[Gastos Adm]]</f>
        <v>483.512469624</v>
      </c>
      <c r="K1269" s="8">
        <f>Table3[[#This Row],[PrimaTécnica]]*Table3[[#This Row],[Utilidad]]</f>
        <v>161.170823208</v>
      </c>
      <c r="L1269" s="8">
        <f>Table3[[#This Row],[PrimaTécnica]]*Table3[[#This Row],[Marketing]]</f>
        <v>32.234164641600003</v>
      </c>
      <c r="M1269" s="8">
        <f>Table3[[#This Row],[PrimaTécnica]]*Table3[[#This Row],[Cobranza]]</f>
        <v>32.234164641600003</v>
      </c>
      <c r="N126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3223.41646416</v>
      </c>
      <c r="O1269">
        <v>21.84</v>
      </c>
      <c r="P1269">
        <v>54.6</v>
      </c>
      <c r="Q1269">
        <v>80.64</v>
      </c>
      <c r="R1269">
        <v>44.377200000000002</v>
      </c>
      <c r="S1269">
        <v>0.2</v>
      </c>
      <c r="T1269">
        <v>0.02</v>
      </c>
      <c r="U1269" s="8">
        <f>Table3[[#This Row],[PrimaNeta]]*Table3[[#This Row],[Comisión]]</f>
        <v>856.21841604000008</v>
      </c>
      <c r="V1269" s="15">
        <f>Table3[[#This Row],[PrimaComercial Anual]]-Table3[[#This Row],[PrimaComercial Anual]]*SUM(Table3[[#This Row],[APS]:[IVA]])</f>
        <v>4281.0920802000001</v>
      </c>
      <c r="W1269" s="2">
        <v>1.4800000000000001E-2</v>
      </c>
      <c r="X1269" s="2">
        <v>8.4501000000000007E-2</v>
      </c>
      <c r="Y1269">
        <v>0.03</v>
      </c>
      <c r="Z1269">
        <v>0.13</v>
      </c>
      <c r="AA1269" s="20">
        <f>Table3[[#This Row],[APS]]*Table3[[#This Row],[PrimaComercial Anual]]</f>
        <v>85.54104000000001</v>
      </c>
      <c r="AB1269" s="8">
        <f>Table3[[#This Row],[PrimaComercial Anual]]*Table3[[#This Row],[Recargo adicional]]</f>
        <v>488.39887980000003</v>
      </c>
      <c r="AC1269" s="8">
        <f>Table3[[#This Row],[PrimaComercial Anual]]*Table3[[#This Row],[IT]]</f>
        <v>173.39400000000001</v>
      </c>
      <c r="AD1269" s="8">
        <f>Table3[[#This Row],[PrimaComercial Anual]]*Table3[[#This Row],[IVA]]</f>
        <v>751.37400000000002</v>
      </c>
      <c r="AE1269" s="15">
        <f>Table3[[#This Row],[PrimaComercial Anual Asistencia]]</f>
        <v>5779.8</v>
      </c>
      <c r="AG1269">
        <v>5779.8</v>
      </c>
    </row>
    <row r="1270" spans="1:33" x14ac:dyDescent="0.25">
      <c r="A1270" t="s">
        <v>18</v>
      </c>
      <c r="B1270">
        <v>1750000</v>
      </c>
      <c r="C1270">
        <v>13</v>
      </c>
      <c r="D1270" s="2">
        <f>Table3[[#This Row],[PrimaTécnica]]-Table3[[#This Row],[PrimaTécnica]]*SUM(Table3[[#This Row],[Gastos Adm]:[Cobranza]])</f>
        <v>2514.2648420447999</v>
      </c>
      <c r="E1270">
        <v>0</v>
      </c>
      <c r="F1270">
        <v>0.15</v>
      </c>
      <c r="G1270">
        <v>0.05</v>
      </c>
      <c r="H1270">
        <v>0.01</v>
      </c>
      <c r="I1270">
        <v>0.01</v>
      </c>
      <c r="J1270" s="8">
        <f>Table3[[#This Row],[PrimaTécnica]]*Table3[[#This Row],[Gastos Adm]]</f>
        <v>483.512469624</v>
      </c>
      <c r="K1270" s="8">
        <f>Table3[[#This Row],[PrimaTécnica]]*Table3[[#This Row],[Utilidad]]</f>
        <v>161.170823208</v>
      </c>
      <c r="L1270" s="8">
        <f>Table3[[#This Row],[PrimaTécnica]]*Table3[[#This Row],[Marketing]]</f>
        <v>32.234164641600003</v>
      </c>
      <c r="M1270" s="8">
        <f>Table3[[#This Row],[PrimaTécnica]]*Table3[[#This Row],[Cobranza]]</f>
        <v>32.234164641600003</v>
      </c>
      <c r="N127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3223.41646416</v>
      </c>
      <c r="O1270">
        <v>21.84</v>
      </c>
      <c r="P1270">
        <v>54.6</v>
      </c>
      <c r="Q1270">
        <v>80.64</v>
      </c>
      <c r="R1270">
        <v>44.377200000000002</v>
      </c>
      <c r="S1270">
        <v>0.2</v>
      </c>
      <c r="T1270">
        <v>0.02</v>
      </c>
      <c r="U1270" s="8">
        <f>Table3[[#This Row],[PrimaNeta]]*Table3[[#This Row],[Comisión]]</f>
        <v>856.21841604000008</v>
      </c>
      <c r="V1270" s="15">
        <f>Table3[[#This Row],[PrimaComercial Anual]]-Table3[[#This Row],[PrimaComercial Anual]]*SUM(Table3[[#This Row],[APS]:[IVA]])</f>
        <v>4281.0920802000001</v>
      </c>
      <c r="W1270" s="2">
        <v>1.4800000000000001E-2</v>
      </c>
      <c r="X1270" s="2">
        <v>8.4501000000000007E-2</v>
      </c>
      <c r="Y1270">
        <v>0.03</v>
      </c>
      <c r="Z1270">
        <v>0.13</v>
      </c>
      <c r="AA1270" s="20">
        <f>Table3[[#This Row],[APS]]*Table3[[#This Row],[PrimaComercial Anual]]</f>
        <v>85.54104000000001</v>
      </c>
      <c r="AB1270" s="8">
        <f>Table3[[#This Row],[PrimaComercial Anual]]*Table3[[#This Row],[Recargo adicional]]</f>
        <v>488.39887980000003</v>
      </c>
      <c r="AC1270" s="8">
        <f>Table3[[#This Row],[PrimaComercial Anual]]*Table3[[#This Row],[IT]]</f>
        <v>173.39400000000001</v>
      </c>
      <c r="AD1270" s="8">
        <f>Table3[[#This Row],[PrimaComercial Anual]]*Table3[[#This Row],[IVA]]</f>
        <v>751.37400000000002</v>
      </c>
      <c r="AE1270" s="15">
        <f>Table3[[#This Row],[PrimaComercial Anual Asistencia]]</f>
        <v>5779.8</v>
      </c>
      <c r="AG1270">
        <v>5779.8</v>
      </c>
    </row>
    <row r="1271" spans="1:33" x14ac:dyDescent="0.25">
      <c r="A1271" t="s">
        <v>18</v>
      </c>
      <c r="B1271">
        <v>1750000</v>
      </c>
      <c r="C1271">
        <v>14</v>
      </c>
      <c r="D1271" s="2">
        <f>Table3[[#This Row],[PrimaTécnica]]-Table3[[#This Row],[PrimaTécnica]]*SUM(Table3[[#This Row],[Gastos Adm]:[Cobranza]])</f>
        <v>2514.2648420447999</v>
      </c>
      <c r="E1271">
        <v>0</v>
      </c>
      <c r="F1271">
        <v>0.15</v>
      </c>
      <c r="G1271">
        <v>0.05</v>
      </c>
      <c r="H1271">
        <v>0.01</v>
      </c>
      <c r="I1271">
        <v>0.01</v>
      </c>
      <c r="J1271" s="8">
        <f>Table3[[#This Row],[PrimaTécnica]]*Table3[[#This Row],[Gastos Adm]]</f>
        <v>483.512469624</v>
      </c>
      <c r="K1271" s="8">
        <f>Table3[[#This Row],[PrimaTécnica]]*Table3[[#This Row],[Utilidad]]</f>
        <v>161.170823208</v>
      </c>
      <c r="L1271" s="8">
        <f>Table3[[#This Row],[PrimaTécnica]]*Table3[[#This Row],[Marketing]]</f>
        <v>32.234164641600003</v>
      </c>
      <c r="M1271" s="8">
        <f>Table3[[#This Row],[PrimaTécnica]]*Table3[[#This Row],[Cobranza]]</f>
        <v>32.234164641600003</v>
      </c>
      <c r="N127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3223.41646416</v>
      </c>
      <c r="O1271">
        <v>21.84</v>
      </c>
      <c r="P1271">
        <v>54.6</v>
      </c>
      <c r="Q1271">
        <v>80.64</v>
      </c>
      <c r="R1271">
        <v>44.377200000000002</v>
      </c>
      <c r="S1271">
        <v>0.2</v>
      </c>
      <c r="T1271">
        <v>0.02</v>
      </c>
      <c r="U1271" s="8">
        <f>Table3[[#This Row],[PrimaNeta]]*Table3[[#This Row],[Comisión]]</f>
        <v>856.21841604000008</v>
      </c>
      <c r="V1271" s="15">
        <f>Table3[[#This Row],[PrimaComercial Anual]]-Table3[[#This Row],[PrimaComercial Anual]]*SUM(Table3[[#This Row],[APS]:[IVA]])</f>
        <v>4281.0920802000001</v>
      </c>
      <c r="W1271" s="2">
        <v>1.4800000000000001E-2</v>
      </c>
      <c r="X1271" s="2">
        <v>8.4501000000000007E-2</v>
      </c>
      <c r="Y1271">
        <v>0.03</v>
      </c>
      <c r="Z1271">
        <v>0.13</v>
      </c>
      <c r="AA1271" s="20">
        <f>Table3[[#This Row],[APS]]*Table3[[#This Row],[PrimaComercial Anual]]</f>
        <v>85.54104000000001</v>
      </c>
      <c r="AB1271" s="8">
        <f>Table3[[#This Row],[PrimaComercial Anual]]*Table3[[#This Row],[Recargo adicional]]</f>
        <v>488.39887980000003</v>
      </c>
      <c r="AC1271" s="8">
        <f>Table3[[#This Row],[PrimaComercial Anual]]*Table3[[#This Row],[IT]]</f>
        <v>173.39400000000001</v>
      </c>
      <c r="AD1271" s="8">
        <f>Table3[[#This Row],[PrimaComercial Anual]]*Table3[[#This Row],[IVA]]</f>
        <v>751.37400000000002</v>
      </c>
      <c r="AE1271" s="15">
        <f>Table3[[#This Row],[PrimaComercial Anual Asistencia]]</f>
        <v>5779.8</v>
      </c>
      <c r="AG1271">
        <v>5779.8</v>
      </c>
    </row>
    <row r="1272" spans="1:33" x14ac:dyDescent="0.25">
      <c r="A1272" t="s">
        <v>18</v>
      </c>
      <c r="B1272">
        <v>1750000</v>
      </c>
      <c r="C1272">
        <v>15</v>
      </c>
      <c r="D1272" s="2">
        <f>Table3[[#This Row],[PrimaTécnica]]-Table3[[#This Row],[PrimaTécnica]]*SUM(Table3[[#This Row],[Gastos Adm]:[Cobranza]])</f>
        <v>2514.2648420447999</v>
      </c>
      <c r="E1272">
        <v>0</v>
      </c>
      <c r="F1272">
        <v>0.15</v>
      </c>
      <c r="G1272">
        <v>0.05</v>
      </c>
      <c r="H1272">
        <v>0.01</v>
      </c>
      <c r="I1272">
        <v>0.01</v>
      </c>
      <c r="J1272" s="8">
        <f>Table3[[#This Row],[PrimaTécnica]]*Table3[[#This Row],[Gastos Adm]]</f>
        <v>483.512469624</v>
      </c>
      <c r="K1272" s="8">
        <f>Table3[[#This Row],[PrimaTécnica]]*Table3[[#This Row],[Utilidad]]</f>
        <v>161.170823208</v>
      </c>
      <c r="L1272" s="8">
        <f>Table3[[#This Row],[PrimaTécnica]]*Table3[[#This Row],[Marketing]]</f>
        <v>32.234164641600003</v>
      </c>
      <c r="M1272" s="8">
        <f>Table3[[#This Row],[PrimaTécnica]]*Table3[[#This Row],[Cobranza]]</f>
        <v>32.234164641600003</v>
      </c>
      <c r="N127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3223.41646416</v>
      </c>
      <c r="O1272">
        <v>21.84</v>
      </c>
      <c r="P1272">
        <v>54.6</v>
      </c>
      <c r="Q1272">
        <v>80.64</v>
      </c>
      <c r="R1272">
        <v>44.377200000000002</v>
      </c>
      <c r="S1272">
        <v>0.2</v>
      </c>
      <c r="T1272">
        <v>0.02</v>
      </c>
      <c r="U1272" s="8">
        <f>Table3[[#This Row],[PrimaNeta]]*Table3[[#This Row],[Comisión]]</f>
        <v>856.21841604000008</v>
      </c>
      <c r="V1272" s="15">
        <f>Table3[[#This Row],[PrimaComercial Anual]]-Table3[[#This Row],[PrimaComercial Anual]]*SUM(Table3[[#This Row],[APS]:[IVA]])</f>
        <v>4281.0920802000001</v>
      </c>
      <c r="W1272" s="2">
        <v>1.4800000000000001E-2</v>
      </c>
      <c r="X1272" s="2">
        <v>8.4501000000000007E-2</v>
      </c>
      <c r="Y1272">
        <v>0.03</v>
      </c>
      <c r="Z1272">
        <v>0.13</v>
      </c>
      <c r="AA1272" s="20">
        <f>Table3[[#This Row],[APS]]*Table3[[#This Row],[PrimaComercial Anual]]</f>
        <v>85.54104000000001</v>
      </c>
      <c r="AB1272" s="8">
        <f>Table3[[#This Row],[PrimaComercial Anual]]*Table3[[#This Row],[Recargo adicional]]</f>
        <v>488.39887980000003</v>
      </c>
      <c r="AC1272" s="8">
        <f>Table3[[#This Row],[PrimaComercial Anual]]*Table3[[#This Row],[IT]]</f>
        <v>173.39400000000001</v>
      </c>
      <c r="AD1272" s="8">
        <f>Table3[[#This Row],[PrimaComercial Anual]]*Table3[[#This Row],[IVA]]</f>
        <v>751.37400000000002</v>
      </c>
      <c r="AE1272" s="15">
        <f>Table3[[#This Row],[PrimaComercial Anual Asistencia]]</f>
        <v>5779.8</v>
      </c>
      <c r="AG1272">
        <v>5779.8</v>
      </c>
    </row>
    <row r="1273" spans="1:33" x14ac:dyDescent="0.25">
      <c r="A1273" t="s">
        <v>18</v>
      </c>
      <c r="B1273">
        <v>1750000</v>
      </c>
      <c r="C1273">
        <v>16</v>
      </c>
      <c r="D1273" s="2">
        <f>Table3[[#This Row],[PrimaTécnica]]-Table3[[#This Row],[PrimaTécnica]]*SUM(Table3[[#This Row],[Gastos Adm]:[Cobranza]])</f>
        <v>2514.2648420447999</v>
      </c>
      <c r="E1273">
        <v>0</v>
      </c>
      <c r="F1273">
        <v>0.15</v>
      </c>
      <c r="G1273">
        <v>0.05</v>
      </c>
      <c r="H1273">
        <v>0.01</v>
      </c>
      <c r="I1273">
        <v>0.01</v>
      </c>
      <c r="J1273" s="8">
        <f>Table3[[#This Row],[PrimaTécnica]]*Table3[[#This Row],[Gastos Adm]]</f>
        <v>483.512469624</v>
      </c>
      <c r="K1273" s="8">
        <f>Table3[[#This Row],[PrimaTécnica]]*Table3[[#This Row],[Utilidad]]</f>
        <v>161.170823208</v>
      </c>
      <c r="L1273" s="8">
        <f>Table3[[#This Row],[PrimaTécnica]]*Table3[[#This Row],[Marketing]]</f>
        <v>32.234164641600003</v>
      </c>
      <c r="M1273" s="8">
        <f>Table3[[#This Row],[PrimaTécnica]]*Table3[[#This Row],[Cobranza]]</f>
        <v>32.234164641600003</v>
      </c>
      <c r="N127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3223.41646416</v>
      </c>
      <c r="O1273">
        <v>21.84</v>
      </c>
      <c r="P1273">
        <v>54.6</v>
      </c>
      <c r="Q1273">
        <v>80.64</v>
      </c>
      <c r="R1273">
        <v>44.377200000000002</v>
      </c>
      <c r="S1273">
        <v>0.2</v>
      </c>
      <c r="T1273">
        <v>0.02</v>
      </c>
      <c r="U1273" s="8">
        <f>Table3[[#This Row],[PrimaNeta]]*Table3[[#This Row],[Comisión]]</f>
        <v>856.21841604000008</v>
      </c>
      <c r="V1273" s="15">
        <f>Table3[[#This Row],[PrimaComercial Anual]]-Table3[[#This Row],[PrimaComercial Anual]]*SUM(Table3[[#This Row],[APS]:[IVA]])</f>
        <v>4281.0920802000001</v>
      </c>
      <c r="W1273" s="2">
        <v>1.4800000000000001E-2</v>
      </c>
      <c r="X1273" s="2">
        <v>8.4501000000000007E-2</v>
      </c>
      <c r="Y1273">
        <v>0.03</v>
      </c>
      <c r="Z1273">
        <v>0.13</v>
      </c>
      <c r="AA1273" s="20">
        <f>Table3[[#This Row],[APS]]*Table3[[#This Row],[PrimaComercial Anual]]</f>
        <v>85.54104000000001</v>
      </c>
      <c r="AB1273" s="8">
        <f>Table3[[#This Row],[PrimaComercial Anual]]*Table3[[#This Row],[Recargo adicional]]</f>
        <v>488.39887980000003</v>
      </c>
      <c r="AC1273" s="8">
        <f>Table3[[#This Row],[PrimaComercial Anual]]*Table3[[#This Row],[IT]]</f>
        <v>173.39400000000001</v>
      </c>
      <c r="AD1273" s="8">
        <f>Table3[[#This Row],[PrimaComercial Anual]]*Table3[[#This Row],[IVA]]</f>
        <v>751.37400000000002</v>
      </c>
      <c r="AE1273" s="15">
        <f>Table3[[#This Row],[PrimaComercial Anual Asistencia]]</f>
        <v>5779.8</v>
      </c>
      <c r="AG1273">
        <v>5779.8</v>
      </c>
    </row>
    <row r="1274" spans="1:33" x14ac:dyDescent="0.25">
      <c r="A1274" t="s">
        <v>18</v>
      </c>
      <c r="B1274">
        <v>1750000</v>
      </c>
      <c r="C1274">
        <v>17</v>
      </c>
      <c r="D1274" s="2">
        <f>Table3[[#This Row],[PrimaTécnica]]-Table3[[#This Row],[PrimaTécnica]]*SUM(Table3[[#This Row],[Gastos Adm]:[Cobranza]])</f>
        <v>2514.2648420447999</v>
      </c>
      <c r="E1274">
        <v>0</v>
      </c>
      <c r="F1274">
        <v>0.15</v>
      </c>
      <c r="G1274">
        <v>0.05</v>
      </c>
      <c r="H1274">
        <v>0.01</v>
      </c>
      <c r="I1274">
        <v>0.01</v>
      </c>
      <c r="J1274" s="8">
        <f>Table3[[#This Row],[PrimaTécnica]]*Table3[[#This Row],[Gastos Adm]]</f>
        <v>483.512469624</v>
      </c>
      <c r="K1274" s="8">
        <f>Table3[[#This Row],[PrimaTécnica]]*Table3[[#This Row],[Utilidad]]</f>
        <v>161.170823208</v>
      </c>
      <c r="L1274" s="8">
        <f>Table3[[#This Row],[PrimaTécnica]]*Table3[[#This Row],[Marketing]]</f>
        <v>32.234164641600003</v>
      </c>
      <c r="M1274" s="8">
        <f>Table3[[#This Row],[PrimaTécnica]]*Table3[[#This Row],[Cobranza]]</f>
        <v>32.234164641600003</v>
      </c>
      <c r="N127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3223.41646416</v>
      </c>
      <c r="O1274">
        <v>21.84</v>
      </c>
      <c r="P1274">
        <v>54.6</v>
      </c>
      <c r="Q1274">
        <v>80.64</v>
      </c>
      <c r="R1274">
        <v>44.377200000000002</v>
      </c>
      <c r="S1274">
        <v>0.2</v>
      </c>
      <c r="T1274">
        <v>0.02</v>
      </c>
      <c r="U1274" s="8">
        <f>Table3[[#This Row],[PrimaNeta]]*Table3[[#This Row],[Comisión]]</f>
        <v>856.21841604000008</v>
      </c>
      <c r="V1274" s="15">
        <f>Table3[[#This Row],[PrimaComercial Anual]]-Table3[[#This Row],[PrimaComercial Anual]]*SUM(Table3[[#This Row],[APS]:[IVA]])</f>
        <v>4281.0920802000001</v>
      </c>
      <c r="W1274" s="2">
        <v>1.4800000000000001E-2</v>
      </c>
      <c r="X1274" s="2">
        <v>8.4501000000000007E-2</v>
      </c>
      <c r="Y1274">
        <v>0.03</v>
      </c>
      <c r="Z1274">
        <v>0.13</v>
      </c>
      <c r="AA1274" s="20">
        <f>Table3[[#This Row],[APS]]*Table3[[#This Row],[PrimaComercial Anual]]</f>
        <v>85.54104000000001</v>
      </c>
      <c r="AB1274" s="8">
        <f>Table3[[#This Row],[PrimaComercial Anual]]*Table3[[#This Row],[Recargo adicional]]</f>
        <v>488.39887980000003</v>
      </c>
      <c r="AC1274" s="8">
        <f>Table3[[#This Row],[PrimaComercial Anual]]*Table3[[#This Row],[IT]]</f>
        <v>173.39400000000001</v>
      </c>
      <c r="AD1274" s="8">
        <f>Table3[[#This Row],[PrimaComercial Anual]]*Table3[[#This Row],[IVA]]</f>
        <v>751.37400000000002</v>
      </c>
      <c r="AE1274" s="15">
        <f>Table3[[#This Row],[PrimaComercial Anual Asistencia]]</f>
        <v>5779.8</v>
      </c>
      <c r="AG1274">
        <v>5779.8</v>
      </c>
    </row>
    <row r="1275" spans="1:33" x14ac:dyDescent="0.25">
      <c r="A1275" t="s">
        <v>18</v>
      </c>
      <c r="B1275">
        <v>1750000</v>
      </c>
      <c r="C1275">
        <v>18</v>
      </c>
      <c r="D1275" s="2">
        <f>Table3[[#This Row],[PrimaTécnica]]-Table3[[#This Row],[PrimaTécnica]]*SUM(Table3[[#This Row],[Gastos Adm]:[Cobranza]])</f>
        <v>2514.2648420447999</v>
      </c>
      <c r="E1275">
        <v>0</v>
      </c>
      <c r="F1275">
        <v>0.15</v>
      </c>
      <c r="G1275">
        <v>0.05</v>
      </c>
      <c r="H1275">
        <v>0.01</v>
      </c>
      <c r="I1275">
        <v>0.01</v>
      </c>
      <c r="J1275" s="8">
        <f>Table3[[#This Row],[PrimaTécnica]]*Table3[[#This Row],[Gastos Adm]]</f>
        <v>483.512469624</v>
      </c>
      <c r="K1275" s="8">
        <f>Table3[[#This Row],[PrimaTécnica]]*Table3[[#This Row],[Utilidad]]</f>
        <v>161.170823208</v>
      </c>
      <c r="L1275" s="8">
        <f>Table3[[#This Row],[PrimaTécnica]]*Table3[[#This Row],[Marketing]]</f>
        <v>32.234164641600003</v>
      </c>
      <c r="M1275" s="8">
        <f>Table3[[#This Row],[PrimaTécnica]]*Table3[[#This Row],[Cobranza]]</f>
        <v>32.234164641600003</v>
      </c>
      <c r="N127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3223.41646416</v>
      </c>
      <c r="O1275">
        <v>21.84</v>
      </c>
      <c r="P1275">
        <v>54.6</v>
      </c>
      <c r="Q1275">
        <v>80.64</v>
      </c>
      <c r="R1275">
        <v>44.377200000000002</v>
      </c>
      <c r="S1275">
        <v>0.2</v>
      </c>
      <c r="T1275">
        <v>0.02</v>
      </c>
      <c r="U1275" s="8">
        <f>Table3[[#This Row],[PrimaNeta]]*Table3[[#This Row],[Comisión]]</f>
        <v>856.21841604000008</v>
      </c>
      <c r="V1275" s="15">
        <f>Table3[[#This Row],[PrimaComercial Anual]]-Table3[[#This Row],[PrimaComercial Anual]]*SUM(Table3[[#This Row],[APS]:[IVA]])</f>
        <v>4281.0920802000001</v>
      </c>
      <c r="W1275" s="2">
        <v>1.4800000000000001E-2</v>
      </c>
      <c r="X1275" s="2">
        <v>8.4501000000000007E-2</v>
      </c>
      <c r="Y1275">
        <v>0.03</v>
      </c>
      <c r="Z1275">
        <v>0.13</v>
      </c>
      <c r="AA1275" s="20">
        <f>Table3[[#This Row],[APS]]*Table3[[#This Row],[PrimaComercial Anual]]</f>
        <v>85.54104000000001</v>
      </c>
      <c r="AB1275" s="8">
        <f>Table3[[#This Row],[PrimaComercial Anual]]*Table3[[#This Row],[Recargo adicional]]</f>
        <v>488.39887980000003</v>
      </c>
      <c r="AC1275" s="8">
        <f>Table3[[#This Row],[PrimaComercial Anual]]*Table3[[#This Row],[IT]]</f>
        <v>173.39400000000001</v>
      </c>
      <c r="AD1275" s="8">
        <f>Table3[[#This Row],[PrimaComercial Anual]]*Table3[[#This Row],[IVA]]</f>
        <v>751.37400000000002</v>
      </c>
      <c r="AE1275" s="15">
        <f>Table3[[#This Row],[PrimaComercial Anual Asistencia]]</f>
        <v>5779.8</v>
      </c>
      <c r="AG1275">
        <v>5779.8</v>
      </c>
    </row>
    <row r="1276" spans="1:33" x14ac:dyDescent="0.25">
      <c r="A1276" t="s">
        <v>18</v>
      </c>
      <c r="B1276">
        <v>1750000</v>
      </c>
      <c r="C1276">
        <v>19</v>
      </c>
      <c r="D1276" s="2">
        <f>Table3[[#This Row],[PrimaTécnica]]-Table3[[#This Row],[PrimaTécnica]]*SUM(Table3[[#This Row],[Gastos Adm]:[Cobranza]])</f>
        <v>2661.7978614240001</v>
      </c>
      <c r="E1276">
        <v>0</v>
      </c>
      <c r="F1276">
        <v>0.15</v>
      </c>
      <c r="G1276">
        <v>0.05</v>
      </c>
      <c r="H1276">
        <v>0.01</v>
      </c>
      <c r="I1276">
        <v>0.01</v>
      </c>
      <c r="J1276" s="8">
        <f>Table3[[#This Row],[PrimaTécnica]]*Table3[[#This Row],[Gastos Adm]]</f>
        <v>511.88420412000005</v>
      </c>
      <c r="K1276" s="8">
        <f>Table3[[#This Row],[PrimaTécnica]]*Table3[[#This Row],[Utilidad]]</f>
        <v>170.62806804000002</v>
      </c>
      <c r="L1276" s="8">
        <f>Table3[[#This Row],[PrimaTécnica]]*Table3[[#This Row],[Marketing]]</f>
        <v>34.125613608000002</v>
      </c>
      <c r="M1276" s="8">
        <f>Table3[[#This Row],[PrimaTécnica]]*Table3[[#This Row],[Cobranza]]</f>
        <v>34.125613608000002</v>
      </c>
      <c r="N127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276">
        <v>21.84</v>
      </c>
      <c r="P1276">
        <v>54.6</v>
      </c>
      <c r="Q1276">
        <v>80.64</v>
      </c>
      <c r="R1276">
        <v>44.377200000000002</v>
      </c>
      <c r="S1276">
        <v>0.2</v>
      </c>
      <c r="T1276">
        <v>0.02</v>
      </c>
      <c r="U1276" s="8">
        <f>Table3[[#This Row],[PrimaNeta]]*Table3[[#This Row],[Comisión]]</f>
        <v>903.50464020000004</v>
      </c>
      <c r="V1276" s="15">
        <f>Table3[[#This Row],[PrimaComercial Anual]]-Table3[[#This Row],[PrimaComercial Anual]]*SUM(Table3[[#This Row],[APS]:[IVA]])</f>
        <v>4517.523201</v>
      </c>
      <c r="W1276" s="2">
        <v>1.4800000000000001E-2</v>
      </c>
      <c r="X1276" s="2">
        <v>8.4501000000000007E-2</v>
      </c>
      <c r="Y1276">
        <v>0.03</v>
      </c>
      <c r="Z1276">
        <v>0.13</v>
      </c>
      <c r="AA1276" s="20">
        <f>Table3[[#This Row],[APS]]*Table3[[#This Row],[PrimaComercial Anual]]</f>
        <v>90.265200000000007</v>
      </c>
      <c r="AB1276" s="8">
        <f>Table3[[#This Row],[PrimaComercial Anual]]*Table3[[#This Row],[Recargo adicional]]</f>
        <v>515.37159900000006</v>
      </c>
      <c r="AC1276" s="8">
        <f>Table3[[#This Row],[PrimaComercial Anual]]*Table3[[#This Row],[IT]]</f>
        <v>182.97</v>
      </c>
      <c r="AD1276" s="8">
        <f>Table3[[#This Row],[PrimaComercial Anual]]*Table3[[#This Row],[IVA]]</f>
        <v>792.87</v>
      </c>
      <c r="AE1276" s="15">
        <f>Table3[[#This Row],[PrimaComercial Anual Asistencia]]</f>
        <v>6099</v>
      </c>
      <c r="AG1276">
        <v>6099</v>
      </c>
    </row>
    <row r="1277" spans="1:33" x14ac:dyDescent="0.25">
      <c r="A1277" t="s">
        <v>18</v>
      </c>
      <c r="B1277">
        <v>1750000</v>
      </c>
      <c r="C1277">
        <v>20</v>
      </c>
      <c r="D1277" s="2">
        <f>Table3[[#This Row],[PrimaTécnica]]-Table3[[#This Row],[PrimaTécnica]]*SUM(Table3[[#This Row],[Gastos Adm]:[Cobranza]])</f>
        <v>2661.7978614240001</v>
      </c>
      <c r="E1277">
        <v>0</v>
      </c>
      <c r="F1277">
        <v>0.15</v>
      </c>
      <c r="G1277">
        <v>0.05</v>
      </c>
      <c r="H1277">
        <v>0.01</v>
      </c>
      <c r="I1277">
        <v>0.01</v>
      </c>
      <c r="J1277" s="8">
        <f>Table3[[#This Row],[PrimaTécnica]]*Table3[[#This Row],[Gastos Adm]]</f>
        <v>511.88420412000005</v>
      </c>
      <c r="K1277" s="8">
        <f>Table3[[#This Row],[PrimaTécnica]]*Table3[[#This Row],[Utilidad]]</f>
        <v>170.62806804000002</v>
      </c>
      <c r="L1277" s="8">
        <f>Table3[[#This Row],[PrimaTécnica]]*Table3[[#This Row],[Marketing]]</f>
        <v>34.125613608000002</v>
      </c>
      <c r="M1277" s="8">
        <f>Table3[[#This Row],[PrimaTécnica]]*Table3[[#This Row],[Cobranza]]</f>
        <v>34.125613608000002</v>
      </c>
      <c r="N127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277">
        <v>21.84</v>
      </c>
      <c r="P1277">
        <v>54.6</v>
      </c>
      <c r="Q1277">
        <v>80.64</v>
      </c>
      <c r="R1277">
        <v>44.377200000000002</v>
      </c>
      <c r="S1277">
        <v>0.2</v>
      </c>
      <c r="T1277">
        <v>0.02</v>
      </c>
      <c r="U1277" s="8">
        <f>Table3[[#This Row],[PrimaNeta]]*Table3[[#This Row],[Comisión]]</f>
        <v>903.50464020000004</v>
      </c>
      <c r="V1277" s="15">
        <f>Table3[[#This Row],[PrimaComercial Anual]]-Table3[[#This Row],[PrimaComercial Anual]]*SUM(Table3[[#This Row],[APS]:[IVA]])</f>
        <v>4517.523201</v>
      </c>
      <c r="W1277" s="2">
        <v>1.4800000000000001E-2</v>
      </c>
      <c r="X1277" s="2">
        <v>8.4501000000000007E-2</v>
      </c>
      <c r="Y1277">
        <v>0.03</v>
      </c>
      <c r="Z1277">
        <v>0.13</v>
      </c>
      <c r="AA1277" s="20">
        <f>Table3[[#This Row],[APS]]*Table3[[#This Row],[PrimaComercial Anual]]</f>
        <v>90.265200000000007</v>
      </c>
      <c r="AB1277" s="8">
        <f>Table3[[#This Row],[PrimaComercial Anual]]*Table3[[#This Row],[Recargo adicional]]</f>
        <v>515.37159900000006</v>
      </c>
      <c r="AC1277" s="8">
        <f>Table3[[#This Row],[PrimaComercial Anual]]*Table3[[#This Row],[IT]]</f>
        <v>182.97</v>
      </c>
      <c r="AD1277" s="8">
        <f>Table3[[#This Row],[PrimaComercial Anual]]*Table3[[#This Row],[IVA]]</f>
        <v>792.87</v>
      </c>
      <c r="AE1277" s="15">
        <f>Table3[[#This Row],[PrimaComercial Anual Asistencia]]</f>
        <v>6099</v>
      </c>
      <c r="AG1277">
        <v>6099</v>
      </c>
    </row>
    <row r="1278" spans="1:33" x14ac:dyDescent="0.25">
      <c r="A1278" t="s">
        <v>18</v>
      </c>
      <c r="B1278">
        <v>1750000</v>
      </c>
      <c r="C1278">
        <v>21</v>
      </c>
      <c r="D1278" s="2">
        <f>Table3[[#This Row],[PrimaTécnica]]-Table3[[#This Row],[PrimaTécnica]]*SUM(Table3[[#This Row],[Gastos Adm]:[Cobranza]])</f>
        <v>2661.7978614240001</v>
      </c>
      <c r="E1278">
        <v>0</v>
      </c>
      <c r="F1278">
        <v>0.15</v>
      </c>
      <c r="G1278">
        <v>0.05</v>
      </c>
      <c r="H1278">
        <v>0.01</v>
      </c>
      <c r="I1278">
        <v>0.01</v>
      </c>
      <c r="J1278" s="8">
        <f>Table3[[#This Row],[PrimaTécnica]]*Table3[[#This Row],[Gastos Adm]]</f>
        <v>511.88420412000005</v>
      </c>
      <c r="K1278" s="8">
        <f>Table3[[#This Row],[PrimaTécnica]]*Table3[[#This Row],[Utilidad]]</f>
        <v>170.62806804000002</v>
      </c>
      <c r="L1278" s="8">
        <f>Table3[[#This Row],[PrimaTécnica]]*Table3[[#This Row],[Marketing]]</f>
        <v>34.125613608000002</v>
      </c>
      <c r="M1278" s="8">
        <f>Table3[[#This Row],[PrimaTécnica]]*Table3[[#This Row],[Cobranza]]</f>
        <v>34.125613608000002</v>
      </c>
      <c r="N127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278">
        <v>21.84</v>
      </c>
      <c r="P1278">
        <v>54.6</v>
      </c>
      <c r="Q1278">
        <v>80.64</v>
      </c>
      <c r="R1278">
        <v>44.377200000000002</v>
      </c>
      <c r="S1278">
        <v>0.2</v>
      </c>
      <c r="T1278">
        <v>0.02</v>
      </c>
      <c r="U1278" s="8">
        <f>Table3[[#This Row],[PrimaNeta]]*Table3[[#This Row],[Comisión]]</f>
        <v>903.50464020000004</v>
      </c>
      <c r="V1278" s="15">
        <f>Table3[[#This Row],[PrimaComercial Anual]]-Table3[[#This Row],[PrimaComercial Anual]]*SUM(Table3[[#This Row],[APS]:[IVA]])</f>
        <v>4517.523201</v>
      </c>
      <c r="W1278" s="2">
        <v>1.4800000000000001E-2</v>
      </c>
      <c r="X1278" s="2">
        <v>8.4501000000000007E-2</v>
      </c>
      <c r="Y1278">
        <v>0.03</v>
      </c>
      <c r="Z1278">
        <v>0.13</v>
      </c>
      <c r="AA1278" s="20">
        <f>Table3[[#This Row],[APS]]*Table3[[#This Row],[PrimaComercial Anual]]</f>
        <v>90.265200000000007</v>
      </c>
      <c r="AB1278" s="8">
        <f>Table3[[#This Row],[PrimaComercial Anual]]*Table3[[#This Row],[Recargo adicional]]</f>
        <v>515.37159900000006</v>
      </c>
      <c r="AC1278" s="8">
        <f>Table3[[#This Row],[PrimaComercial Anual]]*Table3[[#This Row],[IT]]</f>
        <v>182.97</v>
      </c>
      <c r="AD1278" s="8">
        <f>Table3[[#This Row],[PrimaComercial Anual]]*Table3[[#This Row],[IVA]]</f>
        <v>792.87</v>
      </c>
      <c r="AE1278" s="15">
        <f>Table3[[#This Row],[PrimaComercial Anual Asistencia]]</f>
        <v>6099</v>
      </c>
      <c r="AG1278">
        <v>6099</v>
      </c>
    </row>
    <row r="1279" spans="1:33" x14ac:dyDescent="0.25">
      <c r="A1279" t="s">
        <v>18</v>
      </c>
      <c r="B1279">
        <v>1750000</v>
      </c>
      <c r="C1279">
        <v>22</v>
      </c>
      <c r="D1279" s="2">
        <f>Table3[[#This Row],[PrimaTécnica]]-Table3[[#This Row],[PrimaTécnica]]*SUM(Table3[[#This Row],[Gastos Adm]:[Cobranza]])</f>
        <v>2661.7978614240001</v>
      </c>
      <c r="E1279">
        <v>0</v>
      </c>
      <c r="F1279">
        <v>0.15</v>
      </c>
      <c r="G1279">
        <v>0.05</v>
      </c>
      <c r="H1279">
        <v>0.01</v>
      </c>
      <c r="I1279">
        <v>0.01</v>
      </c>
      <c r="J1279" s="8">
        <f>Table3[[#This Row],[PrimaTécnica]]*Table3[[#This Row],[Gastos Adm]]</f>
        <v>511.88420412000005</v>
      </c>
      <c r="K1279" s="8">
        <f>Table3[[#This Row],[PrimaTécnica]]*Table3[[#This Row],[Utilidad]]</f>
        <v>170.62806804000002</v>
      </c>
      <c r="L1279" s="8">
        <f>Table3[[#This Row],[PrimaTécnica]]*Table3[[#This Row],[Marketing]]</f>
        <v>34.125613608000002</v>
      </c>
      <c r="M1279" s="8">
        <f>Table3[[#This Row],[PrimaTécnica]]*Table3[[#This Row],[Cobranza]]</f>
        <v>34.125613608000002</v>
      </c>
      <c r="N127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279">
        <v>21.84</v>
      </c>
      <c r="P1279">
        <v>54.6</v>
      </c>
      <c r="Q1279">
        <v>80.64</v>
      </c>
      <c r="R1279">
        <v>44.377200000000002</v>
      </c>
      <c r="S1279">
        <v>0.2</v>
      </c>
      <c r="T1279">
        <v>0.02</v>
      </c>
      <c r="U1279" s="8">
        <f>Table3[[#This Row],[PrimaNeta]]*Table3[[#This Row],[Comisión]]</f>
        <v>903.50464020000004</v>
      </c>
      <c r="V1279" s="15">
        <f>Table3[[#This Row],[PrimaComercial Anual]]-Table3[[#This Row],[PrimaComercial Anual]]*SUM(Table3[[#This Row],[APS]:[IVA]])</f>
        <v>4517.523201</v>
      </c>
      <c r="W1279" s="2">
        <v>1.4800000000000001E-2</v>
      </c>
      <c r="X1279" s="2">
        <v>8.4501000000000007E-2</v>
      </c>
      <c r="Y1279">
        <v>0.03</v>
      </c>
      <c r="Z1279">
        <v>0.13</v>
      </c>
      <c r="AA1279" s="20">
        <f>Table3[[#This Row],[APS]]*Table3[[#This Row],[PrimaComercial Anual]]</f>
        <v>90.265200000000007</v>
      </c>
      <c r="AB1279" s="8">
        <f>Table3[[#This Row],[PrimaComercial Anual]]*Table3[[#This Row],[Recargo adicional]]</f>
        <v>515.37159900000006</v>
      </c>
      <c r="AC1279" s="8">
        <f>Table3[[#This Row],[PrimaComercial Anual]]*Table3[[#This Row],[IT]]</f>
        <v>182.97</v>
      </c>
      <c r="AD1279" s="8">
        <f>Table3[[#This Row],[PrimaComercial Anual]]*Table3[[#This Row],[IVA]]</f>
        <v>792.87</v>
      </c>
      <c r="AE1279" s="15">
        <f>Table3[[#This Row],[PrimaComercial Anual Asistencia]]</f>
        <v>6099</v>
      </c>
      <c r="AG1279">
        <v>6099</v>
      </c>
    </row>
    <row r="1280" spans="1:33" x14ac:dyDescent="0.25">
      <c r="A1280" t="s">
        <v>18</v>
      </c>
      <c r="B1280">
        <v>1750000</v>
      </c>
      <c r="C1280">
        <v>23</v>
      </c>
      <c r="D1280" s="2">
        <f>Table3[[#This Row],[PrimaTécnica]]-Table3[[#This Row],[PrimaTécnica]]*SUM(Table3[[#This Row],[Gastos Adm]:[Cobranza]])</f>
        <v>2661.7978614240001</v>
      </c>
      <c r="E1280">
        <v>0</v>
      </c>
      <c r="F1280">
        <v>0.15</v>
      </c>
      <c r="G1280">
        <v>0.05</v>
      </c>
      <c r="H1280">
        <v>0.01</v>
      </c>
      <c r="I1280">
        <v>0.01</v>
      </c>
      <c r="J1280" s="8">
        <f>Table3[[#This Row],[PrimaTécnica]]*Table3[[#This Row],[Gastos Adm]]</f>
        <v>511.88420412000005</v>
      </c>
      <c r="K1280" s="8">
        <f>Table3[[#This Row],[PrimaTécnica]]*Table3[[#This Row],[Utilidad]]</f>
        <v>170.62806804000002</v>
      </c>
      <c r="L1280" s="8">
        <f>Table3[[#This Row],[PrimaTécnica]]*Table3[[#This Row],[Marketing]]</f>
        <v>34.125613608000002</v>
      </c>
      <c r="M1280" s="8">
        <f>Table3[[#This Row],[PrimaTécnica]]*Table3[[#This Row],[Cobranza]]</f>
        <v>34.125613608000002</v>
      </c>
      <c r="N128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280">
        <v>21.84</v>
      </c>
      <c r="P1280">
        <v>54.6</v>
      </c>
      <c r="Q1280">
        <v>80.64</v>
      </c>
      <c r="R1280">
        <v>44.377200000000002</v>
      </c>
      <c r="S1280">
        <v>0.2</v>
      </c>
      <c r="T1280">
        <v>0.02</v>
      </c>
      <c r="U1280" s="8">
        <f>Table3[[#This Row],[PrimaNeta]]*Table3[[#This Row],[Comisión]]</f>
        <v>903.50464020000004</v>
      </c>
      <c r="V1280" s="15">
        <f>Table3[[#This Row],[PrimaComercial Anual]]-Table3[[#This Row],[PrimaComercial Anual]]*SUM(Table3[[#This Row],[APS]:[IVA]])</f>
        <v>4517.523201</v>
      </c>
      <c r="W1280" s="2">
        <v>1.4800000000000001E-2</v>
      </c>
      <c r="X1280" s="2">
        <v>8.4501000000000007E-2</v>
      </c>
      <c r="Y1280">
        <v>0.03</v>
      </c>
      <c r="Z1280">
        <v>0.13</v>
      </c>
      <c r="AA1280" s="20">
        <f>Table3[[#This Row],[APS]]*Table3[[#This Row],[PrimaComercial Anual]]</f>
        <v>90.265200000000007</v>
      </c>
      <c r="AB1280" s="8">
        <f>Table3[[#This Row],[PrimaComercial Anual]]*Table3[[#This Row],[Recargo adicional]]</f>
        <v>515.37159900000006</v>
      </c>
      <c r="AC1280" s="8">
        <f>Table3[[#This Row],[PrimaComercial Anual]]*Table3[[#This Row],[IT]]</f>
        <v>182.97</v>
      </c>
      <c r="AD1280" s="8">
        <f>Table3[[#This Row],[PrimaComercial Anual]]*Table3[[#This Row],[IVA]]</f>
        <v>792.87</v>
      </c>
      <c r="AE1280" s="15">
        <f>Table3[[#This Row],[PrimaComercial Anual Asistencia]]</f>
        <v>6099</v>
      </c>
      <c r="AG1280">
        <v>6099</v>
      </c>
    </row>
    <row r="1281" spans="1:33" x14ac:dyDescent="0.25">
      <c r="A1281" t="s">
        <v>18</v>
      </c>
      <c r="B1281">
        <v>1750000</v>
      </c>
      <c r="C1281">
        <v>24</v>
      </c>
      <c r="D1281" s="2">
        <f>Table3[[#This Row],[PrimaTécnica]]-Table3[[#This Row],[PrimaTécnica]]*SUM(Table3[[#This Row],[Gastos Adm]:[Cobranza]])</f>
        <v>2661.7978614240001</v>
      </c>
      <c r="E1281">
        <v>0</v>
      </c>
      <c r="F1281">
        <v>0.15</v>
      </c>
      <c r="G1281">
        <v>0.05</v>
      </c>
      <c r="H1281">
        <v>0.01</v>
      </c>
      <c r="I1281">
        <v>0.01</v>
      </c>
      <c r="J1281" s="8">
        <f>Table3[[#This Row],[PrimaTécnica]]*Table3[[#This Row],[Gastos Adm]]</f>
        <v>511.88420412000005</v>
      </c>
      <c r="K1281" s="8">
        <f>Table3[[#This Row],[PrimaTécnica]]*Table3[[#This Row],[Utilidad]]</f>
        <v>170.62806804000002</v>
      </c>
      <c r="L1281" s="8">
        <f>Table3[[#This Row],[PrimaTécnica]]*Table3[[#This Row],[Marketing]]</f>
        <v>34.125613608000002</v>
      </c>
      <c r="M1281" s="8">
        <f>Table3[[#This Row],[PrimaTécnica]]*Table3[[#This Row],[Cobranza]]</f>
        <v>34.125613608000002</v>
      </c>
      <c r="N128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281">
        <v>21.84</v>
      </c>
      <c r="P1281">
        <v>54.6</v>
      </c>
      <c r="Q1281">
        <v>80.64</v>
      </c>
      <c r="R1281">
        <v>44.377200000000002</v>
      </c>
      <c r="S1281">
        <v>0.2</v>
      </c>
      <c r="T1281">
        <v>0.02</v>
      </c>
      <c r="U1281" s="8">
        <f>Table3[[#This Row],[PrimaNeta]]*Table3[[#This Row],[Comisión]]</f>
        <v>903.50464020000004</v>
      </c>
      <c r="V1281" s="15">
        <f>Table3[[#This Row],[PrimaComercial Anual]]-Table3[[#This Row],[PrimaComercial Anual]]*SUM(Table3[[#This Row],[APS]:[IVA]])</f>
        <v>4517.523201</v>
      </c>
      <c r="W1281" s="2">
        <v>1.4800000000000001E-2</v>
      </c>
      <c r="X1281" s="2">
        <v>8.4501000000000007E-2</v>
      </c>
      <c r="Y1281">
        <v>0.03</v>
      </c>
      <c r="Z1281">
        <v>0.13</v>
      </c>
      <c r="AA1281" s="20">
        <f>Table3[[#This Row],[APS]]*Table3[[#This Row],[PrimaComercial Anual]]</f>
        <v>90.265200000000007</v>
      </c>
      <c r="AB1281" s="8">
        <f>Table3[[#This Row],[PrimaComercial Anual]]*Table3[[#This Row],[Recargo adicional]]</f>
        <v>515.37159900000006</v>
      </c>
      <c r="AC1281" s="8">
        <f>Table3[[#This Row],[PrimaComercial Anual]]*Table3[[#This Row],[IT]]</f>
        <v>182.97</v>
      </c>
      <c r="AD1281" s="8">
        <f>Table3[[#This Row],[PrimaComercial Anual]]*Table3[[#This Row],[IVA]]</f>
        <v>792.87</v>
      </c>
      <c r="AE1281" s="15">
        <f>Table3[[#This Row],[PrimaComercial Anual Asistencia]]</f>
        <v>6099</v>
      </c>
      <c r="AG1281">
        <v>6099</v>
      </c>
    </row>
    <row r="1282" spans="1:33" x14ac:dyDescent="0.25">
      <c r="A1282" t="s">
        <v>18</v>
      </c>
      <c r="B1282">
        <v>1750000</v>
      </c>
      <c r="C1282">
        <v>25</v>
      </c>
      <c r="D1282" s="2">
        <f>Table3[[#This Row],[PrimaTécnica]]-Table3[[#This Row],[PrimaTécnica]]*SUM(Table3[[#This Row],[Gastos Adm]:[Cobranza]])</f>
        <v>2661.7978614240001</v>
      </c>
      <c r="E1282">
        <v>0</v>
      </c>
      <c r="F1282">
        <v>0.15</v>
      </c>
      <c r="G1282">
        <v>0.05</v>
      </c>
      <c r="H1282">
        <v>0.01</v>
      </c>
      <c r="I1282">
        <v>0.01</v>
      </c>
      <c r="J1282" s="8">
        <f>Table3[[#This Row],[PrimaTécnica]]*Table3[[#This Row],[Gastos Adm]]</f>
        <v>511.88420412000005</v>
      </c>
      <c r="K1282" s="8">
        <f>Table3[[#This Row],[PrimaTécnica]]*Table3[[#This Row],[Utilidad]]</f>
        <v>170.62806804000002</v>
      </c>
      <c r="L1282" s="8">
        <f>Table3[[#This Row],[PrimaTécnica]]*Table3[[#This Row],[Marketing]]</f>
        <v>34.125613608000002</v>
      </c>
      <c r="M1282" s="8">
        <f>Table3[[#This Row],[PrimaTécnica]]*Table3[[#This Row],[Cobranza]]</f>
        <v>34.125613608000002</v>
      </c>
      <c r="N128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282">
        <v>21.84</v>
      </c>
      <c r="P1282">
        <v>54.6</v>
      </c>
      <c r="Q1282">
        <v>80.64</v>
      </c>
      <c r="R1282">
        <v>44.377200000000002</v>
      </c>
      <c r="S1282">
        <v>0.2</v>
      </c>
      <c r="T1282">
        <v>0.02</v>
      </c>
      <c r="U1282" s="8">
        <f>Table3[[#This Row],[PrimaNeta]]*Table3[[#This Row],[Comisión]]</f>
        <v>903.50464020000004</v>
      </c>
      <c r="V1282" s="15">
        <f>Table3[[#This Row],[PrimaComercial Anual]]-Table3[[#This Row],[PrimaComercial Anual]]*SUM(Table3[[#This Row],[APS]:[IVA]])</f>
        <v>4517.523201</v>
      </c>
      <c r="W1282" s="2">
        <v>1.4800000000000001E-2</v>
      </c>
      <c r="X1282" s="2">
        <v>8.4501000000000007E-2</v>
      </c>
      <c r="Y1282">
        <v>0.03</v>
      </c>
      <c r="Z1282">
        <v>0.13</v>
      </c>
      <c r="AA1282" s="20">
        <f>Table3[[#This Row],[APS]]*Table3[[#This Row],[PrimaComercial Anual]]</f>
        <v>90.265200000000007</v>
      </c>
      <c r="AB1282" s="8">
        <f>Table3[[#This Row],[PrimaComercial Anual]]*Table3[[#This Row],[Recargo adicional]]</f>
        <v>515.37159900000006</v>
      </c>
      <c r="AC1282" s="8">
        <f>Table3[[#This Row],[PrimaComercial Anual]]*Table3[[#This Row],[IT]]</f>
        <v>182.97</v>
      </c>
      <c r="AD1282" s="8">
        <f>Table3[[#This Row],[PrimaComercial Anual]]*Table3[[#This Row],[IVA]]</f>
        <v>792.87</v>
      </c>
      <c r="AE1282" s="15">
        <f>Table3[[#This Row],[PrimaComercial Anual Asistencia]]</f>
        <v>6099</v>
      </c>
      <c r="AG1282">
        <v>6099</v>
      </c>
    </row>
    <row r="1283" spans="1:33" x14ac:dyDescent="0.25">
      <c r="A1283" t="s">
        <v>18</v>
      </c>
      <c r="B1283">
        <v>1750000</v>
      </c>
      <c r="C1283">
        <v>26</v>
      </c>
      <c r="D1283" s="2">
        <f>Table3[[#This Row],[PrimaTécnica]]-Table3[[#This Row],[PrimaTécnica]]*SUM(Table3[[#This Row],[Gastos Adm]:[Cobranza]])</f>
        <v>2661.7978614240001</v>
      </c>
      <c r="E1283">
        <v>0</v>
      </c>
      <c r="F1283">
        <v>0.15</v>
      </c>
      <c r="G1283">
        <v>0.05</v>
      </c>
      <c r="H1283">
        <v>0.01</v>
      </c>
      <c r="I1283">
        <v>0.01</v>
      </c>
      <c r="J1283" s="8">
        <f>Table3[[#This Row],[PrimaTécnica]]*Table3[[#This Row],[Gastos Adm]]</f>
        <v>511.88420412000005</v>
      </c>
      <c r="K1283" s="8">
        <f>Table3[[#This Row],[PrimaTécnica]]*Table3[[#This Row],[Utilidad]]</f>
        <v>170.62806804000002</v>
      </c>
      <c r="L1283" s="8">
        <f>Table3[[#This Row],[PrimaTécnica]]*Table3[[#This Row],[Marketing]]</f>
        <v>34.125613608000002</v>
      </c>
      <c r="M1283" s="8">
        <f>Table3[[#This Row],[PrimaTécnica]]*Table3[[#This Row],[Cobranza]]</f>
        <v>34.125613608000002</v>
      </c>
      <c r="N128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283">
        <v>21.84</v>
      </c>
      <c r="P1283">
        <v>54.6</v>
      </c>
      <c r="Q1283">
        <v>80.64</v>
      </c>
      <c r="R1283">
        <v>44.377200000000002</v>
      </c>
      <c r="S1283">
        <v>0.2</v>
      </c>
      <c r="T1283">
        <v>0.02</v>
      </c>
      <c r="U1283" s="8">
        <f>Table3[[#This Row],[PrimaNeta]]*Table3[[#This Row],[Comisión]]</f>
        <v>903.50464020000004</v>
      </c>
      <c r="V1283" s="15">
        <f>Table3[[#This Row],[PrimaComercial Anual]]-Table3[[#This Row],[PrimaComercial Anual]]*SUM(Table3[[#This Row],[APS]:[IVA]])</f>
        <v>4517.523201</v>
      </c>
      <c r="W1283" s="2">
        <v>1.4800000000000001E-2</v>
      </c>
      <c r="X1283" s="2">
        <v>8.4501000000000007E-2</v>
      </c>
      <c r="Y1283">
        <v>0.03</v>
      </c>
      <c r="Z1283">
        <v>0.13</v>
      </c>
      <c r="AA1283" s="20">
        <f>Table3[[#This Row],[APS]]*Table3[[#This Row],[PrimaComercial Anual]]</f>
        <v>90.265200000000007</v>
      </c>
      <c r="AB1283" s="8">
        <f>Table3[[#This Row],[PrimaComercial Anual]]*Table3[[#This Row],[Recargo adicional]]</f>
        <v>515.37159900000006</v>
      </c>
      <c r="AC1283" s="8">
        <f>Table3[[#This Row],[PrimaComercial Anual]]*Table3[[#This Row],[IT]]</f>
        <v>182.97</v>
      </c>
      <c r="AD1283" s="8">
        <f>Table3[[#This Row],[PrimaComercial Anual]]*Table3[[#This Row],[IVA]]</f>
        <v>792.87</v>
      </c>
      <c r="AE1283" s="15">
        <f>Table3[[#This Row],[PrimaComercial Anual Asistencia]]</f>
        <v>6099</v>
      </c>
      <c r="AG1283">
        <v>6099</v>
      </c>
    </row>
    <row r="1284" spans="1:33" x14ac:dyDescent="0.25">
      <c r="A1284" t="s">
        <v>18</v>
      </c>
      <c r="B1284">
        <v>1750000</v>
      </c>
      <c r="C1284">
        <v>27</v>
      </c>
      <c r="D1284" s="2">
        <f>Table3[[#This Row],[PrimaTécnica]]-Table3[[#This Row],[PrimaTécnica]]*SUM(Table3[[#This Row],[Gastos Adm]:[Cobranza]])</f>
        <v>2661.7978614240001</v>
      </c>
      <c r="E1284">
        <v>0</v>
      </c>
      <c r="F1284">
        <v>0.15</v>
      </c>
      <c r="G1284">
        <v>0.05</v>
      </c>
      <c r="H1284">
        <v>0.01</v>
      </c>
      <c r="I1284">
        <v>0.01</v>
      </c>
      <c r="J1284" s="8">
        <f>Table3[[#This Row],[PrimaTécnica]]*Table3[[#This Row],[Gastos Adm]]</f>
        <v>511.88420412000005</v>
      </c>
      <c r="K1284" s="8">
        <f>Table3[[#This Row],[PrimaTécnica]]*Table3[[#This Row],[Utilidad]]</f>
        <v>170.62806804000002</v>
      </c>
      <c r="L1284" s="8">
        <f>Table3[[#This Row],[PrimaTécnica]]*Table3[[#This Row],[Marketing]]</f>
        <v>34.125613608000002</v>
      </c>
      <c r="M1284" s="8">
        <f>Table3[[#This Row],[PrimaTécnica]]*Table3[[#This Row],[Cobranza]]</f>
        <v>34.125613608000002</v>
      </c>
      <c r="N128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284">
        <v>21.84</v>
      </c>
      <c r="P1284">
        <v>54.6</v>
      </c>
      <c r="Q1284">
        <v>80.64</v>
      </c>
      <c r="R1284">
        <v>44.377200000000002</v>
      </c>
      <c r="S1284">
        <v>0.2</v>
      </c>
      <c r="T1284">
        <v>0.02</v>
      </c>
      <c r="U1284" s="8">
        <f>Table3[[#This Row],[PrimaNeta]]*Table3[[#This Row],[Comisión]]</f>
        <v>903.50464020000004</v>
      </c>
      <c r="V1284" s="15">
        <f>Table3[[#This Row],[PrimaComercial Anual]]-Table3[[#This Row],[PrimaComercial Anual]]*SUM(Table3[[#This Row],[APS]:[IVA]])</f>
        <v>4517.523201</v>
      </c>
      <c r="W1284" s="2">
        <v>1.4800000000000001E-2</v>
      </c>
      <c r="X1284" s="2">
        <v>8.4501000000000007E-2</v>
      </c>
      <c r="Y1284">
        <v>0.03</v>
      </c>
      <c r="Z1284">
        <v>0.13</v>
      </c>
      <c r="AA1284" s="20">
        <f>Table3[[#This Row],[APS]]*Table3[[#This Row],[PrimaComercial Anual]]</f>
        <v>90.265200000000007</v>
      </c>
      <c r="AB1284" s="8">
        <f>Table3[[#This Row],[PrimaComercial Anual]]*Table3[[#This Row],[Recargo adicional]]</f>
        <v>515.37159900000006</v>
      </c>
      <c r="AC1284" s="8">
        <f>Table3[[#This Row],[PrimaComercial Anual]]*Table3[[#This Row],[IT]]</f>
        <v>182.97</v>
      </c>
      <c r="AD1284" s="8">
        <f>Table3[[#This Row],[PrimaComercial Anual]]*Table3[[#This Row],[IVA]]</f>
        <v>792.87</v>
      </c>
      <c r="AE1284" s="15">
        <f>Table3[[#This Row],[PrimaComercial Anual Asistencia]]</f>
        <v>6099</v>
      </c>
      <c r="AG1284">
        <v>6099</v>
      </c>
    </row>
    <row r="1285" spans="1:33" x14ac:dyDescent="0.25">
      <c r="A1285" t="s">
        <v>18</v>
      </c>
      <c r="B1285">
        <v>1750000</v>
      </c>
      <c r="C1285">
        <v>28</v>
      </c>
      <c r="D1285" s="2">
        <f>Table3[[#This Row],[PrimaTécnica]]-Table3[[#This Row],[PrimaTécnica]]*SUM(Table3[[#This Row],[Gastos Adm]:[Cobranza]])</f>
        <v>2661.7978614240001</v>
      </c>
      <c r="E1285">
        <v>0</v>
      </c>
      <c r="F1285">
        <v>0.15</v>
      </c>
      <c r="G1285">
        <v>0.05</v>
      </c>
      <c r="H1285">
        <v>0.01</v>
      </c>
      <c r="I1285">
        <v>0.01</v>
      </c>
      <c r="J1285" s="8">
        <f>Table3[[#This Row],[PrimaTécnica]]*Table3[[#This Row],[Gastos Adm]]</f>
        <v>511.88420412000005</v>
      </c>
      <c r="K1285" s="8">
        <f>Table3[[#This Row],[PrimaTécnica]]*Table3[[#This Row],[Utilidad]]</f>
        <v>170.62806804000002</v>
      </c>
      <c r="L1285" s="8">
        <f>Table3[[#This Row],[PrimaTécnica]]*Table3[[#This Row],[Marketing]]</f>
        <v>34.125613608000002</v>
      </c>
      <c r="M1285" s="8">
        <f>Table3[[#This Row],[PrimaTécnica]]*Table3[[#This Row],[Cobranza]]</f>
        <v>34.125613608000002</v>
      </c>
      <c r="N128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285">
        <v>21.84</v>
      </c>
      <c r="P1285">
        <v>54.6</v>
      </c>
      <c r="Q1285">
        <v>80.64</v>
      </c>
      <c r="R1285">
        <v>44.377200000000002</v>
      </c>
      <c r="S1285">
        <v>0.2</v>
      </c>
      <c r="T1285">
        <v>0.02</v>
      </c>
      <c r="U1285" s="8">
        <f>Table3[[#This Row],[PrimaNeta]]*Table3[[#This Row],[Comisión]]</f>
        <v>903.50464020000004</v>
      </c>
      <c r="V1285" s="15">
        <f>Table3[[#This Row],[PrimaComercial Anual]]-Table3[[#This Row],[PrimaComercial Anual]]*SUM(Table3[[#This Row],[APS]:[IVA]])</f>
        <v>4517.523201</v>
      </c>
      <c r="W1285" s="2">
        <v>1.4800000000000001E-2</v>
      </c>
      <c r="X1285" s="2">
        <v>8.4501000000000007E-2</v>
      </c>
      <c r="Y1285">
        <v>0.03</v>
      </c>
      <c r="Z1285">
        <v>0.13</v>
      </c>
      <c r="AA1285" s="20">
        <f>Table3[[#This Row],[APS]]*Table3[[#This Row],[PrimaComercial Anual]]</f>
        <v>90.265200000000007</v>
      </c>
      <c r="AB1285" s="8">
        <f>Table3[[#This Row],[PrimaComercial Anual]]*Table3[[#This Row],[Recargo adicional]]</f>
        <v>515.37159900000006</v>
      </c>
      <c r="AC1285" s="8">
        <f>Table3[[#This Row],[PrimaComercial Anual]]*Table3[[#This Row],[IT]]</f>
        <v>182.97</v>
      </c>
      <c r="AD1285" s="8">
        <f>Table3[[#This Row],[PrimaComercial Anual]]*Table3[[#This Row],[IVA]]</f>
        <v>792.87</v>
      </c>
      <c r="AE1285" s="15">
        <f>Table3[[#This Row],[PrimaComercial Anual Asistencia]]</f>
        <v>6099</v>
      </c>
      <c r="AG1285">
        <v>6099</v>
      </c>
    </row>
    <row r="1286" spans="1:33" x14ac:dyDescent="0.25">
      <c r="A1286" t="s">
        <v>18</v>
      </c>
      <c r="B1286">
        <v>1750000</v>
      </c>
      <c r="C1286">
        <v>29</v>
      </c>
      <c r="D1286" s="2">
        <f>Table3[[#This Row],[PrimaTécnica]]-Table3[[#This Row],[PrimaTécnica]]*SUM(Table3[[#This Row],[Gastos Adm]:[Cobranza]])</f>
        <v>2661.7978614240001</v>
      </c>
      <c r="E1286">
        <v>0</v>
      </c>
      <c r="F1286">
        <v>0.15</v>
      </c>
      <c r="G1286">
        <v>0.05</v>
      </c>
      <c r="H1286">
        <v>0.01</v>
      </c>
      <c r="I1286">
        <v>0.01</v>
      </c>
      <c r="J1286" s="8">
        <f>Table3[[#This Row],[PrimaTécnica]]*Table3[[#This Row],[Gastos Adm]]</f>
        <v>511.88420412000005</v>
      </c>
      <c r="K1286" s="8">
        <f>Table3[[#This Row],[PrimaTécnica]]*Table3[[#This Row],[Utilidad]]</f>
        <v>170.62806804000002</v>
      </c>
      <c r="L1286" s="8">
        <f>Table3[[#This Row],[PrimaTécnica]]*Table3[[#This Row],[Marketing]]</f>
        <v>34.125613608000002</v>
      </c>
      <c r="M1286" s="8">
        <f>Table3[[#This Row],[PrimaTécnica]]*Table3[[#This Row],[Cobranza]]</f>
        <v>34.125613608000002</v>
      </c>
      <c r="N128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286">
        <v>21.84</v>
      </c>
      <c r="P1286">
        <v>54.6</v>
      </c>
      <c r="Q1286">
        <v>80.64</v>
      </c>
      <c r="R1286">
        <v>44.377200000000002</v>
      </c>
      <c r="S1286">
        <v>0.2</v>
      </c>
      <c r="T1286">
        <v>0.02</v>
      </c>
      <c r="U1286" s="8">
        <f>Table3[[#This Row],[PrimaNeta]]*Table3[[#This Row],[Comisión]]</f>
        <v>903.50464020000004</v>
      </c>
      <c r="V1286" s="15">
        <f>Table3[[#This Row],[PrimaComercial Anual]]-Table3[[#This Row],[PrimaComercial Anual]]*SUM(Table3[[#This Row],[APS]:[IVA]])</f>
        <v>4517.523201</v>
      </c>
      <c r="W1286" s="2">
        <v>1.4800000000000001E-2</v>
      </c>
      <c r="X1286" s="2">
        <v>8.4501000000000007E-2</v>
      </c>
      <c r="Y1286">
        <v>0.03</v>
      </c>
      <c r="Z1286">
        <v>0.13</v>
      </c>
      <c r="AA1286" s="20">
        <f>Table3[[#This Row],[APS]]*Table3[[#This Row],[PrimaComercial Anual]]</f>
        <v>90.265200000000007</v>
      </c>
      <c r="AB1286" s="8">
        <f>Table3[[#This Row],[PrimaComercial Anual]]*Table3[[#This Row],[Recargo adicional]]</f>
        <v>515.37159900000006</v>
      </c>
      <c r="AC1286" s="8">
        <f>Table3[[#This Row],[PrimaComercial Anual]]*Table3[[#This Row],[IT]]</f>
        <v>182.97</v>
      </c>
      <c r="AD1286" s="8">
        <f>Table3[[#This Row],[PrimaComercial Anual]]*Table3[[#This Row],[IVA]]</f>
        <v>792.87</v>
      </c>
      <c r="AE1286" s="15">
        <f>Table3[[#This Row],[PrimaComercial Anual Asistencia]]</f>
        <v>6099</v>
      </c>
      <c r="AG1286">
        <v>6099</v>
      </c>
    </row>
    <row r="1287" spans="1:33" x14ac:dyDescent="0.25">
      <c r="A1287" t="s">
        <v>18</v>
      </c>
      <c r="B1287">
        <v>1750000</v>
      </c>
      <c r="C1287">
        <v>30</v>
      </c>
      <c r="D1287" s="2">
        <f>Table3[[#This Row],[PrimaTécnica]]-Table3[[#This Row],[PrimaTécnica]]*SUM(Table3[[#This Row],[Gastos Adm]:[Cobranza]])</f>
        <v>2735.5643711135999</v>
      </c>
      <c r="E1287">
        <v>0</v>
      </c>
      <c r="F1287">
        <v>0.15</v>
      </c>
      <c r="G1287">
        <v>0.05</v>
      </c>
      <c r="H1287">
        <v>0.01</v>
      </c>
      <c r="I1287">
        <v>0.01</v>
      </c>
      <c r="J1287" s="8">
        <f>Table3[[#This Row],[PrimaTécnica]]*Table3[[#This Row],[Gastos Adm]]</f>
        <v>526.07007136799996</v>
      </c>
      <c r="K1287" s="8">
        <f>Table3[[#This Row],[PrimaTécnica]]*Table3[[#This Row],[Utilidad]]</f>
        <v>175.35669045600002</v>
      </c>
      <c r="L1287" s="8">
        <f>Table3[[#This Row],[PrimaTécnica]]*Table3[[#This Row],[Marketing]]</f>
        <v>35.071338091199998</v>
      </c>
      <c r="M1287" s="8">
        <f>Table3[[#This Row],[PrimaTécnica]]*Table3[[#This Row],[Cobranza]]</f>
        <v>35.071338091199998</v>
      </c>
      <c r="N128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1287">
        <v>21.84</v>
      </c>
      <c r="P1287">
        <v>54.6</v>
      </c>
      <c r="Q1287">
        <v>80.64</v>
      </c>
      <c r="R1287">
        <v>44.377200000000002</v>
      </c>
      <c r="S1287">
        <v>0.2</v>
      </c>
      <c r="T1287">
        <v>0.02</v>
      </c>
      <c r="U1287" s="8">
        <f>Table3[[#This Row],[PrimaNeta]]*Table3[[#This Row],[Comisión]]</f>
        <v>927.14775228000008</v>
      </c>
      <c r="V1287" s="15">
        <f>Table3[[#This Row],[PrimaComercial Anual]]-Table3[[#This Row],[PrimaComercial Anual]]*SUM(Table3[[#This Row],[APS]:[IVA]])</f>
        <v>4635.7387613999999</v>
      </c>
      <c r="W1287" s="2">
        <v>1.4800000000000001E-2</v>
      </c>
      <c r="X1287" s="2">
        <v>8.4501000000000007E-2</v>
      </c>
      <c r="Y1287">
        <v>0.03</v>
      </c>
      <c r="Z1287">
        <v>0.13</v>
      </c>
      <c r="AA1287" s="20">
        <f>Table3[[#This Row],[APS]]*Table3[[#This Row],[PrimaComercial Anual]]</f>
        <v>92.627280000000013</v>
      </c>
      <c r="AB1287" s="8">
        <f>Table3[[#This Row],[PrimaComercial Anual]]*Table3[[#This Row],[Recargo adicional]]</f>
        <v>528.85795860000007</v>
      </c>
      <c r="AC1287" s="8">
        <f>Table3[[#This Row],[PrimaComercial Anual]]*Table3[[#This Row],[IT]]</f>
        <v>187.75800000000001</v>
      </c>
      <c r="AD1287" s="8">
        <f>Table3[[#This Row],[PrimaComercial Anual]]*Table3[[#This Row],[IVA]]</f>
        <v>813.61800000000005</v>
      </c>
      <c r="AE1287" s="15">
        <f>Table3[[#This Row],[PrimaComercial Anual Asistencia]]</f>
        <v>6258.6</v>
      </c>
      <c r="AG1287">
        <v>6258.6</v>
      </c>
    </row>
    <row r="1288" spans="1:33" x14ac:dyDescent="0.25">
      <c r="A1288" t="s">
        <v>18</v>
      </c>
      <c r="B1288">
        <v>1750000</v>
      </c>
      <c r="C1288">
        <v>31</v>
      </c>
      <c r="D1288" s="2">
        <f>Table3[[#This Row],[PrimaTécnica]]-Table3[[#This Row],[PrimaTécnica]]*SUM(Table3[[#This Row],[Gastos Adm]:[Cobranza]])</f>
        <v>2735.5643711135999</v>
      </c>
      <c r="E1288">
        <v>0</v>
      </c>
      <c r="F1288">
        <v>0.15</v>
      </c>
      <c r="G1288">
        <v>0.05</v>
      </c>
      <c r="H1288">
        <v>0.01</v>
      </c>
      <c r="I1288">
        <v>0.01</v>
      </c>
      <c r="J1288" s="8">
        <f>Table3[[#This Row],[PrimaTécnica]]*Table3[[#This Row],[Gastos Adm]]</f>
        <v>526.07007136799996</v>
      </c>
      <c r="K1288" s="8">
        <f>Table3[[#This Row],[PrimaTécnica]]*Table3[[#This Row],[Utilidad]]</f>
        <v>175.35669045600002</v>
      </c>
      <c r="L1288" s="8">
        <f>Table3[[#This Row],[PrimaTécnica]]*Table3[[#This Row],[Marketing]]</f>
        <v>35.071338091199998</v>
      </c>
      <c r="M1288" s="8">
        <f>Table3[[#This Row],[PrimaTécnica]]*Table3[[#This Row],[Cobranza]]</f>
        <v>35.071338091199998</v>
      </c>
      <c r="N128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1288">
        <v>21.84</v>
      </c>
      <c r="P1288">
        <v>54.6</v>
      </c>
      <c r="Q1288">
        <v>80.64</v>
      </c>
      <c r="R1288">
        <v>44.377200000000002</v>
      </c>
      <c r="S1288">
        <v>0.2</v>
      </c>
      <c r="T1288">
        <v>0.02</v>
      </c>
      <c r="U1288" s="8">
        <f>Table3[[#This Row],[PrimaNeta]]*Table3[[#This Row],[Comisión]]</f>
        <v>927.14775228000008</v>
      </c>
      <c r="V1288" s="15">
        <f>Table3[[#This Row],[PrimaComercial Anual]]-Table3[[#This Row],[PrimaComercial Anual]]*SUM(Table3[[#This Row],[APS]:[IVA]])</f>
        <v>4635.7387613999999</v>
      </c>
      <c r="W1288" s="2">
        <v>1.4800000000000001E-2</v>
      </c>
      <c r="X1288" s="2">
        <v>8.4501000000000007E-2</v>
      </c>
      <c r="Y1288">
        <v>0.03</v>
      </c>
      <c r="Z1288">
        <v>0.13</v>
      </c>
      <c r="AA1288" s="20">
        <f>Table3[[#This Row],[APS]]*Table3[[#This Row],[PrimaComercial Anual]]</f>
        <v>92.627280000000013</v>
      </c>
      <c r="AB1288" s="8">
        <f>Table3[[#This Row],[PrimaComercial Anual]]*Table3[[#This Row],[Recargo adicional]]</f>
        <v>528.85795860000007</v>
      </c>
      <c r="AC1288" s="8">
        <f>Table3[[#This Row],[PrimaComercial Anual]]*Table3[[#This Row],[IT]]</f>
        <v>187.75800000000001</v>
      </c>
      <c r="AD1288" s="8">
        <f>Table3[[#This Row],[PrimaComercial Anual]]*Table3[[#This Row],[IVA]]</f>
        <v>813.61800000000005</v>
      </c>
      <c r="AE1288" s="15">
        <f>Table3[[#This Row],[PrimaComercial Anual Asistencia]]</f>
        <v>6258.6</v>
      </c>
      <c r="AG1288">
        <v>6258.6</v>
      </c>
    </row>
    <row r="1289" spans="1:33" x14ac:dyDescent="0.25">
      <c r="A1289" t="s">
        <v>18</v>
      </c>
      <c r="B1289">
        <v>1750000</v>
      </c>
      <c r="C1289">
        <v>32</v>
      </c>
      <c r="D1289" s="2">
        <f>Table3[[#This Row],[PrimaTécnica]]-Table3[[#This Row],[PrimaTécnica]]*SUM(Table3[[#This Row],[Gastos Adm]:[Cobranza]])</f>
        <v>2735.5643711135999</v>
      </c>
      <c r="E1289">
        <v>0</v>
      </c>
      <c r="F1289">
        <v>0.15</v>
      </c>
      <c r="G1289">
        <v>0.05</v>
      </c>
      <c r="H1289">
        <v>0.01</v>
      </c>
      <c r="I1289">
        <v>0.01</v>
      </c>
      <c r="J1289" s="8">
        <f>Table3[[#This Row],[PrimaTécnica]]*Table3[[#This Row],[Gastos Adm]]</f>
        <v>526.07007136799996</v>
      </c>
      <c r="K1289" s="8">
        <f>Table3[[#This Row],[PrimaTécnica]]*Table3[[#This Row],[Utilidad]]</f>
        <v>175.35669045600002</v>
      </c>
      <c r="L1289" s="8">
        <f>Table3[[#This Row],[PrimaTécnica]]*Table3[[#This Row],[Marketing]]</f>
        <v>35.071338091199998</v>
      </c>
      <c r="M1289" s="8">
        <f>Table3[[#This Row],[PrimaTécnica]]*Table3[[#This Row],[Cobranza]]</f>
        <v>35.071338091199998</v>
      </c>
      <c r="N128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1289">
        <v>21.84</v>
      </c>
      <c r="P1289">
        <v>54.6</v>
      </c>
      <c r="Q1289">
        <v>80.64</v>
      </c>
      <c r="R1289">
        <v>44.377200000000002</v>
      </c>
      <c r="S1289">
        <v>0.2</v>
      </c>
      <c r="T1289">
        <v>0.02</v>
      </c>
      <c r="U1289" s="8">
        <f>Table3[[#This Row],[PrimaNeta]]*Table3[[#This Row],[Comisión]]</f>
        <v>927.14775228000008</v>
      </c>
      <c r="V1289" s="15">
        <f>Table3[[#This Row],[PrimaComercial Anual]]-Table3[[#This Row],[PrimaComercial Anual]]*SUM(Table3[[#This Row],[APS]:[IVA]])</f>
        <v>4635.7387613999999</v>
      </c>
      <c r="W1289" s="2">
        <v>1.4800000000000001E-2</v>
      </c>
      <c r="X1289" s="2">
        <v>8.4501000000000007E-2</v>
      </c>
      <c r="Y1289">
        <v>0.03</v>
      </c>
      <c r="Z1289">
        <v>0.13</v>
      </c>
      <c r="AA1289" s="20">
        <f>Table3[[#This Row],[APS]]*Table3[[#This Row],[PrimaComercial Anual]]</f>
        <v>92.627280000000013</v>
      </c>
      <c r="AB1289" s="8">
        <f>Table3[[#This Row],[PrimaComercial Anual]]*Table3[[#This Row],[Recargo adicional]]</f>
        <v>528.85795860000007</v>
      </c>
      <c r="AC1289" s="8">
        <f>Table3[[#This Row],[PrimaComercial Anual]]*Table3[[#This Row],[IT]]</f>
        <v>187.75800000000001</v>
      </c>
      <c r="AD1289" s="8">
        <f>Table3[[#This Row],[PrimaComercial Anual]]*Table3[[#This Row],[IVA]]</f>
        <v>813.61800000000005</v>
      </c>
      <c r="AE1289" s="15">
        <f>Table3[[#This Row],[PrimaComercial Anual Asistencia]]</f>
        <v>6258.6</v>
      </c>
      <c r="AG1289">
        <v>6258.6</v>
      </c>
    </row>
    <row r="1290" spans="1:33" x14ac:dyDescent="0.25">
      <c r="A1290" t="s">
        <v>18</v>
      </c>
      <c r="B1290">
        <v>1750000</v>
      </c>
      <c r="C1290">
        <v>33</v>
      </c>
      <c r="D1290" s="2">
        <f>Table3[[#This Row],[PrimaTécnica]]-Table3[[#This Row],[PrimaTécnica]]*SUM(Table3[[#This Row],[Gastos Adm]:[Cobranza]])</f>
        <v>2735.5643711135999</v>
      </c>
      <c r="E1290">
        <v>0</v>
      </c>
      <c r="F1290">
        <v>0.15</v>
      </c>
      <c r="G1290">
        <v>0.05</v>
      </c>
      <c r="H1290">
        <v>0.01</v>
      </c>
      <c r="I1290">
        <v>0.01</v>
      </c>
      <c r="J1290" s="8">
        <f>Table3[[#This Row],[PrimaTécnica]]*Table3[[#This Row],[Gastos Adm]]</f>
        <v>526.07007136799996</v>
      </c>
      <c r="K1290" s="8">
        <f>Table3[[#This Row],[PrimaTécnica]]*Table3[[#This Row],[Utilidad]]</f>
        <v>175.35669045600002</v>
      </c>
      <c r="L1290" s="8">
        <f>Table3[[#This Row],[PrimaTécnica]]*Table3[[#This Row],[Marketing]]</f>
        <v>35.071338091199998</v>
      </c>
      <c r="M1290" s="8">
        <f>Table3[[#This Row],[PrimaTécnica]]*Table3[[#This Row],[Cobranza]]</f>
        <v>35.071338091199998</v>
      </c>
      <c r="N129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1290">
        <v>21.84</v>
      </c>
      <c r="P1290">
        <v>54.6</v>
      </c>
      <c r="Q1290">
        <v>80.64</v>
      </c>
      <c r="R1290">
        <v>44.377200000000002</v>
      </c>
      <c r="S1290">
        <v>0.2</v>
      </c>
      <c r="T1290">
        <v>0.02</v>
      </c>
      <c r="U1290" s="8">
        <f>Table3[[#This Row],[PrimaNeta]]*Table3[[#This Row],[Comisión]]</f>
        <v>927.14775228000008</v>
      </c>
      <c r="V1290" s="15">
        <f>Table3[[#This Row],[PrimaComercial Anual]]-Table3[[#This Row],[PrimaComercial Anual]]*SUM(Table3[[#This Row],[APS]:[IVA]])</f>
        <v>4635.7387613999999</v>
      </c>
      <c r="W1290" s="2">
        <v>1.4800000000000001E-2</v>
      </c>
      <c r="X1290" s="2">
        <v>8.4501000000000007E-2</v>
      </c>
      <c r="Y1290">
        <v>0.03</v>
      </c>
      <c r="Z1290">
        <v>0.13</v>
      </c>
      <c r="AA1290" s="20">
        <f>Table3[[#This Row],[APS]]*Table3[[#This Row],[PrimaComercial Anual]]</f>
        <v>92.627280000000013</v>
      </c>
      <c r="AB1290" s="8">
        <f>Table3[[#This Row],[PrimaComercial Anual]]*Table3[[#This Row],[Recargo adicional]]</f>
        <v>528.85795860000007</v>
      </c>
      <c r="AC1290" s="8">
        <f>Table3[[#This Row],[PrimaComercial Anual]]*Table3[[#This Row],[IT]]</f>
        <v>187.75800000000001</v>
      </c>
      <c r="AD1290" s="8">
        <f>Table3[[#This Row],[PrimaComercial Anual]]*Table3[[#This Row],[IVA]]</f>
        <v>813.61800000000005</v>
      </c>
      <c r="AE1290" s="15">
        <f>Table3[[#This Row],[PrimaComercial Anual Asistencia]]</f>
        <v>6258.6</v>
      </c>
      <c r="AG1290">
        <v>6258.6</v>
      </c>
    </row>
    <row r="1291" spans="1:33" x14ac:dyDescent="0.25">
      <c r="A1291" t="s">
        <v>18</v>
      </c>
      <c r="B1291">
        <v>1750000</v>
      </c>
      <c r="C1291">
        <v>34</v>
      </c>
      <c r="D1291" s="2">
        <f>Table3[[#This Row],[PrimaTécnica]]-Table3[[#This Row],[PrimaTécnica]]*SUM(Table3[[#This Row],[Gastos Adm]:[Cobranza]])</f>
        <v>2735.5643711135999</v>
      </c>
      <c r="E1291">
        <v>0</v>
      </c>
      <c r="F1291">
        <v>0.15</v>
      </c>
      <c r="G1291">
        <v>0.05</v>
      </c>
      <c r="H1291">
        <v>0.01</v>
      </c>
      <c r="I1291">
        <v>0.01</v>
      </c>
      <c r="J1291" s="8">
        <f>Table3[[#This Row],[PrimaTécnica]]*Table3[[#This Row],[Gastos Adm]]</f>
        <v>526.07007136799996</v>
      </c>
      <c r="K1291" s="8">
        <f>Table3[[#This Row],[PrimaTécnica]]*Table3[[#This Row],[Utilidad]]</f>
        <v>175.35669045600002</v>
      </c>
      <c r="L1291" s="8">
        <f>Table3[[#This Row],[PrimaTécnica]]*Table3[[#This Row],[Marketing]]</f>
        <v>35.071338091199998</v>
      </c>
      <c r="M1291" s="8">
        <f>Table3[[#This Row],[PrimaTécnica]]*Table3[[#This Row],[Cobranza]]</f>
        <v>35.071338091199998</v>
      </c>
      <c r="N129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1291">
        <v>21.84</v>
      </c>
      <c r="P1291">
        <v>54.6</v>
      </c>
      <c r="Q1291">
        <v>80.64</v>
      </c>
      <c r="R1291">
        <v>44.377200000000002</v>
      </c>
      <c r="S1291">
        <v>0.2</v>
      </c>
      <c r="T1291">
        <v>0.02</v>
      </c>
      <c r="U1291" s="8">
        <f>Table3[[#This Row],[PrimaNeta]]*Table3[[#This Row],[Comisión]]</f>
        <v>927.14775228000008</v>
      </c>
      <c r="V1291" s="15">
        <f>Table3[[#This Row],[PrimaComercial Anual]]-Table3[[#This Row],[PrimaComercial Anual]]*SUM(Table3[[#This Row],[APS]:[IVA]])</f>
        <v>4635.7387613999999</v>
      </c>
      <c r="W1291" s="2">
        <v>1.4800000000000001E-2</v>
      </c>
      <c r="X1291" s="2">
        <v>8.4501000000000007E-2</v>
      </c>
      <c r="Y1291">
        <v>0.03</v>
      </c>
      <c r="Z1291">
        <v>0.13</v>
      </c>
      <c r="AA1291" s="20">
        <f>Table3[[#This Row],[APS]]*Table3[[#This Row],[PrimaComercial Anual]]</f>
        <v>92.627280000000013</v>
      </c>
      <c r="AB1291" s="8">
        <f>Table3[[#This Row],[PrimaComercial Anual]]*Table3[[#This Row],[Recargo adicional]]</f>
        <v>528.85795860000007</v>
      </c>
      <c r="AC1291" s="8">
        <f>Table3[[#This Row],[PrimaComercial Anual]]*Table3[[#This Row],[IT]]</f>
        <v>187.75800000000001</v>
      </c>
      <c r="AD1291" s="8">
        <f>Table3[[#This Row],[PrimaComercial Anual]]*Table3[[#This Row],[IVA]]</f>
        <v>813.61800000000005</v>
      </c>
      <c r="AE1291" s="15">
        <f>Table3[[#This Row],[PrimaComercial Anual Asistencia]]</f>
        <v>6258.6</v>
      </c>
      <c r="AG1291">
        <v>6258.6</v>
      </c>
    </row>
    <row r="1292" spans="1:33" x14ac:dyDescent="0.25">
      <c r="A1292" t="s">
        <v>18</v>
      </c>
      <c r="B1292">
        <v>1750000</v>
      </c>
      <c r="C1292">
        <v>35</v>
      </c>
      <c r="D1292" s="2">
        <f>Table3[[#This Row],[PrimaTécnica]]-Table3[[#This Row],[PrimaTécnica]]*SUM(Table3[[#This Row],[Gastos Adm]:[Cobranza]])</f>
        <v>2735.5643711135999</v>
      </c>
      <c r="E1292">
        <v>0</v>
      </c>
      <c r="F1292">
        <v>0.15</v>
      </c>
      <c r="G1292">
        <v>0.05</v>
      </c>
      <c r="H1292">
        <v>0.01</v>
      </c>
      <c r="I1292">
        <v>0.01</v>
      </c>
      <c r="J1292" s="8">
        <f>Table3[[#This Row],[PrimaTécnica]]*Table3[[#This Row],[Gastos Adm]]</f>
        <v>526.07007136799996</v>
      </c>
      <c r="K1292" s="8">
        <f>Table3[[#This Row],[PrimaTécnica]]*Table3[[#This Row],[Utilidad]]</f>
        <v>175.35669045600002</v>
      </c>
      <c r="L1292" s="8">
        <f>Table3[[#This Row],[PrimaTécnica]]*Table3[[#This Row],[Marketing]]</f>
        <v>35.071338091199998</v>
      </c>
      <c r="M1292" s="8">
        <f>Table3[[#This Row],[PrimaTécnica]]*Table3[[#This Row],[Cobranza]]</f>
        <v>35.071338091199998</v>
      </c>
      <c r="N129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1292">
        <v>21.84</v>
      </c>
      <c r="P1292">
        <v>54.6</v>
      </c>
      <c r="Q1292">
        <v>80.64</v>
      </c>
      <c r="R1292">
        <v>44.377200000000002</v>
      </c>
      <c r="S1292">
        <v>0.2</v>
      </c>
      <c r="T1292">
        <v>0.02</v>
      </c>
      <c r="U1292" s="8">
        <f>Table3[[#This Row],[PrimaNeta]]*Table3[[#This Row],[Comisión]]</f>
        <v>927.14775228000008</v>
      </c>
      <c r="V1292" s="15">
        <f>Table3[[#This Row],[PrimaComercial Anual]]-Table3[[#This Row],[PrimaComercial Anual]]*SUM(Table3[[#This Row],[APS]:[IVA]])</f>
        <v>4635.7387613999999</v>
      </c>
      <c r="W1292" s="2">
        <v>1.4800000000000001E-2</v>
      </c>
      <c r="X1292" s="2">
        <v>8.4501000000000007E-2</v>
      </c>
      <c r="Y1292">
        <v>0.03</v>
      </c>
      <c r="Z1292">
        <v>0.13</v>
      </c>
      <c r="AA1292" s="20">
        <f>Table3[[#This Row],[APS]]*Table3[[#This Row],[PrimaComercial Anual]]</f>
        <v>92.627280000000013</v>
      </c>
      <c r="AB1292" s="8">
        <f>Table3[[#This Row],[PrimaComercial Anual]]*Table3[[#This Row],[Recargo adicional]]</f>
        <v>528.85795860000007</v>
      </c>
      <c r="AC1292" s="8">
        <f>Table3[[#This Row],[PrimaComercial Anual]]*Table3[[#This Row],[IT]]</f>
        <v>187.75800000000001</v>
      </c>
      <c r="AD1292" s="8">
        <f>Table3[[#This Row],[PrimaComercial Anual]]*Table3[[#This Row],[IVA]]</f>
        <v>813.61800000000005</v>
      </c>
      <c r="AE1292" s="15">
        <f>Table3[[#This Row],[PrimaComercial Anual Asistencia]]</f>
        <v>6258.6</v>
      </c>
      <c r="AG1292">
        <v>6258.6</v>
      </c>
    </row>
    <row r="1293" spans="1:33" x14ac:dyDescent="0.25">
      <c r="A1293" t="s">
        <v>18</v>
      </c>
      <c r="B1293">
        <v>1750000</v>
      </c>
      <c r="C1293">
        <v>36</v>
      </c>
      <c r="D1293" s="2">
        <f>Table3[[#This Row],[PrimaTécnica]]-Table3[[#This Row],[PrimaTécnica]]*SUM(Table3[[#This Row],[Gastos Adm]:[Cobranza]])</f>
        <v>2735.5643711135999</v>
      </c>
      <c r="E1293">
        <v>0</v>
      </c>
      <c r="F1293">
        <v>0.15</v>
      </c>
      <c r="G1293">
        <v>0.05</v>
      </c>
      <c r="H1293">
        <v>0.01</v>
      </c>
      <c r="I1293">
        <v>0.01</v>
      </c>
      <c r="J1293" s="8">
        <f>Table3[[#This Row],[PrimaTécnica]]*Table3[[#This Row],[Gastos Adm]]</f>
        <v>526.07007136799996</v>
      </c>
      <c r="K1293" s="8">
        <f>Table3[[#This Row],[PrimaTécnica]]*Table3[[#This Row],[Utilidad]]</f>
        <v>175.35669045600002</v>
      </c>
      <c r="L1293" s="8">
        <f>Table3[[#This Row],[PrimaTécnica]]*Table3[[#This Row],[Marketing]]</f>
        <v>35.071338091199998</v>
      </c>
      <c r="M1293" s="8">
        <f>Table3[[#This Row],[PrimaTécnica]]*Table3[[#This Row],[Cobranza]]</f>
        <v>35.071338091199998</v>
      </c>
      <c r="N129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1293">
        <v>21.84</v>
      </c>
      <c r="P1293">
        <v>54.6</v>
      </c>
      <c r="Q1293">
        <v>80.64</v>
      </c>
      <c r="R1293">
        <v>44.377200000000002</v>
      </c>
      <c r="S1293">
        <v>0.2</v>
      </c>
      <c r="T1293">
        <v>0.02</v>
      </c>
      <c r="U1293" s="8">
        <f>Table3[[#This Row],[PrimaNeta]]*Table3[[#This Row],[Comisión]]</f>
        <v>927.14775228000008</v>
      </c>
      <c r="V1293" s="15">
        <f>Table3[[#This Row],[PrimaComercial Anual]]-Table3[[#This Row],[PrimaComercial Anual]]*SUM(Table3[[#This Row],[APS]:[IVA]])</f>
        <v>4635.7387613999999</v>
      </c>
      <c r="W1293" s="2">
        <v>1.4800000000000001E-2</v>
      </c>
      <c r="X1293" s="2">
        <v>8.4501000000000007E-2</v>
      </c>
      <c r="Y1293">
        <v>0.03</v>
      </c>
      <c r="Z1293">
        <v>0.13</v>
      </c>
      <c r="AA1293" s="20">
        <f>Table3[[#This Row],[APS]]*Table3[[#This Row],[PrimaComercial Anual]]</f>
        <v>92.627280000000013</v>
      </c>
      <c r="AB1293" s="8">
        <f>Table3[[#This Row],[PrimaComercial Anual]]*Table3[[#This Row],[Recargo adicional]]</f>
        <v>528.85795860000007</v>
      </c>
      <c r="AC1293" s="8">
        <f>Table3[[#This Row],[PrimaComercial Anual]]*Table3[[#This Row],[IT]]</f>
        <v>187.75800000000001</v>
      </c>
      <c r="AD1293" s="8">
        <f>Table3[[#This Row],[PrimaComercial Anual]]*Table3[[#This Row],[IVA]]</f>
        <v>813.61800000000005</v>
      </c>
      <c r="AE1293" s="15">
        <f>Table3[[#This Row],[PrimaComercial Anual Asistencia]]</f>
        <v>6258.6</v>
      </c>
      <c r="AG1293">
        <v>6258.6</v>
      </c>
    </row>
    <row r="1294" spans="1:33" x14ac:dyDescent="0.25">
      <c r="A1294" t="s">
        <v>18</v>
      </c>
      <c r="B1294">
        <v>1750000</v>
      </c>
      <c r="C1294">
        <v>37</v>
      </c>
      <c r="D1294" s="2">
        <f>Table3[[#This Row],[PrimaTécnica]]-Table3[[#This Row],[PrimaTécnica]]*SUM(Table3[[#This Row],[Gastos Adm]:[Cobranza]])</f>
        <v>2735.5643711135999</v>
      </c>
      <c r="E1294">
        <v>0</v>
      </c>
      <c r="F1294">
        <v>0.15</v>
      </c>
      <c r="G1294">
        <v>0.05</v>
      </c>
      <c r="H1294">
        <v>0.01</v>
      </c>
      <c r="I1294">
        <v>0.01</v>
      </c>
      <c r="J1294" s="8">
        <f>Table3[[#This Row],[PrimaTécnica]]*Table3[[#This Row],[Gastos Adm]]</f>
        <v>526.07007136799996</v>
      </c>
      <c r="K1294" s="8">
        <f>Table3[[#This Row],[PrimaTécnica]]*Table3[[#This Row],[Utilidad]]</f>
        <v>175.35669045600002</v>
      </c>
      <c r="L1294" s="8">
        <f>Table3[[#This Row],[PrimaTécnica]]*Table3[[#This Row],[Marketing]]</f>
        <v>35.071338091199998</v>
      </c>
      <c r="M1294" s="8">
        <f>Table3[[#This Row],[PrimaTécnica]]*Table3[[#This Row],[Cobranza]]</f>
        <v>35.071338091199998</v>
      </c>
      <c r="N129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1294">
        <v>21.84</v>
      </c>
      <c r="P1294">
        <v>54.6</v>
      </c>
      <c r="Q1294">
        <v>80.64</v>
      </c>
      <c r="R1294">
        <v>44.377200000000002</v>
      </c>
      <c r="S1294">
        <v>0.2</v>
      </c>
      <c r="T1294">
        <v>0.02</v>
      </c>
      <c r="U1294" s="8">
        <f>Table3[[#This Row],[PrimaNeta]]*Table3[[#This Row],[Comisión]]</f>
        <v>927.14775228000008</v>
      </c>
      <c r="V1294" s="15">
        <f>Table3[[#This Row],[PrimaComercial Anual]]-Table3[[#This Row],[PrimaComercial Anual]]*SUM(Table3[[#This Row],[APS]:[IVA]])</f>
        <v>4635.7387613999999</v>
      </c>
      <c r="W1294" s="2">
        <v>1.4800000000000001E-2</v>
      </c>
      <c r="X1294" s="2">
        <v>8.4501000000000007E-2</v>
      </c>
      <c r="Y1294">
        <v>0.03</v>
      </c>
      <c r="Z1294">
        <v>0.13</v>
      </c>
      <c r="AA1294" s="20">
        <f>Table3[[#This Row],[APS]]*Table3[[#This Row],[PrimaComercial Anual]]</f>
        <v>92.627280000000013</v>
      </c>
      <c r="AB1294" s="8">
        <f>Table3[[#This Row],[PrimaComercial Anual]]*Table3[[#This Row],[Recargo adicional]]</f>
        <v>528.85795860000007</v>
      </c>
      <c r="AC1294" s="8">
        <f>Table3[[#This Row],[PrimaComercial Anual]]*Table3[[#This Row],[IT]]</f>
        <v>187.75800000000001</v>
      </c>
      <c r="AD1294" s="8">
        <f>Table3[[#This Row],[PrimaComercial Anual]]*Table3[[#This Row],[IVA]]</f>
        <v>813.61800000000005</v>
      </c>
      <c r="AE1294" s="15">
        <f>Table3[[#This Row],[PrimaComercial Anual Asistencia]]</f>
        <v>6258.6</v>
      </c>
      <c r="AG1294">
        <v>6258.6</v>
      </c>
    </row>
    <row r="1295" spans="1:33" x14ac:dyDescent="0.25">
      <c r="A1295" t="s">
        <v>18</v>
      </c>
      <c r="B1295">
        <v>1750000</v>
      </c>
      <c r="C1295">
        <v>38</v>
      </c>
      <c r="D1295" s="2">
        <f>Table3[[#This Row],[PrimaTécnica]]-Table3[[#This Row],[PrimaTécnica]]*SUM(Table3[[#This Row],[Gastos Adm]:[Cobranza]])</f>
        <v>2735.5643711135999</v>
      </c>
      <c r="E1295">
        <v>0</v>
      </c>
      <c r="F1295">
        <v>0.15</v>
      </c>
      <c r="G1295">
        <v>0.05</v>
      </c>
      <c r="H1295">
        <v>0.01</v>
      </c>
      <c r="I1295">
        <v>0.01</v>
      </c>
      <c r="J1295" s="8">
        <f>Table3[[#This Row],[PrimaTécnica]]*Table3[[#This Row],[Gastos Adm]]</f>
        <v>526.07007136799996</v>
      </c>
      <c r="K1295" s="8">
        <f>Table3[[#This Row],[PrimaTécnica]]*Table3[[#This Row],[Utilidad]]</f>
        <v>175.35669045600002</v>
      </c>
      <c r="L1295" s="8">
        <f>Table3[[#This Row],[PrimaTécnica]]*Table3[[#This Row],[Marketing]]</f>
        <v>35.071338091199998</v>
      </c>
      <c r="M1295" s="8">
        <f>Table3[[#This Row],[PrimaTécnica]]*Table3[[#This Row],[Cobranza]]</f>
        <v>35.071338091199998</v>
      </c>
      <c r="N129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1295">
        <v>21.84</v>
      </c>
      <c r="P1295">
        <v>54.6</v>
      </c>
      <c r="Q1295">
        <v>80.64</v>
      </c>
      <c r="R1295">
        <v>44.377200000000002</v>
      </c>
      <c r="S1295">
        <v>0.2</v>
      </c>
      <c r="T1295">
        <v>0.02</v>
      </c>
      <c r="U1295" s="8">
        <f>Table3[[#This Row],[PrimaNeta]]*Table3[[#This Row],[Comisión]]</f>
        <v>927.14775228000008</v>
      </c>
      <c r="V1295" s="15">
        <f>Table3[[#This Row],[PrimaComercial Anual]]-Table3[[#This Row],[PrimaComercial Anual]]*SUM(Table3[[#This Row],[APS]:[IVA]])</f>
        <v>4635.7387613999999</v>
      </c>
      <c r="W1295" s="2">
        <v>1.4800000000000001E-2</v>
      </c>
      <c r="X1295" s="2">
        <v>8.4501000000000007E-2</v>
      </c>
      <c r="Y1295">
        <v>0.03</v>
      </c>
      <c r="Z1295">
        <v>0.13</v>
      </c>
      <c r="AA1295" s="20">
        <f>Table3[[#This Row],[APS]]*Table3[[#This Row],[PrimaComercial Anual]]</f>
        <v>92.627280000000013</v>
      </c>
      <c r="AB1295" s="8">
        <f>Table3[[#This Row],[PrimaComercial Anual]]*Table3[[#This Row],[Recargo adicional]]</f>
        <v>528.85795860000007</v>
      </c>
      <c r="AC1295" s="8">
        <f>Table3[[#This Row],[PrimaComercial Anual]]*Table3[[#This Row],[IT]]</f>
        <v>187.75800000000001</v>
      </c>
      <c r="AD1295" s="8">
        <f>Table3[[#This Row],[PrimaComercial Anual]]*Table3[[#This Row],[IVA]]</f>
        <v>813.61800000000005</v>
      </c>
      <c r="AE1295" s="15">
        <f>Table3[[#This Row],[PrimaComercial Anual Asistencia]]</f>
        <v>6258.6</v>
      </c>
      <c r="AG1295">
        <v>6258.6</v>
      </c>
    </row>
    <row r="1296" spans="1:33" x14ac:dyDescent="0.25">
      <c r="A1296" t="s">
        <v>18</v>
      </c>
      <c r="B1296">
        <v>1750000</v>
      </c>
      <c r="C1296">
        <v>39</v>
      </c>
      <c r="D1296" s="2">
        <f>Table3[[#This Row],[PrimaTécnica]]-Table3[[#This Row],[PrimaTécnica]]*SUM(Table3[[#This Row],[Gastos Adm]:[Cobranza]])</f>
        <v>2735.5643711135999</v>
      </c>
      <c r="E1296">
        <v>0</v>
      </c>
      <c r="F1296">
        <v>0.15</v>
      </c>
      <c r="G1296">
        <v>0.05</v>
      </c>
      <c r="H1296">
        <v>0.01</v>
      </c>
      <c r="I1296">
        <v>0.01</v>
      </c>
      <c r="J1296" s="8">
        <f>Table3[[#This Row],[PrimaTécnica]]*Table3[[#This Row],[Gastos Adm]]</f>
        <v>526.07007136799996</v>
      </c>
      <c r="K1296" s="8">
        <f>Table3[[#This Row],[PrimaTécnica]]*Table3[[#This Row],[Utilidad]]</f>
        <v>175.35669045600002</v>
      </c>
      <c r="L1296" s="8">
        <f>Table3[[#This Row],[PrimaTécnica]]*Table3[[#This Row],[Marketing]]</f>
        <v>35.071338091199998</v>
      </c>
      <c r="M1296" s="8">
        <f>Table3[[#This Row],[PrimaTécnica]]*Table3[[#This Row],[Cobranza]]</f>
        <v>35.071338091199998</v>
      </c>
      <c r="N129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1296">
        <v>21.84</v>
      </c>
      <c r="P1296">
        <v>54.6</v>
      </c>
      <c r="Q1296">
        <v>80.64</v>
      </c>
      <c r="R1296">
        <v>44.377200000000002</v>
      </c>
      <c r="S1296">
        <v>0.2</v>
      </c>
      <c r="T1296">
        <v>0.02</v>
      </c>
      <c r="U1296" s="8">
        <f>Table3[[#This Row],[PrimaNeta]]*Table3[[#This Row],[Comisión]]</f>
        <v>927.14775228000008</v>
      </c>
      <c r="V1296" s="15">
        <f>Table3[[#This Row],[PrimaComercial Anual]]-Table3[[#This Row],[PrimaComercial Anual]]*SUM(Table3[[#This Row],[APS]:[IVA]])</f>
        <v>4635.7387613999999</v>
      </c>
      <c r="W1296" s="2">
        <v>1.4800000000000001E-2</v>
      </c>
      <c r="X1296" s="2">
        <v>8.4501000000000007E-2</v>
      </c>
      <c r="Y1296">
        <v>0.03</v>
      </c>
      <c r="Z1296">
        <v>0.13</v>
      </c>
      <c r="AA1296" s="20">
        <f>Table3[[#This Row],[APS]]*Table3[[#This Row],[PrimaComercial Anual]]</f>
        <v>92.627280000000013</v>
      </c>
      <c r="AB1296" s="8">
        <f>Table3[[#This Row],[PrimaComercial Anual]]*Table3[[#This Row],[Recargo adicional]]</f>
        <v>528.85795860000007</v>
      </c>
      <c r="AC1296" s="8">
        <f>Table3[[#This Row],[PrimaComercial Anual]]*Table3[[#This Row],[IT]]</f>
        <v>187.75800000000001</v>
      </c>
      <c r="AD1296" s="8">
        <f>Table3[[#This Row],[PrimaComercial Anual]]*Table3[[#This Row],[IVA]]</f>
        <v>813.61800000000005</v>
      </c>
      <c r="AE1296" s="15">
        <f>Table3[[#This Row],[PrimaComercial Anual Asistencia]]</f>
        <v>6258.6</v>
      </c>
      <c r="AG1296">
        <v>6258.6</v>
      </c>
    </row>
    <row r="1297" spans="1:33" x14ac:dyDescent="0.25">
      <c r="A1297" t="s">
        <v>18</v>
      </c>
      <c r="B1297">
        <v>1750000</v>
      </c>
      <c r="C1297">
        <v>40</v>
      </c>
      <c r="D1297" s="2">
        <f>Table3[[#This Row],[PrimaTécnica]]-Table3[[#This Row],[PrimaTécnica]]*SUM(Table3[[#This Row],[Gastos Adm]:[Cobranza]])</f>
        <v>3768.2955067679991</v>
      </c>
      <c r="E1297">
        <v>0</v>
      </c>
      <c r="F1297">
        <v>0.15</v>
      </c>
      <c r="G1297">
        <v>0.05</v>
      </c>
      <c r="H1297">
        <v>0.01</v>
      </c>
      <c r="I1297">
        <v>0.01</v>
      </c>
      <c r="J1297" s="8">
        <f>Table3[[#This Row],[PrimaTécnica]]*Table3[[#This Row],[Gastos Adm]]</f>
        <v>724.67221283999982</v>
      </c>
      <c r="K1297" s="8">
        <f>Table3[[#This Row],[PrimaTécnica]]*Table3[[#This Row],[Utilidad]]</f>
        <v>241.55740427999996</v>
      </c>
      <c r="L1297" s="8">
        <f>Table3[[#This Row],[PrimaTécnica]]*Table3[[#This Row],[Marketing]]</f>
        <v>48.311480855999989</v>
      </c>
      <c r="M1297" s="8">
        <f>Table3[[#This Row],[PrimaTécnica]]*Table3[[#This Row],[Cobranza]]</f>
        <v>48.311480855999989</v>
      </c>
      <c r="N129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4831.1480855999989</v>
      </c>
      <c r="O1297">
        <v>21.84</v>
      </c>
      <c r="P1297">
        <v>54.6</v>
      </c>
      <c r="Q1297">
        <v>80.64</v>
      </c>
      <c r="R1297">
        <v>44.377200000000002</v>
      </c>
      <c r="S1297">
        <v>0.2</v>
      </c>
      <c r="T1297">
        <v>0.02</v>
      </c>
      <c r="U1297" s="8">
        <f>Table3[[#This Row],[PrimaNeta]]*Table3[[#This Row],[Comisión]]</f>
        <v>1258.1513213999999</v>
      </c>
      <c r="V1297" s="15">
        <f>Table3[[#This Row],[PrimaComercial Anual]]-Table3[[#This Row],[PrimaComercial Anual]]*SUM(Table3[[#This Row],[APS]:[IVA]])</f>
        <v>6290.7566069999993</v>
      </c>
      <c r="W1297" s="2">
        <v>1.4800000000000001E-2</v>
      </c>
      <c r="X1297" s="2">
        <v>8.4501000000000007E-2</v>
      </c>
      <c r="Y1297">
        <v>0.03</v>
      </c>
      <c r="Z1297">
        <v>0.13</v>
      </c>
      <c r="AA1297" s="20">
        <f>Table3[[#This Row],[APS]]*Table3[[#This Row],[PrimaComercial Anual]]</f>
        <v>125.69640000000001</v>
      </c>
      <c r="AB1297" s="8">
        <f>Table3[[#This Row],[PrimaComercial Anual]]*Table3[[#This Row],[Recargo adicional]]</f>
        <v>717.66699300000005</v>
      </c>
      <c r="AC1297" s="8">
        <f>Table3[[#This Row],[PrimaComercial Anual]]*Table3[[#This Row],[IT]]</f>
        <v>254.79</v>
      </c>
      <c r="AD1297" s="8">
        <f>Table3[[#This Row],[PrimaComercial Anual]]*Table3[[#This Row],[IVA]]</f>
        <v>1104.0900000000001</v>
      </c>
      <c r="AE1297" s="15">
        <f>Table3[[#This Row],[PrimaComercial Anual Asistencia]]</f>
        <v>8493</v>
      </c>
      <c r="AG1297">
        <v>8493</v>
      </c>
    </row>
    <row r="1298" spans="1:33" x14ac:dyDescent="0.25">
      <c r="A1298" t="s">
        <v>18</v>
      </c>
      <c r="B1298">
        <v>1750000</v>
      </c>
      <c r="C1298">
        <v>41</v>
      </c>
      <c r="D1298" s="2">
        <f>Table3[[#This Row],[PrimaTécnica]]-Table3[[#This Row],[PrimaTécnica]]*SUM(Table3[[#This Row],[Gastos Adm]:[Cobranza]])</f>
        <v>3768.2955067679991</v>
      </c>
      <c r="E1298">
        <v>0</v>
      </c>
      <c r="F1298">
        <v>0.15</v>
      </c>
      <c r="G1298">
        <v>0.05</v>
      </c>
      <c r="H1298">
        <v>0.01</v>
      </c>
      <c r="I1298">
        <v>0.01</v>
      </c>
      <c r="J1298" s="8">
        <f>Table3[[#This Row],[PrimaTécnica]]*Table3[[#This Row],[Gastos Adm]]</f>
        <v>724.67221283999982</v>
      </c>
      <c r="K1298" s="8">
        <f>Table3[[#This Row],[PrimaTécnica]]*Table3[[#This Row],[Utilidad]]</f>
        <v>241.55740427999996</v>
      </c>
      <c r="L1298" s="8">
        <f>Table3[[#This Row],[PrimaTécnica]]*Table3[[#This Row],[Marketing]]</f>
        <v>48.311480855999989</v>
      </c>
      <c r="M1298" s="8">
        <f>Table3[[#This Row],[PrimaTécnica]]*Table3[[#This Row],[Cobranza]]</f>
        <v>48.311480855999989</v>
      </c>
      <c r="N129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4831.1480855999989</v>
      </c>
      <c r="O1298">
        <v>21.84</v>
      </c>
      <c r="P1298">
        <v>54.6</v>
      </c>
      <c r="Q1298">
        <v>80.64</v>
      </c>
      <c r="R1298">
        <v>44.377200000000002</v>
      </c>
      <c r="S1298">
        <v>0.2</v>
      </c>
      <c r="T1298">
        <v>0.02</v>
      </c>
      <c r="U1298" s="8">
        <f>Table3[[#This Row],[PrimaNeta]]*Table3[[#This Row],[Comisión]]</f>
        <v>1258.1513213999999</v>
      </c>
      <c r="V1298" s="15">
        <f>Table3[[#This Row],[PrimaComercial Anual]]-Table3[[#This Row],[PrimaComercial Anual]]*SUM(Table3[[#This Row],[APS]:[IVA]])</f>
        <v>6290.7566069999993</v>
      </c>
      <c r="W1298" s="2">
        <v>1.4800000000000001E-2</v>
      </c>
      <c r="X1298" s="2">
        <v>8.4501000000000007E-2</v>
      </c>
      <c r="Y1298">
        <v>0.03</v>
      </c>
      <c r="Z1298">
        <v>0.13</v>
      </c>
      <c r="AA1298" s="20">
        <f>Table3[[#This Row],[APS]]*Table3[[#This Row],[PrimaComercial Anual]]</f>
        <v>125.69640000000001</v>
      </c>
      <c r="AB1298" s="8">
        <f>Table3[[#This Row],[PrimaComercial Anual]]*Table3[[#This Row],[Recargo adicional]]</f>
        <v>717.66699300000005</v>
      </c>
      <c r="AC1298" s="8">
        <f>Table3[[#This Row],[PrimaComercial Anual]]*Table3[[#This Row],[IT]]</f>
        <v>254.79</v>
      </c>
      <c r="AD1298" s="8">
        <f>Table3[[#This Row],[PrimaComercial Anual]]*Table3[[#This Row],[IVA]]</f>
        <v>1104.0900000000001</v>
      </c>
      <c r="AE1298" s="15">
        <f>Table3[[#This Row],[PrimaComercial Anual Asistencia]]</f>
        <v>8493</v>
      </c>
      <c r="AG1298">
        <v>8493</v>
      </c>
    </row>
    <row r="1299" spans="1:33" x14ac:dyDescent="0.25">
      <c r="A1299" t="s">
        <v>18</v>
      </c>
      <c r="B1299">
        <v>1750000</v>
      </c>
      <c r="C1299">
        <v>42</v>
      </c>
      <c r="D1299" s="2">
        <f>Table3[[#This Row],[PrimaTécnica]]-Table3[[#This Row],[PrimaTécnica]]*SUM(Table3[[#This Row],[Gastos Adm]:[Cobranza]])</f>
        <v>3768.2955067679991</v>
      </c>
      <c r="E1299">
        <v>0</v>
      </c>
      <c r="F1299">
        <v>0.15</v>
      </c>
      <c r="G1299">
        <v>0.05</v>
      </c>
      <c r="H1299">
        <v>0.01</v>
      </c>
      <c r="I1299">
        <v>0.01</v>
      </c>
      <c r="J1299" s="8">
        <f>Table3[[#This Row],[PrimaTécnica]]*Table3[[#This Row],[Gastos Adm]]</f>
        <v>724.67221283999982</v>
      </c>
      <c r="K1299" s="8">
        <f>Table3[[#This Row],[PrimaTécnica]]*Table3[[#This Row],[Utilidad]]</f>
        <v>241.55740427999996</v>
      </c>
      <c r="L1299" s="8">
        <f>Table3[[#This Row],[PrimaTécnica]]*Table3[[#This Row],[Marketing]]</f>
        <v>48.311480855999989</v>
      </c>
      <c r="M1299" s="8">
        <f>Table3[[#This Row],[PrimaTécnica]]*Table3[[#This Row],[Cobranza]]</f>
        <v>48.311480855999989</v>
      </c>
      <c r="N129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4831.1480855999989</v>
      </c>
      <c r="O1299">
        <v>21.84</v>
      </c>
      <c r="P1299">
        <v>54.6</v>
      </c>
      <c r="Q1299">
        <v>80.64</v>
      </c>
      <c r="R1299">
        <v>44.377200000000002</v>
      </c>
      <c r="S1299">
        <v>0.2</v>
      </c>
      <c r="T1299">
        <v>0.02</v>
      </c>
      <c r="U1299" s="8">
        <f>Table3[[#This Row],[PrimaNeta]]*Table3[[#This Row],[Comisión]]</f>
        <v>1258.1513213999999</v>
      </c>
      <c r="V1299" s="15">
        <f>Table3[[#This Row],[PrimaComercial Anual]]-Table3[[#This Row],[PrimaComercial Anual]]*SUM(Table3[[#This Row],[APS]:[IVA]])</f>
        <v>6290.7566069999993</v>
      </c>
      <c r="W1299" s="2">
        <v>1.4800000000000001E-2</v>
      </c>
      <c r="X1299" s="2">
        <v>8.4501000000000007E-2</v>
      </c>
      <c r="Y1299">
        <v>0.03</v>
      </c>
      <c r="Z1299">
        <v>0.13</v>
      </c>
      <c r="AA1299" s="20">
        <f>Table3[[#This Row],[APS]]*Table3[[#This Row],[PrimaComercial Anual]]</f>
        <v>125.69640000000001</v>
      </c>
      <c r="AB1299" s="8">
        <f>Table3[[#This Row],[PrimaComercial Anual]]*Table3[[#This Row],[Recargo adicional]]</f>
        <v>717.66699300000005</v>
      </c>
      <c r="AC1299" s="8">
        <f>Table3[[#This Row],[PrimaComercial Anual]]*Table3[[#This Row],[IT]]</f>
        <v>254.79</v>
      </c>
      <c r="AD1299" s="8">
        <f>Table3[[#This Row],[PrimaComercial Anual]]*Table3[[#This Row],[IVA]]</f>
        <v>1104.0900000000001</v>
      </c>
      <c r="AE1299" s="15">
        <f>Table3[[#This Row],[PrimaComercial Anual Asistencia]]</f>
        <v>8493</v>
      </c>
      <c r="AG1299">
        <v>8493</v>
      </c>
    </row>
    <row r="1300" spans="1:33" x14ac:dyDescent="0.25">
      <c r="A1300" t="s">
        <v>18</v>
      </c>
      <c r="B1300">
        <v>1750000</v>
      </c>
      <c r="C1300">
        <v>43</v>
      </c>
      <c r="D1300" s="2">
        <f>Table3[[#This Row],[PrimaTécnica]]-Table3[[#This Row],[PrimaTécnica]]*SUM(Table3[[#This Row],[Gastos Adm]:[Cobranza]])</f>
        <v>3768.2955067679991</v>
      </c>
      <c r="E1300">
        <v>0</v>
      </c>
      <c r="F1300">
        <v>0.15</v>
      </c>
      <c r="G1300">
        <v>0.05</v>
      </c>
      <c r="H1300">
        <v>0.01</v>
      </c>
      <c r="I1300">
        <v>0.01</v>
      </c>
      <c r="J1300" s="8">
        <f>Table3[[#This Row],[PrimaTécnica]]*Table3[[#This Row],[Gastos Adm]]</f>
        <v>724.67221283999982</v>
      </c>
      <c r="K1300" s="8">
        <f>Table3[[#This Row],[PrimaTécnica]]*Table3[[#This Row],[Utilidad]]</f>
        <v>241.55740427999996</v>
      </c>
      <c r="L1300" s="8">
        <f>Table3[[#This Row],[PrimaTécnica]]*Table3[[#This Row],[Marketing]]</f>
        <v>48.311480855999989</v>
      </c>
      <c r="M1300" s="8">
        <f>Table3[[#This Row],[PrimaTécnica]]*Table3[[#This Row],[Cobranza]]</f>
        <v>48.311480855999989</v>
      </c>
      <c r="N130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4831.1480855999989</v>
      </c>
      <c r="O1300">
        <v>21.84</v>
      </c>
      <c r="P1300">
        <v>54.6</v>
      </c>
      <c r="Q1300">
        <v>80.64</v>
      </c>
      <c r="R1300">
        <v>44.377200000000002</v>
      </c>
      <c r="S1300">
        <v>0.2</v>
      </c>
      <c r="T1300">
        <v>0.02</v>
      </c>
      <c r="U1300" s="8">
        <f>Table3[[#This Row],[PrimaNeta]]*Table3[[#This Row],[Comisión]]</f>
        <v>1258.1513213999999</v>
      </c>
      <c r="V1300" s="15">
        <f>Table3[[#This Row],[PrimaComercial Anual]]-Table3[[#This Row],[PrimaComercial Anual]]*SUM(Table3[[#This Row],[APS]:[IVA]])</f>
        <v>6290.7566069999993</v>
      </c>
      <c r="W1300" s="2">
        <v>1.4800000000000001E-2</v>
      </c>
      <c r="X1300" s="2">
        <v>8.4501000000000007E-2</v>
      </c>
      <c r="Y1300">
        <v>0.03</v>
      </c>
      <c r="Z1300">
        <v>0.13</v>
      </c>
      <c r="AA1300" s="20">
        <f>Table3[[#This Row],[APS]]*Table3[[#This Row],[PrimaComercial Anual]]</f>
        <v>125.69640000000001</v>
      </c>
      <c r="AB1300" s="8">
        <f>Table3[[#This Row],[PrimaComercial Anual]]*Table3[[#This Row],[Recargo adicional]]</f>
        <v>717.66699300000005</v>
      </c>
      <c r="AC1300" s="8">
        <f>Table3[[#This Row],[PrimaComercial Anual]]*Table3[[#This Row],[IT]]</f>
        <v>254.79</v>
      </c>
      <c r="AD1300" s="8">
        <f>Table3[[#This Row],[PrimaComercial Anual]]*Table3[[#This Row],[IVA]]</f>
        <v>1104.0900000000001</v>
      </c>
      <c r="AE1300" s="15">
        <f>Table3[[#This Row],[PrimaComercial Anual Asistencia]]</f>
        <v>8493</v>
      </c>
      <c r="AG1300">
        <v>8493</v>
      </c>
    </row>
    <row r="1301" spans="1:33" x14ac:dyDescent="0.25">
      <c r="A1301" t="s">
        <v>18</v>
      </c>
      <c r="B1301">
        <v>1750000</v>
      </c>
      <c r="C1301">
        <v>44</v>
      </c>
      <c r="D1301" s="2">
        <f>Table3[[#This Row],[PrimaTécnica]]-Table3[[#This Row],[PrimaTécnica]]*SUM(Table3[[#This Row],[Gastos Adm]:[Cobranza]])</f>
        <v>3768.2955067679991</v>
      </c>
      <c r="E1301">
        <v>0</v>
      </c>
      <c r="F1301">
        <v>0.15</v>
      </c>
      <c r="G1301">
        <v>0.05</v>
      </c>
      <c r="H1301">
        <v>0.01</v>
      </c>
      <c r="I1301">
        <v>0.01</v>
      </c>
      <c r="J1301" s="8">
        <f>Table3[[#This Row],[PrimaTécnica]]*Table3[[#This Row],[Gastos Adm]]</f>
        <v>724.67221283999982</v>
      </c>
      <c r="K1301" s="8">
        <f>Table3[[#This Row],[PrimaTécnica]]*Table3[[#This Row],[Utilidad]]</f>
        <v>241.55740427999996</v>
      </c>
      <c r="L1301" s="8">
        <f>Table3[[#This Row],[PrimaTécnica]]*Table3[[#This Row],[Marketing]]</f>
        <v>48.311480855999989</v>
      </c>
      <c r="M1301" s="8">
        <f>Table3[[#This Row],[PrimaTécnica]]*Table3[[#This Row],[Cobranza]]</f>
        <v>48.311480855999989</v>
      </c>
      <c r="N130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4831.1480855999989</v>
      </c>
      <c r="O1301">
        <v>21.84</v>
      </c>
      <c r="P1301">
        <v>54.6</v>
      </c>
      <c r="Q1301">
        <v>80.64</v>
      </c>
      <c r="R1301">
        <v>44.377200000000002</v>
      </c>
      <c r="S1301">
        <v>0.2</v>
      </c>
      <c r="T1301">
        <v>0.02</v>
      </c>
      <c r="U1301" s="8">
        <f>Table3[[#This Row],[PrimaNeta]]*Table3[[#This Row],[Comisión]]</f>
        <v>1258.1513213999999</v>
      </c>
      <c r="V1301" s="15">
        <f>Table3[[#This Row],[PrimaComercial Anual]]-Table3[[#This Row],[PrimaComercial Anual]]*SUM(Table3[[#This Row],[APS]:[IVA]])</f>
        <v>6290.7566069999993</v>
      </c>
      <c r="W1301" s="2">
        <v>1.4800000000000001E-2</v>
      </c>
      <c r="X1301" s="2">
        <v>8.4501000000000007E-2</v>
      </c>
      <c r="Y1301">
        <v>0.03</v>
      </c>
      <c r="Z1301">
        <v>0.13</v>
      </c>
      <c r="AA1301" s="20">
        <f>Table3[[#This Row],[APS]]*Table3[[#This Row],[PrimaComercial Anual]]</f>
        <v>125.69640000000001</v>
      </c>
      <c r="AB1301" s="8">
        <f>Table3[[#This Row],[PrimaComercial Anual]]*Table3[[#This Row],[Recargo adicional]]</f>
        <v>717.66699300000005</v>
      </c>
      <c r="AC1301" s="8">
        <f>Table3[[#This Row],[PrimaComercial Anual]]*Table3[[#This Row],[IT]]</f>
        <v>254.79</v>
      </c>
      <c r="AD1301" s="8">
        <f>Table3[[#This Row],[PrimaComercial Anual]]*Table3[[#This Row],[IVA]]</f>
        <v>1104.0900000000001</v>
      </c>
      <c r="AE1301" s="15">
        <f>Table3[[#This Row],[PrimaComercial Anual Asistencia]]</f>
        <v>8493</v>
      </c>
      <c r="AG1301">
        <v>8493</v>
      </c>
    </row>
    <row r="1302" spans="1:33" x14ac:dyDescent="0.25">
      <c r="A1302" t="s">
        <v>18</v>
      </c>
      <c r="B1302">
        <v>1750000</v>
      </c>
      <c r="C1302">
        <v>45</v>
      </c>
      <c r="D1302" s="2">
        <f>Table3[[#This Row],[PrimaTécnica]]-Table3[[#This Row],[PrimaTécnica]]*SUM(Table3[[#This Row],[Gastos Adm]:[Cobranza]])</f>
        <v>3768.2955067679991</v>
      </c>
      <c r="E1302">
        <v>0</v>
      </c>
      <c r="F1302">
        <v>0.15</v>
      </c>
      <c r="G1302">
        <v>0.05</v>
      </c>
      <c r="H1302">
        <v>0.01</v>
      </c>
      <c r="I1302">
        <v>0.01</v>
      </c>
      <c r="J1302" s="8">
        <f>Table3[[#This Row],[PrimaTécnica]]*Table3[[#This Row],[Gastos Adm]]</f>
        <v>724.67221283999982</v>
      </c>
      <c r="K1302" s="8">
        <f>Table3[[#This Row],[PrimaTécnica]]*Table3[[#This Row],[Utilidad]]</f>
        <v>241.55740427999996</v>
      </c>
      <c r="L1302" s="8">
        <f>Table3[[#This Row],[PrimaTécnica]]*Table3[[#This Row],[Marketing]]</f>
        <v>48.311480855999989</v>
      </c>
      <c r="M1302" s="8">
        <f>Table3[[#This Row],[PrimaTécnica]]*Table3[[#This Row],[Cobranza]]</f>
        <v>48.311480855999989</v>
      </c>
      <c r="N130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4831.1480855999989</v>
      </c>
      <c r="O1302">
        <v>21.84</v>
      </c>
      <c r="P1302">
        <v>54.6</v>
      </c>
      <c r="Q1302">
        <v>80.64</v>
      </c>
      <c r="R1302">
        <v>44.377200000000002</v>
      </c>
      <c r="S1302">
        <v>0.2</v>
      </c>
      <c r="T1302">
        <v>0.02</v>
      </c>
      <c r="U1302" s="8">
        <f>Table3[[#This Row],[PrimaNeta]]*Table3[[#This Row],[Comisión]]</f>
        <v>1258.1513213999999</v>
      </c>
      <c r="V1302" s="15">
        <f>Table3[[#This Row],[PrimaComercial Anual]]-Table3[[#This Row],[PrimaComercial Anual]]*SUM(Table3[[#This Row],[APS]:[IVA]])</f>
        <v>6290.7566069999993</v>
      </c>
      <c r="W1302" s="2">
        <v>1.4800000000000001E-2</v>
      </c>
      <c r="X1302" s="2">
        <v>8.4501000000000007E-2</v>
      </c>
      <c r="Y1302">
        <v>0.03</v>
      </c>
      <c r="Z1302">
        <v>0.13</v>
      </c>
      <c r="AA1302" s="20">
        <f>Table3[[#This Row],[APS]]*Table3[[#This Row],[PrimaComercial Anual]]</f>
        <v>125.69640000000001</v>
      </c>
      <c r="AB1302" s="8">
        <f>Table3[[#This Row],[PrimaComercial Anual]]*Table3[[#This Row],[Recargo adicional]]</f>
        <v>717.66699300000005</v>
      </c>
      <c r="AC1302" s="8">
        <f>Table3[[#This Row],[PrimaComercial Anual]]*Table3[[#This Row],[IT]]</f>
        <v>254.79</v>
      </c>
      <c r="AD1302" s="8">
        <f>Table3[[#This Row],[PrimaComercial Anual]]*Table3[[#This Row],[IVA]]</f>
        <v>1104.0900000000001</v>
      </c>
      <c r="AE1302" s="15">
        <f>Table3[[#This Row],[PrimaComercial Anual Asistencia]]</f>
        <v>8493</v>
      </c>
      <c r="AG1302">
        <v>8493</v>
      </c>
    </row>
    <row r="1303" spans="1:33" x14ac:dyDescent="0.25">
      <c r="A1303" t="s">
        <v>18</v>
      </c>
      <c r="B1303">
        <v>1750000</v>
      </c>
      <c r="C1303">
        <v>46</v>
      </c>
      <c r="D1303" s="2">
        <f>Table3[[#This Row],[PrimaTécnica]]-Table3[[#This Row],[PrimaTécnica]]*SUM(Table3[[#This Row],[Gastos Adm]:[Cobranza]])</f>
        <v>3768.2955067679991</v>
      </c>
      <c r="E1303">
        <v>0</v>
      </c>
      <c r="F1303">
        <v>0.15</v>
      </c>
      <c r="G1303">
        <v>0.05</v>
      </c>
      <c r="H1303">
        <v>0.01</v>
      </c>
      <c r="I1303">
        <v>0.01</v>
      </c>
      <c r="J1303" s="8">
        <f>Table3[[#This Row],[PrimaTécnica]]*Table3[[#This Row],[Gastos Adm]]</f>
        <v>724.67221283999982</v>
      </c>
      <c r="K1303" s="8">
        <f>Table3[[#This Row],[PrimaTécnica]]*Table3[[#This Row],[Utilidad]]</f>
        <v>241.55740427999996</v>
      </c>
      <c r="L1303" s="8">
        <f>Table3[[#This Row],[PrimaTécnica]]*Table3[[#This Row],[Marketing]]</f>
        <v>48.311480855999989</v>
      </c>
      <c r="M1303" s="8">
        <f>Table3[[#This Row],[PrimaTécnica]]*Table3[[#This Row],[Cobranza]]</f>
        <v>48.311480855999989</v>
      </c>
      <c r="N130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4831.1480855999989</v>
      </c>
      <c r="O1303">
        <v>21.84</v>
      </c>
      <c r="P1303">
        <v>54.6</v>
      </c>
      <c r="Q1303">
        <v>80.64</v>
      </c>
      <c r="R1303">
        <v>44.377200000000002</v>
      </c>
      <c r="S1303">
        <v>0.2</v>
      </c>
      <c r="T1303">
        <v>0.02</v>
      </c>
      <c r="U1303" s="8">
        <f>Table3[[#This Row],[PrimaNeta]]*Table3[[#This Row],[Comisión]]</f>
        <v>1258.1513213999999</v>
      </c>
      <c r="V1303" s="15">
        <f>Table3[[#This Row],[PrimaComercial Anual]]-Table3[[#This Row],[PrimaComercial Anual]]*SUM(Table3[[#This Row],[APS]:[IVA]])</f>
        <v>6290.7566069999993</v>
      </c>
      <c r="W1303" s="2">
        <v>1.4800000000000001E-2</v>
      </c>
      <c r="X1303" s="2">
        <v>8.4501000000000007E-2</v>
      </c>
      <c r="Y1303">
        <v>0.03</v>
      </c>
      <c r="Z1303">
        <v>0.13</v>
      </c>
      <c r="AA1303" s="20">
        <f>Table3[[#This Row],[APS]]*Table3[[#This Row],[PrimaComercial Anual]]</f>
        <v>125.69640000000001</v>
      </c>
      <c r="AB1303" s="8">
        <f>Table3[[#This Row],[PrimaComercial Anual]]*Table3[[#This Row],[Recargo adicional]]</f>
        <v>717.66699300000005</v>
      </c>
      <c r="AC1303" s="8">
        <f>Table3[[#This Row],[PrimaComercial Anual]]*Table3[[#This Row],[IT]]</f>
        <v>254.79</v>
      </c>
      <c r="AD1303" s="8">
        <f>Table3[[#This Row],[PrimaComercial Anual]]*Table3[[#This Row],[IVA]]</f>
        <v>1104.0900000000001</v>
      </c>
      <c r="AE1303" s="15">
        <f>Table3[[#This Row],[PrimaComercial Anual Asistencia]]</f>
        <v>8493</v>
      </c>
      <c r="AG1303">
        <v>8493</v>
      </c>
    </row>
    <row r="1304" spans="1:33" x14ac:dyDescent="0.25">
      <c r="A1304" t="s">
        <v>18</v>
      </c>
      <c r="B1304">
        <v>1750000</v>
      </c>
      <c r="C1304">
        <v>47</v>
      </c>
      <c r="D1304" s="2">
        <f>Table3[[#This Row],[PrimaTécnica]]-Table3[[#This Row],[PrimaTécnica]]*SUM(Table3[[#This Row],[Gastos Adm]:[Cobranza]])</f>
        <v>3768.2955067679991</v>
      </c>
      <c r="E1304">
        <v>0</v>
      </c>
      <c r="F1304">
        <v>0.15</v>
      </c>
      <c r="G1304">
        <v>0.05</v>
      </c>
      <c r="H1304">
        <v>0.01</v>
      </c>
      <c r="I1304">
        <v>0.01</v>
      </c>
      <c r="J1304" s="8">
        <f>Table3[[#This Row],[PrimaTécnica]]*Table3[[#This Row],[Gastos Adm]]</f>
        <v>724.67221283999982</v>
      </c>
      <c r="K1304" s="8">
        <f>Table3[[#This Row],[PrimaTécnica]]*Table3[[#This Row],[Utilidad]]</f>
        <v>241.55740427999996</v>
      </c>
      <c r="L1304" s="8">
        <f>Table3[[#This Row],[PrimaTécnica]]*Table3[[#This Row],[Marketing]]</f>
        <v>48.311480855999989</v>
      </c>
      <c r="M1304" s="8">
        <f>Table3[[#This Row],[PrimaTécnica]]*Table3[[#This Row],[Cobranza]]</f>
        <v>48.311480855999989</v>
      </c>
      <c r="N130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4831.1480855999989</v>
      </c>
      <c r="O1304">
        <v>21.84</v>
      </c>
      <c r="P1304">
        <v>54.6</v>
      </c>
      <c r="Q1304">
        <v>80.64</v>
      </c>
      <c r="R1304">
        <v>44.377200000000002</v>
      </c>
      <c r="S1304">
        <v>0.2</v>
      </c>
      <c r="T1304">
        <v>0.02</v>
      </c>
      <c r="U1304" s="8">
        <f>Table3[[#This Row],[PrimaNeta]]*Table3[[#This Row],[Comisión]]</f>
        <v>1258.1513213999999</v>
      </c>
      <c r="V1304" s="15">
        <f>Table3[[#This Row],[PrimaComercial Anual]]-Table3[[#This Row],[PrimaComercial Anual]]*SUM(Table3[[#This Row],[APS]:[IVA]])</f>
        <v>6290.7566069999993</v>
      </c>
      <c r="W1304" s="2">
        <v>1.4800000000000001E-2</v>
      </c>
      <c r="X1304" s="2">
        <v>8.4501000000000007E-2</v>
      </c>
      <c r="Y1304">
        <v>0.03</v>
      </c>
      <c r="Z1304">
        <v>0.13</v>
      </c>
      <c r="AA1304" s="20">
        <f>Table3[[#This Row],[APS]]*Table3[[#This Row],[PrimaComercial Anual]]</f>
        <v>125.69640000000001</v>
      </c>
      <c r="AB1304" s="8">
        <f>Table3[[#This Row],[PrimaComercial Anual]]*Table3[[#This Row],[Recargo adicional]]</f>
        <v>717.66699300000005</v>
      </c>
      <c r="AC1304" s="8">
        <f>Table3[[#This Row],[PrimaComercial Anual]]*Table3[[#This Row],[IT]]</f>
        <v>254.79</v>
      </c>
      <c r="AD1304" s="8">
        <f>Table3[[#This Row],[PrimaComercial Anual]]*Table3[[#This Row],[IVA]]</f>
        <v>1104.0900000000001</v>
      </c>
      <c r="AE1304" s="15">
        <f>Table3[[#This Row],[PrimaComercial Anual Asistencia]]</f>
        <v>8493</v>
      </c>
      <c r="AG1304">
        <v>8493</v>
      </c>
    </row>
    <row r="1305" spans="1:33" x14ac:dyDescent="0.25">
      <c r="A1305" t="s">
        <v>18</v>
      </c>
      <c r="B1305">
        <v>1750000</v>
      </c>
      <c r="C1305">
        <v>48</v>
      </c>
      <c r="D1305" s="2">
        <f>Table3[[#This Row],[PrimaTécnica]]-Table3[[#This Row],[PrimaTécnica]]*SUM(Table3[[#This Row],[Gastos Adm]:[Cobranza]])</f>
        <v>3768.2955067679991</v>
      </c>
      <c r="E1305">
        <v>0</v>
      </c>
      <c r="F1305">
        <v>0.15</v>
      </c>
      <c r="G1305">
        <v>0.05</v>
      </c>
      <c r="H1305">
        <v>0.01</v>
      </c>
      <c r="I1305">
        <v>0.01</v>
      </c>
      <c r="J1305" s="8">
        <f>Table3[[#This Row],[PrimaTécnica]]*Table3[[#This Row],[Gastos Adm]]</f>
        <v>724.67221283999982</v>
      </c>
      <c r="K1305" s="8">
        <f>Table3[[#This Row],[PrimaTécnica]]*Table3[[#This Row],[Utilidad]]</f>
        <v>241.55740427999996</v>
      </c>
      <c r="L1305" s="8">
        <f>Table3[[#This Row],[PrimaTécnica]]*Table3[[#This Row],[Marketing]]</f>
        <v>48.311480855999989</v>
      </c>
      <c r="M1305" s="8">
        <f>Table3[[#This Row],[PrimaTécnica]]*Table3[[#This Row],[Cobranza]]</f>
        <v>48.311480855999989</v>
      </c>
      <c r="N130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4831.1480855999989</v>
      </c>
      <c r="O1305">
        <v>21.84</v>
      </c>
      <c r="P1305">
        <v>54.6</v>
      </c>
      <c r="Q1305">
        <v>80.64</v>
      </c>
      <c r="R1305">
        <v>44.377200000000002</v>
      </c>
      <c r="S1305">
        <v>0.2</v>
      </c>
      <c r="T1305">
        <v>0.02</v>
      </c>
      <c r="U1305" s="8">
        <f>Table3[[#This Row],[PrimaNeta]]*Table3[[#This Row],[Comisión]]</f>
        <v>1258.1513213999999</v>
      </c>
      <c r="V1305" s="15">
        <f>Table3[[#This Row],[PrimaComercial Anual]]-Table3[[#This Row],[PrimaComercial Anual]]*SUM(Table3[[#This Row],[APS]:[IVA]])</f>
        <v>6290.7566069999993</v>
      </c>
      <c r="W1305" s="2">
        <v>1.4800000000000001E-2</v>
      </c>
      <c r="X1305" s="2">
        <v>8.4501000000000007E-2</v>
      </c>
      <c r="Y1305">
        <v>0.03</v>
      </c>
      <c r="Z1305">
        <v>0.13</v>
      </c>
      <c r="AA1305" s="20">
        <f>Table3[[#This Row],[APS]]*Table3[[#This Row],[PrimaComercial Anual]]</f>
        <v>125.69640000000001</v>
      </c>
      <c r="AB1305" s="8">
        <f>Table3[[#This Row],[PrimaComercial Anual]]*Table3[[#This Row],[Recargo adicional]]</f>
        <v>717.66699300000005</v>
      </c>
      <c r="AC1305" s="8">
        <f>Table3[[#This Row],[PrimaComercial Anual]]*Table3[[#This Row],[IT]]</f>
        <v>254.79</v>
      </c>
      <c r="AD1305" s="8">
        <f>Table3[[#This Row],[PrimaComercial Anual]]*Table3[[#This Row],[IVA]]</f>
        <v>1104.0900000000001</v>
      </c>
      <c r="AE1305" s="15">
        <f>Table3[[#This Row],[PrimaComercial Anual Asistencia]]</f>
        <v>8493</v>
      </c>
      <c r="AG1305">
        <v>8493</v>
      </c>
    </row>
    <row r="1306" spans="1:33" x14ac:dyDescent="0.25">
      <c r="A1306" t="s">
        <v>18</v>
      </c>
      <c r="B1306">
        <v>1750000</v>
      </c>
      <c r="C1306">
        <v>49</v>
      </c>
      <c r="D1306" s="2">
        <f>Table3[[#This Row],[PrimaTécnica]]-Table3[[#This Row],[PrimaTécnica]]*SUM(Table3[[#This Row],[Gastos Adm]:[Cobranza]])</f>
        <v>3768.2955067679991</v>
      </c>
      <c r="E1306">
        <v>0</v>
      </c>
      <c r="F1306">
        <v>0.15</v>
      </c>
      <c r="G1306">
        <v>0.05</v>
      </c>
      <c r="H1306">
        <v>0.01</v>
      </c>
      <c r="I1306">
        <v>0.01</v>
      </c>
      <c r="J1306" s="8">
        <f>Table3[[#This Row],[PrimaTécnica]]*Table3[[#This Row],[Gastos Adm]]</f>
        <v>724.67221283999982</v>
      </c>
      <c r="K1306" s="8">
        <f>Table3[[#This Row],[PrimaTécnica]]*Table3[[#This Row],[Utilidad]]</f>
        <v>241.55740427999996</v>
      </c>
      <c r="L1306" s="8">
        <f>Table3[[#This Row],[PrimaTécnica]]*Table3[[#This Row],[Marketing]]</f>
        <v>48.311480855999989</v>
      </c>
      <c r="M1306" s="8">
        <f>Table3[[#This Row],[PrimaTécnica]]*Table3[[#This Row],[Cobranza]]</f>
        <v>48.311480855999989</v>
      </c>
      <c r="N130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4831.1480855999989</v>
      </c>
      <c r="O1306">
        <v>21.84</v>
      </c>
      <c r="P1306">
        <v>54.6</v>
      </c>
      <c r="Q1306">
        <v>80.64</v>
      </c>
      <c r="R1306">
        <v>44.377200000000002</v>
      </c>
      <c r="S1306">
        <v>0.2</v>
      </c>
      <c r="T1306">
        <v>0.02</v>
      </c>
      <c r="U1306" s="8">
        <f>Table3[[#This Row],[PrimaNeta]]*Table3[[#This Row],[Comisión]]</f>
        <v>1258.1513213999999</v>
      </c>
      <c r="V1306" s="15">
        <f>Table3[[#This Row],[PrimaComercial Anual]]-Table3[[#This Row],[PrimaComercial Anual]]*SUM(Table3[[#This Row],[APS]:[IVA]])</f>
        <v>6290.7566069999993</v>
      </c>
      <c r="W1306" s="2">
        <v>1.4800000000000001E-2</v>
      </c>
      <c r="X1306" s="2">
        <v>8.4501000000000007E-2</v>
      </c>
      <c r="Y1306">
        <v>0.03</v>
      </c>
      <c r="Z1306">
        <v>0.13</v>
      </c>
      <c r="AA1306" s="20">
        <f>Table3[[#This Row],[APS]]*Table3[[#This Row],[PrimaComercial Anual]]</f>
        <v>125.69640000000001</v>
      </c>
      <c r="AB1306" s="8">
        <f>Table3[[#This Row],[PrimaComercial Anual]]*Table3[[#This Row],[Recargo adicional]]</f>
        <v>717.66699300000005</v>
      </c>
      <c r="AC1306" s="8">
        <f>Table3[[#This Row],[PrimaComercial Anual]]*Table3[[#This Row],[IT]]</f>
        <v>254.79</v>
      </c>
      <c r="AD1306" s="8">
        <f>Table3[[#This Row],[PrimaComercial Anual]]*Table3[[#This Row],[IVA]]</f>
        <v>1104.0900000000001</v>
      </c>
      <c r="AE1306" s="15">
        <f>Table3[[#This Row],[PrimaComercial Anual Asistencia]]</f>
        <v>8493</v>
      </c>
      <c r="AG1306">
        <v>8493</v>
      </c>
    </row>
    <row r="1307" spans="1:33" x14ac:dyDescent="0.25">
      <c r="A1307" t="s">
        <v>18</v>
      </c>
      <c r="B1307">
        <v>1750000</v>
      </c>
      <c r="C1307">
        <v>50</v>
      </c>
      <c r="D1307" s="2">
        <f>Table3[[#This Row],[PrimaTécnica]]-Table3[[#This Row],[PrimaTécnica]]*SUM(Table3[[#This Row],[Gastos Adm]:[Cobranza]])</f>
        <v>4063.3615455263989</v>
      </c>
      <c r="E1307">
        <v>0</v>
      </c>
      <c r="F1307">
        <v>0.15</v>
      </c>
      <c r="G1307">
        <v>0.05</v>
      </c>
      <c r="H1307">
        <v>0.01</v>
      </c>
      <c r="I1307">
        <v>0.01</v>
      </c>
      <c r="J1307" s="8">
        <f>Table3[[#This Row],[PrimaTécnica]]*Table3[[#This Row],[Gastos Adm]]</f>
        <v>781.41568183199979</v>
      </c>
      <c r="K1307" s="8">
        <f>Table3[[#This Row],[PrimaTécnica]]*Table3[[#This Row],[Utilidad]]</f>
        <v>260.47189394399993</v>
      </c>
      <c r="L1307" s="8">
        <f>Table3[[#This Row],[PrimaTécnica]]*Table3[[#This Row],[Marketing]]</f>
        <v>52.094378788799986</v>
      </c>
      <c r="M1307" s="8">
        <f>Table3[[#This Row],[PrimaTécnica]]*Table3[[#This Row],[Cobranza]]</f>
        <v>52.094378788799986</v>
      </c>
      <c r="N130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5209.4378788799986</v>
      </c>
      <c r="O1307">
        <v>21.84</v>
      </c>
      <c r="P1307">
        <v>54.6</v>
      </c>
      <c r="Q1307">
        <v>80.64</v>
      </c>
      <c r="R1307">
        <v>44.377200000000002</v>
      </c>
      <c r="S1307">
        <v>0.2</v>
      </c>
      <c r="T1307">
        <v>0.02</v>
      </c>
      <c r="U1307" s="8">
        <f>Table3[[#This Row],[PrimaNeta]]*Table3[[#This Row],[Comisión]]</f>
        <v>1352.7237697199998</v>
      </c>
      <c r="V1307" s="15">
        <f>Table3[[#This Row],[PrimaComercial Anual]]-Table3[[#This Row],[PrimaComercial Anual]]*SUM(Table3[[#This Row],[APS]:[IVA]])</f>
        <v>6763.6188485999992</v>
      </c>
      <c r="W1307" s="2">
        <v>1.4800000000000001E-2</v>
      </c>
      <c r="X1307" s="2">
        <v>8.4501000000000007E-2</v>
      </c>
      <c r="Y1307">
        <v>0.03</v>
      </c>
      <c r="Z1307">
        <v>0.13</v>
      </c>
      <c r="AA1307" s="20">
        <f>Table3[[#This Row],[APS]]*Table3[[#This Row],[PrimaComercial Anual]]</f>
        <v>135.14472000000001</v>
      </c>
      <c r="AB1307" s="8">
        <f>Table3[[#This Row],[PrimaComercial Anual]]*Table3[[#This Row],[Recargo adicional]]</f>
        <v>771.61243139999999</v>
      </c>
      <c r="AC1307" s="8">
        <f>Table3[[#This Row],[PrimaComercial Anual]]*Table3[[#This Row],[IT]]</f>
        <v>273.94200000000001</v>
      </c>
      <c r="AD1307" s="8">
        <f>Table3[[#This Row],[PrimaComercial Anual]]*Table3[[#This Row],[IVA]]</f>
        <v>1187.0819999999999</v>
      </c>
      <c r="AE1307" s="15">
        <f>Table3[[#This Row],[PrimaComercial Anual Asistencia]]</f>
        <v>9131.4</v>
      </c>
      <c r="AG1307">
        <v>9131.4</v>
      </c>
    </row>
    <row r="1308" spans="1:33" x14ac:dyDescent="0.25">
      <c r="A1308" t="s">
        <v>18</v>
      </c>
      <c r="B1308">
        <v>1750000</v>
      </c>
      <c r="C1308">
        <v>51</v>
      </c>
      <c r="D1308" s="2">
        <f>Table3[[#This Row],[PrimaTécnica]]-Table3[[#This Row],[PrimaTécnica]]*SUM(Table3[[#This Row],[Gastos Adm]:[Cobranza]])</f>
        <v>4063.3615455263989</v>
      </c>
      <c r="E1308">
        <v>0</v>
      </c>
      <c r="F1308">
        <v>0.15</v>
      </c>
      <c r="G1308">
        <v>0.05</v>
      </c>
      <c r="H1308">
        <v>0.01</v>
      </c>
      <c r="I1308">
        <v>0.01</v>
      </c>
      <c r="J1308" s="8">
        <f>Table3[[#This Row],[PrimaTécnica]]*Table3[[#This Row],[Gastos Adm]]</f>
        <v>781.41568183199979</v>
      </c>
      <c r="K1308" s="8">
        <f>Table3[[#This Row],[PrimaTécnica]]*Table3[[#This Row],[Utilidad]]</f>
        <v>260.47189394399993</v>
      </c>
      <c r="L1308" s="8">
        <f>Table3[[#This Row],[PrimaTécnica]]*Table3[[#This Row],[Marketing]]</f>
        <v>52.094378788799986</v>
      </c>
      <c r="M1308" s="8">
        <f>Table3[[#This Row],[PrimaTécnica]]*Table3[[#This Row],[Cobranza]]</f>
        <v>52.094378788799986</v>
      </c>
      <c r="N130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5209.4378788799986</v>
      </c>
      <c r="O1308">
        <v>21.84</v>
      </c>
      <c r="P1308">
        <v>54.6</v>
      </c>
      <c r="Q1308">
        <v>80.64</v>
      </c>
      <c r="R1308">
        <v>44.377200000000002</v>
      </c>
      <c r="S1308">
        <v>0.2</v>
      </c>
      <c r="T1308">
        <v>0.02</v>
      </c>
      <c r="U1308" s="8">
        <f>Table3[[#This Row],[PrimaNeta]]*Table3[[#This Row],[Comisión]]</f>
        <v>1352.7237697199998</v>
      </c>
      <c r="V1308" s="15">
        <f>Table3[[#This Row],[PrimaComercial Anual]]-Table3[[#This Row],[PrimaComercial Anual]]*SUM(Table3[[#This Row],[APS]:[IVA]])</f>
        <v>6763.6188485999992</v>
      </c>
      <c r="W1308" s="2">
        <v>1.4800000000000001E-2</v>
      </c>
      <c r="X1308" s="2">
        <v>8.4501000000000007E-2</v>
      </c>
      <c r="Y1308">
        <v>0.03</v>
      </c>
      <c r="Z1308">
        <v>0.13</v>
      </c>
      <c r="AA1308" s="20">
        <f>Table3[[#This Row],[APS]]*Table3[[#This Row],[PrimaComercial Anual]]</f>
        <v>135.14472000000001</v>
      </c>
      <c r="AB1308" s="8">
        <f>Table3[[#This Row],[PrimaComercial Anual]]*Table3[[#This Row],[Recargo adicional]]</f>
        <v>771.61243139999999</v>
      </c>
      <c r="AC1308" s="8">
        <f>Table3[[#This Row],[PrimaComercial Anual]]*Table3[[#This Row],[IT]]</f>
        <v>273.94200000000001</v>
      </c>
      <c r="AD1308" s="8">
        <f>Table3[[#This Row],[PrimaComercial Anual]]*Table3[[#This Row],[IVA]]</f>
        <v>1187.0819999999999</v>
      </c>
      <c r="AE1308" s="15">
        <f>Table3[[#This Row],[PrimaComercial Anual Asistencia]]</f>
        <v>9131.4</v>
      </c>
      <c r="AG1308">
        <v>9131.4</v>
      </c>
    </row>
    <row r="1309" spans="1:33" x14ac:dyDescent="0.25">
      <c r="A1309" t="s">
        <v>18</v>
      </c>
      <c r="B1309">
        <v>1750000</v>
      </c>
      <c r="C1309">
        <v>52</v>
      </c>
      <c r="D1309" s="2">
        <f>Table3[[#This Row],[PrimaTécnica]]-Table3[[#This Row],[PrimaTécnica]]*SUM(Table3[[#This Row],[Gastos Adm]:[Cobranza]])</f>
        <v>4063.3615455263989</v>
      </c>
      <c r="E1309">
        <v>0</v>
      </c>
      <c r="F1309">
        <v>0.15</v>
      </c>
      <c r="G1309">
        <v>0.05</v>
      </c>
      <c r="H1309">
        <v>0.01</v>
      </c>
      <c r="I1309">
        <v>0.01</v>
      </c>
      <c r="J1309" s="8">
        <f>Table3[[#This Row],[PrimaTécnica]]*Table3[[#This Row],[Gastos Adm]]</f>
        <v>781.41568183199979</v>
      </c>
      <c r="K1309" s="8">
        <f>Table3[[#This Row],[PrimaTécnica]]*Table3[[#This Row],[Utilidad]]</f>
        <v>260.47189394399993</v>
      </c>
      <c r="L1309" s="8">
        <f>Table3[[#This Row],[PrimaTécnica]]*Table3[[#This Row],[Marketing]]</f>
        <v>52.094378788799986</v>
      </c>
      <c r="M1309" s="8">
        <f>Table3[[#This Row],[PrimaTécnica]]*Table3[[#This Row],[Cobranza]]</f>
        <v>52.094378788799986</v>
      </c>
      <c r="N130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5209.4378788799986</v>
      </c>
      <c r="O1309">
        <v>21.84</v>
      </c>
      <c r="P1309">
        <v>54.6</v>
      </c>
      <c r="Q1309">
        <v>80.64</v>
      </c>
      <c r="R1309">
        <v>44.377200000000002</v>
      </c>
      <c r="S1309">
        <v>0.2</v>
      </c>
      <c r="T1309">
        <v>0.02</v>
      </c>
      <c r="U1309" s="8">
        <f>Table3[[#This Row],[PrimaNeta]]*Table3[[#This Row],[Comisión]]</f>
        <v>1352.7237697199998</v>
      </c>
      <c r="V1309" s="15">
        <f>Table3[[#This Row],[PrimaComercial Anual]]-Table3[[#This Row],[PrimaComercial Anual]]*SUM(Table3[[#This Row],[APS]:[IVA]])</f>
        <v>6763.6188485999992</v>
      </c>
      <c r="W1309" s="2">
        <v>1.4800000000000001E-2</v>
      </c>
      <c r="X1309" s="2">
        <v>8.4501000000000007E-2</v>
      </c>
      <c r="Y1309">
        <v>0.03</v>
      </c>
      <c r="Z1309">
        <v>0.13</v>
      </c>
      <c r="AA1309" s="20">
        <f>Table3[[#This Row],[APS]]*Table3[[#This Row],[PrimaComercial Anual]]</f>
        <v>135.14472000000001</v>
      </c>
      <c r="AB1309" s="8">
        <f>Table3[[#This Row],[PrimaComercial Anual]]*Table3[[#This Row],[Recargo adicional]]</f>
        <v>771.61243139999999</v>
      </c>
      <c r="AC1309" s="8">
        <f>Table3[[#This Row],[PrimaComercial Anual]]*Table3[[#This Row],[IT]]</f>
        <v>273.94200000000001</v>
      </c>
      <c r="AD1309" s="8">
        <f>Table3[[#This Row],[PrimaComercial Anual]]*Table3[[#This Row],[IVA]]</f>
        <v>1187.0819999999999</v>
      </c>
      <c r="AE1309" s="15">
        <f>Table3[[#This Row],[PrimaComercial Anual Asistencia]]</f>
        <v>9131.4</v>
      </c>
      <c r="AG1309">
        <v>9131.4</v>
      </c>
    </row>
    <row r="1310" spans="1:33" x14ac:dyDescent="0.25">
      <c r="A1310" t="s">
        <v>18</v>
      </c>
      <c r="B1310">
        <v>1750000</v>
      </c>
      <c r="C1310">
        <v>53</v>
      </c>
      <c r="D1310" s="2">
        <f>Table3[[#This Row],[PrimaTécnica]]-Table3[[#This Row],[PrimaTécnica]]*SUM(Table3[[#This Row],[Gastos Adm]:[Cobranza]])</f>
        <v>4063.3615455263989</v>
      </c>
      <c r="E1310">
        <v>0</v>
      </c>
      <c r="F1310">
        <v>0.15</v>
      </c>
      <c r="G1310">
        <v>0.05</v>
      </c>
      <c r="H1310">
        <v>0.01</v>
      </c>
      <c r="I1310">
        <v>0.01</v>
      </c>
      <c r="J1310" s="8">
        <f>Table3[[#This Row],[PrimaTécnica]]*Table3[[#This Row],[Gastos Adm]]</f>
        <v>781.41568183199979</v>
      </c>
      <c r="K1310" s="8">
        <f>Table3[[#This Row],[PrimaTécnica]]*Table3[[#This Row],[Utilidad]]</f>
        <v>260.47189394399993</v>
      </c>
      <c r="L1310" s="8">
        <f>Table3[[#This Row],[PrimaTécnica]]*Table3[[#This Row],[Marketing]]</f>
        <v>52.094378788799986</v>
      </c>
      <c r="M1310" s="8">
        <f>Table3[[#This Row],[PrimaTécnica]]*Table3[[#This Row],[Cobranza]]</f>
        <v>52.094378788799986</v>
      </c>
      <c r="N131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5209.4378788799986</v>
      </c>
      <c r="O1310">
        <v>21.84</v>
      </c>
      <c r="P1310">
        <v>54.6</v>
      </c>
      <c r="Q1310">
        <v>80.64</v>
      </c>
      <c r="R1310">
        <v>44.377200000000002</v>
      </c>
      <c r="S1310">
        <v>0.2</v>
      </c>
      <c r="T1310">
        <v>0.02</v>
      </c>
      <c r="U1310" s="8">
        <f>Table3[[#This Row],[PrimaNeta]]*Table3[[#This Row],[Comisión]]</f>
        <v>1352.7237697199998</v>
      </c>
      <c r="V1310" s="15">
        <f>Table3[[#This Row],[PrimaComercial Anual]]-Table3[[#This Row],[PrimaComercial Anual]]*SUM(Table3[[#This Row],[APS]:[IVA]])</f>
        <v>6763.6188485999992</v>
      </c>
      <c r="W1310" s="2">
        <v>1.4800000000000001E-2</v>
      </c>
      <c r="X1310" s="2">
        <v>8.4501000000000007E-2</v>
      </c>
      <c r="Y1310">
        <v>0.03</v>
      </c>
      <c r="Z1310">
        <v>0.13</v>
      </c>
      <c r="AA1310" s="20">
        <f>Table3[[#This Row],[APS]]*Table3[[#This Row],[PrimaComercial Anual]]</f>
        <v>135.14472000000001</v>
      </c>
      <c r="AB1310" s="8">
        <f>Table3[[#This Row],[PrimaComercial Anual]]*Table3[[#This Row],[Recargo adicional]]</f>
        <v>771.61243139999999</v>
      </c>
      <c r="AC1310" s="8">
        <f>Table3[[#This Row],[PrimaComercial Anual]]*Table3[[#This Row],[IT]]</f>
        <v>273.94200000000001</v>
      </c>
      <c r="AD1310" s="8">
        <f>Table3[[#This Row],[PrimaComercial Anual]]*Table3[[#This Row],[IVA]]</f>
        <v>1187.0819999999999</v>
      </c>
      <c r="AE1310" s="15">
        <f>Table3[[#This Row],[PrimaComercial Anual Asistencia]]</f>
        <v>9131.4</v>
      </c>
      <c r="AG1310">
        <v>9131.4</v>
      </c>
    </row>
    <row r="1311" spans="1:33" x14ac:dyDescent="0.25">
      <c r="A1311" t="s">
        <v>18</v>
      </c>
      <c r="B1311">
        <v>1750000</v>
      </c>
      <c r="C1311">
        <v>54</v>
      </c>
      <c r="D1311" s="2">
        <f>Table3[[#This Row],[PrimaTécnica]]-Table3[[#This Row],[PrimaTécnica]]*SUM(Table3[[#This Row],[Gastos Adm]:[Cobranza]])</f>
        <v>4063.3615455263989</v>
      </c>
      <c r="E1311">
        <v>0</v>
      </c>
      <c r="F1311">
        <v>0.15</v>
      </c>
      <c r="G1311">
        <v>0.05</v>
      </c>
      <c r="H1311">
        <v>0.01</v>
      </c>
      <c r="I1311">
        <v>0.01</v>
      </c>
      <c r="J1311" s="8">
        <f>Table3[[#This Row],[PrimaTécnica]]*Table3[[#This Row],[Gastos Adm]]</f>
        <v>781.41568183199979</v>
      </c>
      <c r="K1311" s="8">
        <f>Table3[[#This Row],[PrimaTécnica]]*Table3[[#This Row],[Utilidad]]</f>
        <v>260.47189394399993</v>
      </c>
      <c r="L1311" s="8">
        <f>Table3[[#This Row],[PrimaTécnica]]*Table3[[#This Row],[Marketing]]</f>
        <v>52.094378788799986</v>
      </c>
      <c r="M1311" s="8">
        <f>Table3[[#This Row],[PrimaTécnica]]*Table3[[#This Row],[Cobranza]]</f>
        <v>52.094378788799986</v>
      </c>
      <c r="N131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5209.4378788799986</v>
      </c>
      <c r="O1311">
        <v>21.84</v>
      </c>
      <c r="P1311">
        <v>54.6</v>
      </c>
      <c r="Q1311">
        <v>80.64</v>
      </c>
      <c r="R1311">
        <v>44.377200000000002</v>
      </c>
      <c r="S1311">
        <v>0.2</v>
      </c>
      <c r="T1311">
        <v>0.02</v>
      </c>
      <c r="U1311" s="8">
        <f>Table3[[#This Row],[PrimaNeta]]*Table3[[#This Row],[Comisión]]</f>
        <v>1352.7237697199998</v>
      </c>
      <c r="V1311" s="15">
        <f>Table3[[#This Row],[PrimaComercial Anual]]-Table3[[#This Row],[PrimaComercial Anual]]*SUM(Table3[[#This Row],[APS]:[IVA]])</f>
        <v>6763.6188485999992</v>
      </c>
      <c r="W1311" s="2">
        <v>1.4800000000000001E-2</v>
      </c>
      <c r="X1311" s="2">
        <v>8.4501000000000007E-2</v>
      </c>
      <c r="Y1311">
        <v>0.03</v>
      </c>
      <c r="Z1311">
        <v>0.13</v>
      </c>
      <c r="AA1311" s="20">
        <f>Table3[[#This Row],[APS]]*Table3[[#This Row],[PrimaComercial Anual]]</f>
        <v>135.14472000000001</v>
      </c>
      <c r="AB1311" s="8">
        <f>Table3[[#This Row],[PrimaComercial Anual]]*Table3[[#This Row],[Recargo adicional]]</f>
        <v>771.61243139999999</v>
      </c>
      <c r="AC1311" s="8">
        <f>Table3[[#This Row],[PrimaComercial Anual]]*Table3[[#This Row],[IT]]</f>
        <v>273.94200000000001</v>
      </c>
      <c r="AD1311" s="8">
        <f>Table3[[#This Row],[PrimaComercial Anual]]*Table3[[#This Row],[IVA]]</f>
        <v>1187.0819999999999</v>
      </c>
      <c r="AE1311" s="15">
        <f>Table3[[#This Row],[PrimaComercial Anual Asistencia]]</f>
        <v>9131.4</v>
      </c>
      <c r="AG1311">
        <v>9131.4</v>
      </c>
    </row>
    <row r="1312" spans="1:33" x14ac:dyDescent="0.25">
      <c r="A1312" t="s">
        <v>18</v>
      </c>
      <c r="B1312">
        <v>1750000</v>
      </c>
      <c r="C1312">
        <v>55</v>
      </c>
      <c r="D1312" s="2">
        <f>Table3[[#This Row],[PrimaTécnica]]-Table3[[#This Row],[PrimaTécnica]]*SUM(Table3[[#This Row],[Gastos Adm]:[Cobranza]])</f>
        <v>4063.3615455263989</v>
      </c>
      <c r="E1312">
        <v>0</v>
      </c>
      <c r="F1312">
        <v>0.15</v>
      </c>
      <c r="G1312">
        <v>0.05</v>
      </c>
      <c r="H1312">
        <v>0.01</v>
      </c>
      <c r="I1312">
        <v>0.01</v>
      </c>
      <c r="J1312" s="8">
        <f>Table3[[#This Row],[PrimaTécnica]]*Table3[[#This Row],[Gastos Adm]]</f>
        <v>781.41568183199979</v>
      </c>
      <c r="K1312" s="8">
        <f>Table3[[#This Row],[PrimaTécnica]]*Table3[[#This Row],[Utilidad]]</f>
        <v>260.47189394399993</v>
      </c>
      <c r="L1312" s="8">
        <f>Table3[[#This Row],[PrimaTécnica]]*Table3[[#This Row],[Marketing]]</f>
        <v>52.094378788799986</v>
      </c>
      <c r="M1312" s="8">
        <f>Table3[[#This Row],[PrimaTécnica]]*Table3[[#This Row],[Cobranza]]</f>
        <v>52.094378788799986</v>
      </c>
      <c r="N131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5209.4378788799986</v>
      </c>
      <c r="O1312">
        <v>21.84</v>
      </c>
      <c r="P1312">
        <v>54.6</v>
      </c>
      <c r="Q1312">
        <v>80.64</v>
      </c>
      <c r="R1312">
        <v>44.377200000000002</v>
      </c>
      <c r="S1312">
        <v>0.2</v>
      </c>
      <c r="T1312">
        <v>0.02</v>
      </c>
      <c r="U1312" s="8">
        <f>Table3[[#This Row],[PrimaNeta]]*Table3[[#This Row],[Comisión]]</f>
        <v>1352.7237697199998</v>
      </c>
      <c r="V1312" s="15">
        <f>Table3[[#This Row],[PrimaComercial Anual]]-Table3[[#This Row],[PrimaComercial Anual]]*SUM(Table3[[#This Row],[APS]:[IVA]])</f>
        <v>6763.6188485999992</v>
      </c>
      <c r="W1312" s="2">
        <v>1.4800000000000001E-2</v>
      </c>
      <c r="X1312" s="2">
        <v>8.4501000000000007E-2</v>
      </c>
      <c r="Y1312">
        <v>0.03</v>
      </c>
      <c r="Z1312">
        <v>0.13</v>
      </c>
      <c r="AA1312" s="20">
        <f>Table3[[#This Row],[APS]]*Table3[[#This Row],[PrimaComercial Anual]]</f>
        <v>135.14472000000001</v>
      </c>
      <c r="AB1312" s="8">
        <f>Table3[[#This Row],[PrimaComercial Anual]]*Table3[[#This Row],[Recargo adicional]]</f>
        <v>771.61243139999999</v>
      </c>
      <c r="AC1312" s="8">
        <f>Table3[[#This Row],[PrimaComercial Anual]]*Table3[[#This Row],[IT]]</f>
        <v>273.94200000000001</v>
      </c>
      <c r="AD1312" s="8">
        <f>Table3[[#This Row],[PrimaComercial Anual]]*Table3[[#This Row],[IVA]]</f>
        <v>1187.0819999999999</v>
      </c>
      <c r="AE1312" s="15">
        <f>Table3[[#This Row],[PrimaComercial Anual Asistencia]]</f>
        <v>9131.4</v>
      </c>
      <c r="AG1312">
        <v>9131.4</v>
      </c>
    </row>
    <row r="1313" spans="1:33" x14ac:dyDescent="0.25">
      <c r="A1313" t="s">
        <v>18</v>
      </c>
      <c r="B1313">
        <v>1750000</v>
      </c>
      <c r="C1313">
        <v>56</v>
      </c>
      <c r="D1313" s="2">
        <f>Table3[[#This Row],[PrimaTécnica]]-Table3[[#This Row],[PrimaTécnica]]*SUM(Table3[[#This Row],[Gastos Adm]:[Cobranza]])</f>
        <v>4579.7271133535996</v>
      </c>
      <c r="E1313">
        <v>0</v>
      </c>
      <c r="F1313">
        <v>0.15</v>
      </c>
      <c r="G1313">
        <v>0.05</v>
      </c>
      <c r="H1313">
        <v>0.01</v>
      </c>
      <c r="I1313">
        <v>0.01</v>
      </c>
      <c r="J1313" s="8">
        <f>Table3[[#This Row],[PrimaTécnica]]*Table3[[#This Row],[Gastos Adm]]</f>
        <v>880.71675256799995</v>
      </c>
      <c r="K1313" s="8">
        <f>Table3[[#This Row],[PrimaTécnica]]*Table3[[#This Row],[Utilidad]]</f>
        <v>293.57225085599998</v>
      </c>
      <c r="L1313" s="8">
        <f>Table3[[#This Row],[PrimaTécnica]]*Table3[[#This Row],[Marketing]]</f>
        <v>58.714450171199999</v>
      </c>
      <c r="M1313" s="8">
        <f>Table3[[#This Row],[PrimaTécnica]]*Table3[[#This Row],[Cobranza]]</f>
        <v>58.714450171199999</v>
      </c>
      <c r="N131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5871.4450171199996</v>
      </c>
      <c r="O1313">
        <v>21.84</v>
      </c>
      <c r="P1313">
        <v>54.6</v>
      </c>
      <c r="Q1313">
        <v>80.64</v>
      </c>
      <c r="R1313">
        <v>44.377200000000002</v>
      </c>
      <c r="S1313">
        <v>0.2</v>
      </c>
      <c r="T1313">
        <v>0.02</v>
      </c>
      <c r="U1313" s="8">
        <f>Table3[[#This Row],[PrimaNeta]]*Table3[[#This Row],[Comisión]]</f>
        <v>1518.2255542800003</v>
      </c>
      <c r="V1313" s="15">
        <f>Table3[[#This Row],[PrimaComercial Anual]]-Table3[[#This Row],[PrimaComercial Anual]]*SUM(Table3[[#This Row],[APS]:[IVA]])</f>
        <v>7591.1277714000007</v>
      </c>
      <c r="W1313" s="2">
        <v>1.4800000000000001E-2</v>
      </c>
      <c r="X1313" s="2">
        <v>8.4501000000000007E-2</v>
      </c>
      <c r="Y1313">
        <v>0.03</v>
      </c>
      <c r="Z1313">
        <v>0.13</v>
      </c>
      <c r="AA1313" s="20">
        <f>Table3[[#This Row],[APS]]*Table3[[#This Row],[PrimaComercial Anual]]</f>
        <v>151.67928000000001</v>
      </c>
      <c r="AB1313" s="8">
        <f>Table3[[#This Row],[PrimaComercial Anual]]*Table3[[#This Row],[Recargo adicional]]</f>
        <v>866.01694860000009</v>
      </c>
      <c r="AC1313" s="8">
        <f>Table3[[#This Row],[PrimaComercial Anual]]*Table3[[#This Row],[IT]]</f>
        <v>307.45800000000003</v>
      </c>
      <c r="AD1313" s="8">
        <f>Table3[[#This Row],[PrimaComercial Anual]]*Table3[[#This Row],[IVA]]</f>
        <v>1332.318</v>
      </c>
      <c r="AE1313" s="15">
        <f>Table3[[#This Row],[PrimaComercial Anual Asistencia]]</f>
        <v>10248.6</v>
      </c>
      <c r="AG1313">
        <v>10248.6</v>
      </c>
    </row>
    <row r="1314" spans="1:33" x14ac:dyDescent="0.25">
      <c r="A1314" t="s">
        <v>18</v>
      </c>
      <c r="B1314">
        <v>1750000</v>
      </c>
      <c r="C1314">
        <v>57</v>
      </c>
      <c r="D1314" s="2">
        <f>Table3[[#This Row],[PrimaTécnica]]-Table3[[#This Row],[PrimaTécnica]]*SUM(Table3[[#This Row],[Gastos Adm]:[Cobranza]])</f>
        <v>4579.7271133535996</v>
      </c>
      <c r="E1314">
        <v>0</v>
      </c>
      <c r="F1314">
        <v>0.15</v>
      </c>
      <c r="G1314">
        <v>0.05</v>
      </c>
      <c r="H1314">
        <v>0.01</v>
      </c>
      <c r="I1314">
        <v>0.01</v>
      </c>
      <c r="J1314" s="8">
        <f>Table3[[#This Row],[PrimaTécnica]]*Table3[[#This Row],[Gastos Adm]]</f>
        <v>880.71675256799995</v>
      </c>
      <c r="K1314" s="8">
        <f>Table3[[#This Row],[PrimaTécnica]]*Table3[[#This Row],[Utilidad]]</f>
        <v>293.57225085599998</v>
      </c>
      <c r="L1314" s="8">
        <f>Table3[[#This Row],[PrimaTécnica]]*Table3[[#This Row],[Marketing]]</f>
        <v>58.714450171199999</v>
      </c>
      <c r="M1314" s="8">
        <f>Table3[[#This Row],[PrimaTécnica]]*Table3[[#This Row],[Cobranza]]</f>
        <v>58.714450171199999</v>
      </c>
      <c r="N131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5871.4450171199996</v>
      </c>
      <c r="O1314">
        <v>21.84</v>
      </c>
      <c r="P1314">
        <v>54.6</v>
      </c>
      <c r="Q1314">
        <v>80.64</v>
      </c>
      <c r="R1314">
        <v>44.377200000000002</v>
      </c>
      <c r="S1314">
        <v>0.2</v>
      </c>
      <c r="T1314">
        <v>0.02</v>
      </c>
      <c r="U1314" s="8">
        <f>Table3[[#This Row],[PrimaNeta]]*Table3[[#This Row],[Comisión]]</f>
        <v>1518.2255542800003</v>
      </c>
      <c r="V1314" s="15">
        <f>Table3[[#This Row],[PrimaComercial Anual]]-Table3[[#This Row],[PrimaComercial Anual]]*SUM(Table3[[#This Row],[APS]:[IVA]])</f>
        <v>7591.1277714000007</v>
      </c>
      <c r="W1314" s="2">
        <v>1.4800000000000001E-2</v>
      </c>
      <c r="X1314" s="2">
        <v>8.4501000000000007E-2</v>
      </c>
      <c r="Y1314">
        <v>0.03</v>
      </c>
      <c r="Z1314">
        <v>0.13</v>
      </c>
      <c r="AA1314" s="20">
        <f>Table3[[#This Row],[APS]]*Table3[[#This Row],[PrimaComercial Anual]]</f>
        <v>151.67928000000001</v>
      </c>
      <c r="AB1314" s="8">
        <f>Table3[[#This Row],[PrimaComercial Anual]]*Table3[[#This Row],[Recargo adicional]]</f>
        <v>866.01694860000009</v>
      </c>
      <c r="AC1314" s="8">
        <f>Table3[[#This Row],[PrimaComercial Anual]]*Table3[[#This Row],[IT]]</f>
        <v>307.45800000000003</v>
      </c>
      <c r="AD1314" s="8">
        <f>Table3[[#This Row],[PrimaComercial Anual]]*Table3[[#This Row],[IVA]]</f>
        <v>1332.318</v>
      </c>
      <c r="AE1314" s="15">
        <f>Table3[[#This Row],[PrimaComercial Anual Asistencia]]</f>
        <v>10248.6</v>
      </c>
      <c r="AG1314">
        <v>10248.6</v>
      </c>
    </row>
    <row r="1315" spans="1:33" x14ac:dyDescent="0.25">
      <c r="A1315" t="s">
        <v>18</v>
      </c>
      <c r="B1315">
        <v>1750000</v>
      </c>
      <c r="C1315">
        <v>58</v>
      </c>
      <c r="D1315" s="2">
        <f>Table3[[#This Row],[PrimaTécnica]]-Table3[[#This Row],[PrimaTécnica]]*SUM(Table3[[#This Row],[Gastos Adm]:[Cobranza]])</f>
        <v>4579.7271133535996</v>
      </c>
      <c r="E1315">
        <v>0</v>
      </c>
      <c r="F1315">
        <v>0.15</v>
      </c>
      <c r="G1315">
        <v>0.05</v>
      </c>
      <c r="H1315">
        <v>0.01</v>
      </c>
      <c r="I1315">
        <v>0.01</v>
      </c>
      <c r="J1315" s="8">
        <f>Table3[[#This Row],[PrimaTécnica]]*Table3[[#This Row],[Gastos Adm]]</f>
        <v>880.71675256799995</v>
      </c>
      <c r="K1315" s="8">
        <f>Table3[[#This Row],[PrimaTécnica]]*Table3[[#This Row],[Utilidad]]</f>
        <v>293.57225085599998</v>
      </c>
      <c r="L1315" s="8">
        <f>Table3[[#This Row],[PrimaTécnica]]*Table3[[#This Row],[Marketing]]</f>
        <v>58.714450171199999</v>
      </c>
      <c r="M1315" s="8">
        <f>Table3[[#This Row],[PrimaTécnica]]*Table3[[#This Row],[Cobranza]]</f>
        <v>58.714450171199999</v>
      </c>
      <c r="N131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5871.4450171199996</v>
      </c>
      <c r="O1315">
        <v>21.84</v>
      </c>
      <c r="P1315">
        <v>54.6</v>
      </c>
      <c r="Q1315">
        <v>80.64</v>
      </c>
      <c r="R1315">
        <v>44.377200000000002</v>
      </c>
      <c r="S1315">
        <v>0.2</v>
      </c>
      <c r="T1315">
        <v>0.02</v>
      </c>
      <c r="U1315" s="8">
        <f>Table3[[#This Row],[PrimaNeta]]*Table3[[#This Row],[Comisión]]</f>
        <v>1518.2255542800003</v>
      </c>
      <c r="V1315" s="15">
        <f>Table3[[#This Row],[PrimaComercial Anual]]-Table3[[#This Row],[PrimaComercial Anual]]*SUM(Table3[[#This Row],[APS]:[IVA]])</f>
        <v>7591.1277714000007</v>
      </c>
      <c r="W1315" s="2">
        <v>1.4800000000000001E-2</v>
      </c>
      <c r="X1315" s="2">
        <v>8.4501000000000007E-2</v>
      </c>
      <c r="Y1315">
        <v>0.03</v>
      </c>
      <c r="Z1315">
        <v>0.13</v>
      </c>
      <c r="AA1315" s="20">
        <f>Table3[[#This Row],[APS]]*Table3[[#This Row],[PrimaComercial Anual]]</f>
        <v>151.67928000000001</v>
      </c>
      <c r="AB1315" s="8">
        <f>Table3[[#This Row],[PrimaComercial Anual]]*Table3[[#This Row],[Recargo adicional]]</f>
        <v>866.01694860000009</v>
      </c>
      <c r="AC1315" s="8">
        <f>Table3[[#This Row],[PrimaComercial Anual]]*Table3[[#This Row],[IT]]</f>
        <v>307.45800000000003</v>
      </c>
      <c r="AD1315" s="8">
        <f>Table3[[#This Row],[PrimaComercial Anual]]*Table3[[#This Row],[IVA]]</f>
        <v>1332.318</v>
      </c>
      <c r="AE1315" s="15">
        <f>Table3[[#This Row],[PrimaComercial Anual Asistencia]]</f>
        <v>10248.6</v>
      </c>
      <c r="AG1315">
        <v>10248.6</v>
      </c>
    </row>
    <row r="1316" spans="1:33" x14ac:dyDescent="0.25">
      <c r="A1316" t="s">
        <v>18</v>
      </c>
      <c r="B1316">
        <v>1750000</v>
      </c>
      <c r="C1316">
        <v>59</v>
      </c>
      <c r="D1316" s="2">
        <f>Table3[[#This Row],[PrimaTécnica]]-Table3[[#This Row],[PrimaTécnica]]*SUM(Table3[[#This Row],[Gastos Adm]:[Cobranza]])</f>
        <v>4579.7271133535996</v>
      </c>
      <c r="E1316">
        <v>0</v>
      </c>
      <c r="F1316">
        <v>0.15</v>
      </c>
      <c r="G1316">
        <v>0.05</v>
      </c>
      <c r="H1316">
        <v>0.01</v>
      </c>
      <c r="I1316">
        <v>0.01</v>
      </c>
      <c r="J1316" s="8">
        <f>Table3[[#This Row],[PrimaTécnica]]*Table3[[#This Row],[Gastos Adm]]</f>
        <v>880.71675256799995</v>
      </c>
      <c r="K1316" s="8">
        <f>Table3[[#This Row],[PrimaTécnica]]*Table3[[#This Row],[Utilidad]]</f>
        <v>293.57225085599998</v>
      </c>
      <c r="L1316" s="8">
        <f>Table3[[#This Row],[PrimaTécnica]]*Table3[[#This Row],[Marketing]]</f>
        <v>58.714450171199999</v>
      </c>
      <c r="M1316" s="8">
        <f>Table3[[#This Row],[PrimaTécnica]]*Table3[[#This Row],[Cobranza]]</f>
        <v>58.714450171199999</v>
      </c>
      <c r="N131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5871.4450171199996</v>
      </c>
      <c r="O1316">
        <v>21.84</v>
      </c>
      <c r="P1316">
        <v>54.6</v>
      </c>
      <c r="Q1316">
        <v>80.64</v>
      </c>
      <c r="R1316">
        <v>44.377200000000002</v>
      </c>
      <c r="S1316">
        <v>0.2</v>
      </c>
      <c r="T1316">
        <v>0.02</v>
      </c>
      <c r="U1316" s="8">
        <f>Table3[[#This Row],[PrimaNeta]]*Table3[[#This Row],[Comisión]]</f>
        <v>1518.2255542800003</v>
      </c>
      <c r="V1316" s="15">
        <f>Table3[[#This Row],[PrimaComercial Anual]]-Table3[[#This Row],[PrimaComercial Anual]]*SUM(Table3[[#This Row],[APS]:[IVA]])</f>
        <v>7591.1277714000007</v>
      </c>
      <c r="W1316" s="2">
        <v>1.4800000000000001E-2</v>
      </c>
      <c r="X1316" s="2">
        <v>8.4501000000000007E-2</v>
      </c>
      <c r="Y1316">
        <v>0.03</v>
      </c>
      <c r="Z1316">
        <v>0.13</v>
      </c>
      <c r="AA1316" s="20">
        <f>Table3[[#This Row],[APS]]*Table3[[#This Row],[PrimaComercial Anual]]</f>
        <v>151.67928000000001</v>
      </c>
      <c r="AB1316" s="8">
        <f>Table3[[#This Row],[PrimaComercial Anual]]*Table3[[#This Row],[Recargo adicional]]</f>
        <v>866.01694860000009</v>
      </c>
      <c r="AC1316" s="8">
        <f>Table3[[#This Row],[PrimaComercial Anual]]*Table3[[#This Row],[IT]]</f>
        <v>307.45800000000003</v>
      </c>
      <c r="AD1316" s="8">
        <f>Table3[[#This Row],[PrimaComercial Anual]]*Table3[[#This Row],[IVA]]</f>
        <v>1332.318</v>
      </c>
      <c r="AE1316" s="15">
        <f>Table3[[#This Row],[PrimaComercial Anual Asistencia]]</f>
        <v>10248.6</v>
      </c>
      <c r="AG1316">
        <v>10248.6</v>
      </c>
    </row>
    <row r="1317" spans="1:33" x14ac:dyDescent="0.25">
      <c r="A1317" t="s">
        <v>18</v>
      </c>
      <c r="B1317">
        <v>1750000</v>
      </c>
      <c r="C1317">
        <v>60</v>
      </c>
      <c r="D1317" s="2">
        <f>Table3[[#This Row],[PrimaTécnica]]-Table3[[#This Row],[PrimaTécnica]]*SUM(Table3[[#This Row],[Gastos Adm]:[Cobranza]])</f>
        <v>7493.504246092798</v>
      </c>
      <c r="E1317">
        <v>0</v>
      </c>
      <c r="F1317">
        <v>0.15</v>
      </c>
      <c r="G1317">
        <v>0.05</v>
      </c>
      <c r="H1317">
        <v>0.01</v>
      </c>
      <c r="I1317">
        <v>0.01</v>
      </c>
      <c r="J1317" s="8">
        <f>Table3[[#This Row],[PrimaTécnica]]*Table3[[#This Row],[Gastos Adm]]</f>
        <v>1441.0585088639996</v>
      </c>
      <c r="K1317" s="8">
        <f>Table3[[#This Row],[PrimaTécnica]]*Table3[[#This Row],[Utilidad]]</f>
        <v>480.35283628799993</v>
      </c>
      <c r="L1317" s="8">
        <f>Table3[[#This Row],[PrimaTécnica]]*Table3[[#This Row],[Marketing]]</f>
        <v>96.070567257599976</v>
      </c>
      <c r="M1317" s="8">
        <f>Table3[[#This Row],[PrimaTécnica]]*Table3[[#This Row],[Cobranza]]</f>
        <v>96.070567257599976</v>
      </c>
      <c r="N131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9607.0567257599978</v>
      </c>
      <c r="O1317">
        <v>21.84</v>
      </c>
      <c r="P1317">
        <v>54.6</v>
      </c>
      <c r="Q1317">
        <v>80.64</v>
      </c>
      <c r="R1317">
        <v>44.377200000000002</v>
      </c>
      <c r="S1317">
        <v>0.2</v>
      </c>
      <c r="T1317">
        <v>0.02</v>
      </c>
      <c r="U1317" s="8">
        <f>Table3[[#This Row],[PrimaNeta]]*Table3[[#This Row],[Comisión]]</f>
        <v>2452.1284814400001</v>
      </c>
      <c r="V1317" s="15">
        <f>Table3[[#This Row],[PrimaComercial Anual]]-Table3[[#This Row],[PrimaComercial Anual]]*SUM(Table3[[#This Row],[APS]:[IVA]])</f>
        <v>12260.642407199999</v>
      </c>
      <c r="W1317" s="2">
        <v>1.4800000000000001E-2</v>
      </c>
      <c r="X1317" s="2">
        <v>8.4501000000000007E-2</v>
      </c>
      <c r="Y1317">
        <v>0.03</v>
      </c>
      <c r="Z1317">
        <v>0.13</v>
      </c>
      <c r="AA1317" s="20">
        <f>Table3[[#This Row],[APS]]*Table3[[#This Row],[PrimaComercial Anual]]</f>
        <v>244.98143999999999</v>
      </c>
      <c r="AB1317" s="8">
        <f>Table3[[#This Row],[PrimaComercial Anual]]*Table3[[#This Row],[Recargo adicional]]</f>
        <v>1398.7281528000001</v>
      </c>
      <c r="AC1317" s="8">
        <f>Table3[[#This Row],[PrimaComercial Anual]]*Table3[[#This Row],[IT]]</f>
        <v>496.58399999999995</v>
      </c>
      <c r="AD1317" s="8">
        <f>Table3[[#This Row],[PrimaComercial Anual]]*Table3[[#This Row],[IVA]]</f>
        <v>2151.864</v>
      </c>
      <c r="AE1317" s="15">
        <f>Table3[[#This Row],[PrimaComercial Anual Asistencia]]</f>
        <v>16552.8</v>
      </c>
      <c r="AG1317">
        <v>16552.8</v>
      </c>
    </row>
    <row r="1318" spans="1:33" x14ac:dyDescent="0.25">
      <c r="A1318" t="s">
        <v>18</v>
      </c>
      <c r="B1318">
        <v>1750000</v>
      </c>
      <c r="C1318">
        <v>61</v>
      </c>
      <c r="D1318" s="2">
        <f>Table3[[#This Row],[PrimaTécnica]]-Table3[[#This Row],[PrimaTécnica]]*SUM(Table3[[#This Row],[Gastos Adm]:[Cobranza]])</f>
        <v>7493.504246092798</v>
      </c>
      <c r="E1318">
        <v>0</v>
      </c>
      <c r="F1318">
        <v>0.15</v>
      </c>
      <c r="G1318">
        <v>0.05</v>
      </c>
      <c r="H1318">
        <v>0.01</v>
      </c>
      <c r="I1318">
        <v>0.01</v>
      </c>
      <c r="J1318" s="8">
        <f>Table3[[#This Row],[PrimaTécnica]]*Table3[[#This Row],[Gastos Adm]]</f>
        <v>1441.0585088639996</v>
      </c>
      <c r="K1318" s="8">
        <f>Table3[[#This Row],[PrimaTécnica]]*Table3[[#This Row],[Utilidad]]</f>
        <v>480.35283628799993</v>
      </c>
      <c r="L1318" s="8">
        <f>Table3[[#This Row],[PrimaTécnica]]*Table3[[#This Row],[Marketing]]</f>
        <v>96.070567257599976</v>
      </c>
      <c r="M1318" s="8">
        <f>Table3[[#This Row],[PrimaTécnica]]*Table3[[#This Row],[Cobranza]]</f>
        <v>96.070567257599976</v>
      </c>
      <c r="N131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9607.0567257599978</v>
      </c>
      <c r="O1318">
        <v>21.84</v>
      </c>
      <c r="P1318">
        <v>54.6</v>
      </c>
      <c r="Q1318">
        <v>80.64</v>
      </c>
      <c r="R1318">
        <v>44.377200000000002</v>
      </c>
      <c r="S1318">
        <v>0.2</v>
      </c>
      <c r="T1318">
        <v>0.02</v>
      </c>
      <c r="U1318" s="8">
        <f>Table3[[#This Row],[PrimaNeta]]*Table3[[#This Row],[Comisión]]</f>
        <v>2452.1284814400001</v>
      </c>
      <c r="V1318" s="15">
        <f>Table3[[#This Row],[PrimaComercial Anual]]-Table3[[#This Row],[PrimaComercial Anual]]*SUM(Table3[[#This Row],[APS]:[IVA]])</f>
        <v>12260.642407199999</v>
      </c>
      <c r="W1318" s="2">
        <v>1.4800000000000001E-2</v>
      </c>
      <c r="X1318" s="2">
        <v>8.4501000000000007E-2</v>
      </c>
      <c r="Y1318">
        <v>0.03</v>
      </c>
      <c r="Z1318">
        <v>0.13</v>
      </c>
      <c r="AA1318" s="20">
        <f>Table3[[#This Row],[APS]]*Table3[[#This Row],[PrimaComercial Anual]]</f>
        <v>244.98143999999999</v>
      </c>
      <c r="AB1318" s="8">
        <f>Table3[[#This Row],[PrimaComercial Anual]]*Table3[[#This Row],[Recargo adicional]]</f>
        <v>1398.7281528000001</v>
      </c>
      <c r="AC1318" s="8">
        <f>Table3[[#This Row],[PrimaComercial Anual]]*Table3[[#This Row],[IT]]</f>
        <v>496.58399999999995</v>
      </c>
      <c r="AD1318" s="8">
        <f>Table3[[#This Row],[PrimaComercial Anual]]*Table3[[#This Row],[IVA]]</f>
        <v>2151.864</v>
      </c>
      <c r="AE1318" s="15">
        <f>Table3[[#This Row],[PrimaComercial Anual Asistencia]]</f>
        <v>16552.8</v>
      </c>
      <c r="AG1318">
        <v>16552.8</v>
      </c>
    </row>
    <row r="1319" spans="1:33" x14ac:dyDescent="0.25">
      <c r="A1319" t="s">
        <v>18</v>
      </c>
      <c r="B1319">
        <v>1750000</v>
      </c>
      <c r="C1319">
        <v>62</v>
      </c>
      <c r="D1319" s="2">
        <f>Table3[[#This Row],[PrimaTécnica]]-Table3[[#This Row],[PrimaTécnica]]*SUM(Table3[[#This Row],[Gastos Adm]:[Cobranza]])</f>
        <v>7493.504246092798</v>
      </c>
      <c r="E1319">
        <v>0</v>
      </c>
      <c r="F1319">
        <v>0.15</v>
      </c>
      <c r="G1319">
        <v>0.05</v>
      </c>
      <c r="H1319">
        <v>0.01</v>
      </c>
      <c r="I1319">
        <v>0.01</v>
      </c>
      <c r="J1319" s="8">
        <f>Table3[[#This Row],[PrimaTécnica]]*Table3[[#This Row],[Gastos Adm]]</f>
        <v>1441.0585088639996</v>
      </c>
      <c r="K1319" s="8">
        <f>Table3[[#This Row],[PrimaTécnica]]*Table3[[#This Row],[Utilidad]]</f>
        <v>480.35283628799993</v>
      </c>
      <c r="L1319" s="8">
        <f>Table3[[#This Row],[PrimaTécnica]]*Table3[[#This Row],[Marketing]]</f>
        <v>96.070567257599976</v>
      </c>
      <c r="M1319" s="8">
        <f>Table3[[#This Row],[PrimaTécnica]]*Table3[[#This Row],[Cobranza]]</f>
        <v>96.070567257599976</v>
      </c>
      <c r="N131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9607.0567257599978</v>
      </c>
      <c r="O1319">
        <v>21.84</v>
      </c>
      <c r="P1319">
        <v>54.6</v>
      </c>
      <c r="Q1319">
        <v>80.64</v>
      </c>
      <c r="R1319">
        <v>44.377200000000002</v>
      </c>
      <c r="S1319">
        <v>0.2</v>
      </c>
      <c r="T1319">
        <v>0.02</v>
      </c>
      <c r="U1319" s="8">
        <f>Table3[[#This Row],[PrimaNeta]]*Table3[[#This Row],[Comisión]]</f>
        <v>2452.1284814400001</v>
      </c>
      <c r="V1319" s="15">
        <f>Table3[[#This Row],[PrimaComercial Anual]]-Table3[[#This Row],[PrimaComercial Anual]]*SUM(Table3[[#This Row],[APS]:[IVA]])</f>
        <v>12260.642407199999</v>
      </c>
      <c r="W1319" s="2">
        <v>1.4800000000000001E-2</v>
      </c>
      <c r="X1319" s="2">
        <v>8.4501000000000007E-2</v>
      </c>
      <c r="Y1319">
        <v>0.03</v>
      </c>
      <c r="Z1319">
        <v>0.13</v>
      </c>
      <c r="AA1319" s="20">
        <f>Table3[[#This Row],[APS]]*Table3[[#This Row],[PrimaComercial Anual]]</f>
        <v>244.98143999999999</v>
      </c>
      <c r="AB1319" s="8">
        <f>Table3[[#This Row],[PrimaComercial Anual]]*Table3[[#This Row],[Recargo adicional]]</f>
        <v>1398.7281528000001</v>
      </c>
      <c r="AC1319" s="8">
        <f>Table3[[#This Row],[PrimaComercial Anual]]*Table3[[#This Row],[IT]]</f>
        <v>496.58399999999995</v>
      </c>
      <c r="AD1319" s="8">
        <f>Table3[[#This Row],[PrimaComercial Anual]]*Table3[[#This Row],[IVA]]</f>
        <v>2151.864</v>
      </c>
      <c r="AE1319" s="15">
        <f>Table3[[#This Row],[PrimaComercial Anual Asistencia]]</f>
        <v>16552.8</v>
      </c>
      <c r="AG1319">
        <v>16552.8</v>
      </c>
    </row>
    <row r="1320" spans="1:33" x14ac:dyDescent="0.25">
      <c r="A1320" t="s">
        <v>18</v>
      </c>
      <c r="B1320">
        <v>1750000</v>
      </c>
      <c r="C1320">
        <v>63</v>
      </c>
      <c r="D1320" s="2">
        <f>Table3[[#This Row],[PrimaTécnica]]-Table3[[#This Row],[PrimaTécnica]]*SUM(Table3[[#This Row],[Gastos Adm]:[Cobranza]])</f>
        <v>7493.504246092798</v>
      </c>
      <c r="E1320">
        <v>0</v>
      </c>
      <c r="F1320">
        <v>0.15</v>
      </c>
      <c r="G1320">
        <v>0.05</v>
      </c>
      <c r="H1320">
        <v>0.01</v>
      </c>
      <c r="I1320">
        <v>0.01</v>
      </c>
      <c r="J1320" s="8">
        <f>Table3[[#This Row],[PrimaTécnica]]*Table3[[#This Row],[Gastos Adm]]</f>
        <v>1441.0585088639996</v>
      </c>
      <c r="K1320" s="8">
        <f>Table3[[#This Row],[PrimaTécnica]]*Table3[[#This Row],[Utilidad]]</f>
        <v>480.35283628799993</v>
      </c>
      <c r="L1320" s="8">
        <f>Table3[[#This Row],[PrimaTécnica]]*Table3[[#This Row],[Marketing]]</f>
        <v>96.070567257599976</v>
      </c>
      <c r="M1320" s="8">
        <f>Table3[[#This Row],[PrimaTécnica]]*Table3[[#This Row],[Cobranza]]</f>
        <v>96.070567257599976</v>
      </c>
      <c r="N132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9607.0567257599978</v>
      </c>
      <c r="O1320">
        <v>21.84</v>
      </c>
      <c r="P1320">
        <v>54.6</v>
      </c>
      <c r="Q1320">
        <v>80.64</v>
      </c>
      <c r="R1320">
        <v>44.377200000000002</v>
      </c>
      <c r="S1320">
        <v>0.2</v>
      </c>
      <c r="T1320">
        <v>0.02</v>
      </c>
      <c r="U1320" s="8">
        <f>Table3[[#This Row],[PrimaNeta]]*Table3[[#This Row],[Comisión]]</f>
        <v>2452.1284814400001</v>
      </c>
      <c r="V1320" s="15">
        <f>Table3[[#This Row],[PrimaComercial Anual]]-Table3[[#This Row],[PrimaComercial Anual]]*SUM(Table3[[#This Row],[APS]:[IVA]])</f>
        <v>12260.642407199999</v>
      </c>
      <c r="W1320" s="2">
        <v>1.4800000000000001E-2</v>
      </c>
      <c r="X1320" s="2">
        <v>8.4501000000000007E-2</v>
      </c>
      <c r="Y1320">
        <v>0.03</v>
      </c>
      <c r="Z1320">
        <v>0.13</v>
      </c>
      <c r="AA1320" s="20">
        <f>Table3[[#This Row],[APS]]*Table3[[#This Row],[PrimaComercial Anual]]</f>
        <v>244.98143999999999</v>
      </c>
      <c r="AB1320" s="8">
        <f>Table3[[#This Row],[PrimaComercial Anual]]*Table3[[#This Row],[Recargo adicional]]</f>
        <v>1398.7281528000001</v>
      </c>
      <c r="AC1320" s="8">
        <f>Table3[[#This Row],[PrimaComercial Anual]]*Table3[[#This Row],[IT]]</f>
        <v>496.58399999999995</v>
      </c>
      <c r="AD1320" s="8">
        <f>Table3[[#This Row],[PrimaComercial Anual]]*Table3[[#This Row],[IVA]]</f>
        <v>2151.864</v>
      </c>
      <c r="AE1320" s="15">
        <f>Table3[[#This Row],[PrimaComercial Anual Asistencia]]</f>
        <v>16552.8</v>
      </c>
      <c r="AG1320">
        <v>16552.8</v>
      </c>
    </row>
    <row r="1321" spans="1:33" x14ac:dyDescent="0.25">
      <c r="A1321" t="s">
        <v>18</v>
      </c>
      <c r="B1321">
        <v>1750000</v>
      </c>
      <c r="C1321">
        <v>64</v>
      </c>
      <c r="D1321" s="2">
        <f>Table3[[#This Row],[PrimaTécnica]]-Table3[[#This Row],[PrimaTécnica]]*SUM(Table3[[#This Row],[Gastos Adm]:[Cobranza]])</f>
        <v>7493.504246092798</v>
      </c>
      <c r="E1321">
        <v>0</v>
      </c>
      <c r="F1321">
        <v>0.15</v>
      </c>
      <c r="G1321">
        <v>0.05</v>
      </c>
      <c r="H1321">
        <v>0.01</v>
      </c>
      <c r="I1321">
        <v>0.01</v>
      </c>
      <c r="J1321" s="8">
        <f>Table3[[#This Row],[PrimaTécnica]]*Table3[[#This Row],[Gastos Adm]]</f>
        <v>1441.0585088639996</v>
      </c>
      <c r="K1321" s="8">
        <f>Table3[[#This Row],[PrimaTécnica]]*Table3[[#This Row],[Utilidad]]</f>
        <v>480.35283628799993</v>
      </c>
      <c r="L1321" s="8">
        <f>Table3[[#This Row],[PrimaTécnica]]*Table3[[#This Row],[Marketing]]</f>
        <v>96.070567257599976</v>
      </c>
      <c r="M1321" s="8">
        <f>Table3[[#This Row],[PrimaTécnica]]*Table3[[#This Row],[Cobranza]]</f>
        <v>96.070567257599976</v>
      </c>
      <c r="N132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9607.0567257599978</v>
      </c>
      <c r="O1321">
        <v>21.84</v>
      </c>
      <c r="P1321">
        <v>54.6</v>
      </c>
      <c r="Q1321">
        <v>80.64</v>
      </c>
      <c r="R1321">
        <v>44.377200000000002</v>
      </c>
      <c r="S1321">
        <v>0.2</v>
      </c>
      <c r="T1321">
        <v>0.02</v>
      </c>
      <c r="U1321" s="8">
        <f>Table3[[#This Row],[PrimaNeta]]*Table3[[#This Row],[Comisión]]</f>
        <v>2452.1284814400001</v>
      </c>
      <c r="V1321" s="15">
        <f>Table3[[#This Row],[PrimaComercial Anual]]-Table3[[#This Row],[PrimaComercial Anual]]*SUM(Table3[[#This Row],[APS]:[IVA]])</f>
        <v>12260.642407199999</v>
      </c>
      <c r="W1321" s="2">
        <v>1.4800000000000001E-2</v>
      </c>
      <c r="X1321" s="2">
        <v>8.4501000000000007E-2</v>
      </c>
      <c r="Y1321">
        <v>0.03</v>
      </c>
      <c r="Z1321">
        <v>0.13</v>
      </c>
      <c r="AA1321" s="20">
        <f>Table3[[#This Row],[APS]]*Table3[[#This Row],[PrimaComercial Anual]]</f>
        <v>244.98143999999999</v>
      </c>
      <c r="AB1321" s="8">
        <f>Table3[[#This Row],[PrimaComercial Anual]]*Table3[[#This Row],[Recargo adicional]]</f>
        <v>1398.7281528000001</v>
      </c>
      <c r="AC1321" s="8">
        <f>Table3[[#This Row],[PrimaComercial Anual]]*Table3[[#This Row],[IT]]</f>
        <v>496.58399999999995</v>
      </c>
      <c r="AD1321" s="8">
        <f>Table3[[#This Row],[PrimaComercial Anual]]*Table3[[#This Row],[IVA]]</f>
        <v>2151.864</v>
      </c>
      <c r="AE1321" s="15">
        <f>Table3[[#This Row],[PrimaComercial Anual Asistencia]]</f>
        <v>16552.8</v>
      </c>
      <c r="AG1321">
        <v>16552.8</v>
      </c>
    </row>
    <row r="1322" spans="1:33" x14ac:dyDescent="0.25">
      <c r="A1322" t="s">
        <v>18</v>
      </c>
      <c r="B1322">
        <v>1750000</v>
      </c>
      <c r="C1322">
        <v>65</v>
      </c>
      <c r="D1322" s="2">
        <f>Table3[[#This Row],[PrimaTécnica]]-Table3[[#This Row],[PrimaTécnica]]*SUM(Table3[[#This Row],[Gastos Adm]:[Cobranza]])</f>
        <v>10517.931143366399</v>
      </c>
      <c r="E1322">
        <v>0</v>
      </c>
      <c r="F1322">
        <v>0.15</v>
      </c>
      <c r="G1322">
        <v>0.05</v>
      </c>
      <c r="H1322">
        <v>0.01</v>
      </c>
      <c r="I1322">
        <v>0.01</v>
      </c>
      <c r="J1322" s="8">
        <f>Table3[[#This Row],[PrimaTécnica]]*Table3[[#This Row],[Gastos Adm]]</f>
        <v>2022.6790660319998</v>
      </c>
      <c r="K1322" s="8">
        <f>Table3[[#This Row],[PrimaTécnica]]*Table3[[#This Row],[Utilidad]]</f>
        <v>674.22635534400001</v>
      </c>
      <c r="L1322" s="8">
        <f>Table3[[#This Row],[PrimaTécnica]]*Table3[[#This Row],[Marketing]]</f>
        <v>134.8452710688</v>
      </c>
      <c r="M1322" s="8">
        <f>Table3[[#This Row],[PrimaTécnica]]*Table3[[#This Row],[Cobranza]]</f>
        <v>134.8452710688</v>
      </c>
      <c r="N132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13484.527106879999</v>
      </c>
      <c r="O1322">
        <v>21.84</v>
      </c>
      <c r="P1322">
        <v>54.6</v>
      </c>
      <c r="Q1322">
        <v>80.64</v>
      </c>
      <c r="R1322">
        <v>44.377200000000002</v>
      </c>
      <c r="S1322">
        <v>0.2</v>
      </c>
      <c r="T1322">
        <v>0.02</v>
      </c>
      <c r="U1322" s="8">
        <f>Table3[[#This Row],[PrimaNeta]]*Table3[[#This Row],[Comisión]]</f>
        <v>3421.49607672</v>
      </c>
      <c r="V1322" s="15">
        <f>Table3[[#This Row],[PrimaComercial Anual]]-Table3[[#This Row],[PrimaComercial Anual]]*SUM(Table3[[#This Row],[APS]:[IVA]])</f>
        <v>17107.480383599999</v>
      </c>
      <c r="W1322" s="2">
        <v>1.4800000000000001E-2</v>
      </c>
      <c r="X1322" s="2">
        <v>8.4501000000000007E-2</v>
      </c>
      <c r="Y1322">
        <v>0.03</v>
      </c>
      <c r="Z1322">
        <v>0.13</v>
      </c>
      <c r="AA1322" s="20">
        <f>Table3[[#This Row],[APS]]*Table3[[#This Row],[PrimaComercial Anual]]</f>
        <v>341.82672000000002</v>
      </c>
      <c r="AB1322" s="8">
        <f>Table3[[#This Row],[PrimaComercial Anual]]*Table3[[#This Row],[Recargo adicional]]</f>
        <v>1951.6688964000002</v>
      </c>
      <c r="AC1322" s="8">
        <f>Table3[[#This Row],[PrimaComercial Anual]]*Table3[[#This Row],[IT]]</f>
        <v>692.89200000000005</v>
      </c>
      <c r="AD1322" s="8">
        <f>Table3[[#This Row],[PrimaComercial Anual]]*Table3[[#This Row],[IVA]]</f>
        <v>3002.5320000000002</v>
      </c>
      <c r="AE1322" s="15">
        <f>Table3[[#This Row],[PrimaComercial Anual Asistencia]]</f>
        <v>23096.400000000001</v>
      </c>
      <c r="AG1322">
        <v>23096.400000000001</v>
      </c>
    </row>
    <row r="1323" spans="1:33" x14ac:dyDescent="0.25">
      <c r="A1323" t="s">
        <v>18</v>
      </c>
      <c r="B1323">
        <v>1750000</v>
      </c>
      <c r="C1323">
        <v>66</v>
      </c>
      <c r="D1323" s="2">
        <f>Table3[[#This Row],[PrimaTécnica]]-Table3[[#This Row],[PrimaTécnica]]*SUM(Table3[[#This Row],[Gastos Adm]:[Cobranza]])</f>
        <v>10517.931143366399</v>
      </c>
      <c r="E1323">
        <v>0</v>
      </c>
      <c r="F1323">
        <v>0.15</v>
      </c>
      <c r="G1323">
        <v>0.05</v>
      </c>
      <c r="H1323">
        <v>0.01</v>
      </c>
      <c r="I1323">
        <v>0.01</v>
      </c>
      <c r="J1323" s="8">
        <f>Table3[[#This Row],[PrimaTécnica]]*Table3[[#This Row],[Gastos Adm]]</f>
        <v>2022.6790660319998</v>
      </c>
      <c r="K1323" s="8">
        <f>Table3[[#This Row],[PrimaTécnica]]*Table3[[#This Row],[Utilidad]]</f>
        <v>674.22635534400001</v>
      </c>
      <c r="L1323" s="8">
        <f>Table3[[#This Row],[PrimaTécnica]]*Table3[[#This Row],[Marketing]]</f>
        <v>134.8452710688</v>
      </c>
      <c r="M1323" s="8">
        <f>Table3[[#This Row],[PrimaTécnica]]*Table3[[#This Row],[Cobranza]]</f>
        <v>134.8452710688</v>
      </c>
      <c r="N132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13484.527106879999</v>
      </c>
      <c r="O1323">
        <v>21.84</v>
      </c>
      <c r="P1323">
        <v>54.6</v>
      </c>
      <c r="Q1323">
        <v>80.64</v>
      </c>
      <c r="R1323">
        <v>44.377200000000002</v>
      </c>
      <c r="S1323">
        <v>0.2</v>
      </c>
      <c r="T1323">
        <v>0.02</v>
      </c>
      <c r="U1323" s="8">
        <f>Table3[[#This Row],[PrimaNeta]]*Table3[[#This Row],[Comisión]]</f>
        <v>3421.49607672</v>
      </c>
      <c r="V1323" s="15">
        <f>Table3[[#This Row],[PrimaComercial Anual]]-Table3[[#This Row],[PrimaComercial Anual]]*SUM(Table3[[#This Row],[APS]:[IVA]])</f>
        <v>17107.480383599999</v>
      </c>
      <c r="W1323" s="2">
        <v>1.4800000000000001E-2</v>
      </c>
      <c r="X1323" s="2">
        <v>8.4501000000000007E-2</v>
      </c>
      <c r="Y1323">
        <v>0.03</v>
      </c>
      <c r="Z1323">
        <v>0.13</v>
      </c>
      <c r="AA1323" s="20">
        <f>Table3[[#This Row],[APS]]*Table3[[#This Row],[PrimaComercial Anual]]</f>
        <v>341.82672000000002</v>
      </c>
      <c r="AB1323" s="8">
        <f>Table3[[#This Row],[PrimaComercial Anual]]*Table3[[#This Row],[Recargo adicional]]</f>
        <v>1951.6688964000002</v>
      </c>
      <c r="AC1323" s="8">
        <f>Table3[[#This Row],[PrimaComercial Anual]]*Table3[[#This Row],[IT]]</f>
        <v>692.89200000000005</v>
      </c>
      <c r="AD1323" s="8">
        <f>Table3[[#This Row],[PrimaComercial Anual]]*Table3[[#This Row],[IVA]]</f>
        <v>3002.5320000000002</v>
      </c>
      <c r="AE1323" s="15">
        <f>Table3[[#This Row],[PrimaComercial Anual Asistencia]]</f>
        <v>23096.400000000001</v>
      </c>
      <c r="AG1323">
        <v>23096.400000000001</v>
      </c>
    </row>
    <row r="1324" spans="1:33" x14ac:dyDescent="0.25">
      <c r="A1324" t="s">
        <v>18</v>
      </c>
      <c r="B1324">
        <v>1750000</v>
      </c>
      <c r="C1324">
        <v>67</v>
      </c>
      <c r="D1324" s="2">
        <f>Table3[[#This Row],[PrimaTécnica]]-Table3[[#This Row],[PrimaTécnica]]*SUM(Table3[[#This Row],[Gastos Adm]:[Cobranza]])</f>
        <v>10517.931143366399</v>
      </c>
      <c r="E1324">
        <v>0</v>
      </c>
      <c r="F1324">
        <v>0.15</v>
      </c>
      <c r="G1324">
        <v>0.05</v>
      </c>
      <c r="H1324">
        <v>0.01</v>
      </c>
      <c r="I1324">
        <v>0.01</v>
      </c>
      <c r="J1324" s="8">
        <f>Table3[[#This Row],[PrimaTécnica]]*Table3[[#This Row],[Gastos Adm]]</f>
        <v>2022.6790660319998</v>
      </c>
      <c r="K1324" s="8">
        <f>Table3[[#This Row],[PrimaTécnica]]*Table3[[#This Row],[Utilidad]]</f>
        <v>674.22635534400001</v>
      </c>
      <c r="L1324" s="8">
        <f>Table3[[#This Row],[PrimaTécnica]]*Table3[[#This Row],[Marketing]]</f>
        <v>134.8452710688</v>
      </c>
      <c r="M1324" s="8">
        <f>Table3[[#This Row],[PrimaTécnica]]*Table3[[#This Row],[Cobranza]]</f>
        <v>134.8452710688</v>
      </c>
      <c r="N132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13484.527106879999</v>
      </c>
      <c r="O1324">
        <v>21.84</v>
      </c>
      <c r="P1324">
        <v>54.6</v>
      </c>
      <c r="Q1324">
        <v>80.64</v>
      </c>
      <c r="R1324">
        <v>44.377200000000002</v>
      </c>
      <c r="S1324">
        <v>0.2</v>
      </c>
      <c r="T1324">
        <v>0.02</v>
      </c>
      <c r="U1324" s="8">
        <f>Table3[[#This Row],[PrimaNeta]]*Table3[[#This Row],[Comisión]]</f>
        <v>3421.49607672</v>
      </c>
      <c r="V1324" s="15">
        <f>Table3[[#This Row],[PrimaComercial Anual]]-Table3[[#This Row],[PrimaComercial Anual]]*SUM(Table3[[#This Row],[APS]:[IVA]])</f>
        <v>17107.480383599999</v>
      </c>
      <c r="W1324" s="2">
        <v>1.4800000000000001E-2</v>
      </c>
      <c r="X1324" s="2">
        <v>8.4501000000000007E-2</v>
      </c>
      <c r="Y1324">
        <v>0.03</v>
      </c>
      <c r="Z1324">
        <v>0.13</v>
      </c>
      <c r="AA1324" s="20">
        <f>Table3[[#This Row],[APS]]*Table3[[#This Row],[PrimaComercial Anual]]</f>
        <v>341.82672000000002</v>
      </c>
      <c r="AB1324" s="8">
        <f>Table3[[#This Row],[PrimaComercial Anual]]*Table3[[#This Row],[Recargo adicional]]</f>
        <v>1951.6688964000002</v>
      </c>
      <c r="AC1324" s="8">
        <f>Table3[[#This Row],[PrimaComercial Anual]]*Table3[[#This Row],[IT]]</f>
        <v>692.89200000000005</v>
      </c>
      <c r="AD1324" s="8">
        <f>Table3[[#This Row],[PrimaComercial Anual]]*Table3[[#This Row],[IVA]]</f>
        <v>3002.5320000000002</v>
      </c>
      <c r="AE1324" s="15">
        <f>Table3[[#This Row],[PrimaComercial Anual Asistencia]]</f>
        <v>23096.400000000001</v>
      </c>
      <c r="AG1324">
        <v>23096.400000000001</v>
      </c>
    </row>
    <row r="1325" spans="1:33" x14ac:dyDescent="0.25">
      <c r="A1325" t="s">
        <v>18</v>
      </c>
      <c r="B1325">
        <v>1750000</v>
      </c>
      <c r="C1325">
        <v>68</v>
      </c>
      <c r="D1325" s="2">
        <f>Table3[[#This Row],[PrimaTécnica]]-Table3[[#This Row],[PrimaTécnica]]*SUM(Table3[[#This Row],[Gastos Adm]:[Cobranza]])</f>
        <v>10517.931143366399</v>
      </c>
      <c r="E1325">
        <v>0</v>
      </c>
      <c r="F1325">
        <v>0.15</v>
      </c>
      <c r="G1325">
        <v>0.05</v>
      </c>
      <c r="H1325">
        <v>0.01</v>
      </c>
      <c r="I1325">
        <v>0.01</v>
      </c>
      <c r="J1325" s="8">
        <f>Table3[[#This Row],[PrimaTécnica]]*Table3[[#This Row],[Gastos Adm]]</f>
        <v>2022.6790660319998</v>
      </c>
      <c r="K1325" s="8">
        <f>Table3[[#This Row],[PrimaTécnica]]*Table3[[#This Row],[Utilidad]]</f>
        <v>674.22635534400001</v>
      </c>
      <c r="L1325" s="8">
        <f>Table3[[#This Row],[PrimaTécnica]]*Table3[[#This Row],[Marketing]]</f>
        <v>134.8452710688</v>
      </c>
      <c r="M1325" s="8">
        <f>Table3[[#This Row],[PrimaTécnica]]*Table3[[#This Row],[Cobranza]]</f>
        <v>134.8452710688</v>
      </c>
      <c r="N132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13484.527106879999</v>
      </c>
      <c r="O1325">
        <v>21.84</v>
      </c>
      <c r="P1325">
        <v>54.6</v>
      </c>
      <c r="Q1325">
        <v>80.64</v>
      </c>
      <c r="R1325">
        <v>44.377200000000002</v>
      </c>
      <c r="S1325">
        <v>0.2</v>
      </c>
      <c r="T1325">
        <v>0.02</v>
      </c>
      <c r="U1325" s="8">
        <f>Table3[[#This Row],[PrimaNeta]]*Table3[[#This Row],[Comisión]]</f>
        <v>3421.49607672</v>
      </c>
      <c r="V1325" s="15">
        <f>Table3[[#This Row],[PrimaComercial Anual]]-Table3[[#This Row],[PrimaComercial Anual]]*SUM(Table3[[#This Row],[APS]:[IVA]])</f>
        <v>17107.480383599999</v>
      </c>
      <c r="W1325" s="2">
        <v>1.4800000000000001E-2</v>
      </c>
      <c r="X1325" s="2">
        <v>8.4501000000000007E-2</v>
      </c>
      <c r="Y1325">
        <v>0.03</v>
      </c>
      <c r="Z1325">
        <v>0.13</v>
      </c>
      <c r="AA1325" s="20">
        <f>Table3[[#This Row],[APS]]*Table3[[#This Row],[PrimaComercial Anual]]</f>
        <v>341.82672000000002</v>
      </c>
      <c r="AB1325" s="8">
        <f>Table3[[#This Row],[PrimaComercial Anual]]*Table3[[#This Row],[Recargo adicional]]</f>
        <v>1951.6688964000002</v>
      </c>
      <c r="AC1325" s="8">
        <f>Table3[[#This Row],[PrimaComercial Anual]]*Table3[[#This Row],[IT]]</f>
        <v>692.89200000000005</v>
      </c>
      <c r="AD1325" s="8">
        <f>Table3[[#This Row],[PrimaComercial Anual]]*Table3[[#This Row],[IVA]]</f>
        <v>3002.5320000000002</v>
      </c>
      <c r="AE1325" s="15">
        <f>Table3[[#This Row],[PrimaComercial Anual Asistencia]]</f>
        <v>23096.400000000001</v>
      </c>
      <c r="AG1325">
        <v>23096.400000000001</v>
      </c>
    </row>
    <row r="1326" spans="1:33" x14ac:dyDescent="0.25">
      <c r="A1326" t="s">
        <v>18</v>
      </c>
      <c r="B1326">
        <v>1750000</v>
      </c>
      <c r="C1326">
        <v>69</v>
      </c>
      <c r="D1326" s="2">
        <f>Table3[[#This Row],[PrimaTécnica]]-Table3[[#This Row],[PrimaTécnica]]*SUM(Table3[[#This Row],[Gastos Adm]:[Cobranza]])</f>
        <v>10517.931143366399</v>
      </c>
      <c r="E1326">
        <v>0</v>
      </c>
      <c r="F1326">
        <v>0.15</v>
      </c>
      <c r="G1326">
        <v>0.05</v>
      </c>
      <c r="H1326">
        <v>0.01</v>
      </c>
      <c r="I1326">
        <v>0.01</v>
      </c>
      <c r="J1326" s="8">
        <f>Table3[[#This Row],[PrimaTécnica]]*Table3[[#This Row],[Gastos Adm]]</f>
        <v>2022.6790660319998</v>
      </c>
      <c r="K1326" s="8">
        <f>Table3[[#This Row],[PrimaTécnica]]*Table3[[#This Row],[Utilidad]]</f>
        <v>674.22635534400001</v>
      </c>
      <c r="L1326" s="8">
        <f>Table3[[#This Row],[PrimaTécnica]]*Table3[[#This Row],[Marketing]]</f>
        <v>134.8452710688</v>
      </c>
      <c r="M1326" s="8">
        <f>Table3[[#This Row],[PrimaTécnica]]*Table3[[#This Row],[Cobranza]]</f>
        <v>134.8452710688</v>
      </c>
      <c r="N132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13484.527106879999</v>
      </c>
      <c r="O1326">
        <v>21.84</v>
      </c>
      <c r="P1326">
        <v>54.6</v>
      </c>
      <c r="Q1326">
        <v>80.64</v>
      </c>
      <c r="R1326">
        <v>44.377200000000002</v>
      </c>
      <c r="S1326">
        <v>0.2</v>
      </c>
      <c r="T1326">
        <v>0.02</v>
      </c>
      <c r="U1326" s="8">
        <f>Table3[[#This Row],[PrimaNeta]]*Table3[[#This Row],[Comisión]]</f>
        <v>3421.49607672</v>
      </c>
      <c r="V1326" s="15">
        <f>Table3[[#This Row],[PrimaComercial Anual]]-Table3[[#This Row],[PrimaComercial Anual]]*SUM(Table3[[#This Row],[APS]:[IVA]])</f>
        <v>17107.480383599999</v>
      </c>
      <c r="W1326" s="2">
        <v>1.4800000000000001E-2</v>
      </c>
      <c r="X1326" s="2">
        <v>8.4501000000000007E-2</v>
      </c>
      <c r="Y1326">
        <v>0.03</v>
      </c>
      <c r="Z1326">
        <v>0.13</v>
      </c>
      <c r="AA1326" s="20">
        <f>Table3[[#This Row],[APS]]*Table3[[#This Row],[PrimaComercial Anual]]</f>
        <v>341.82672000000002</v>
      </c>
      <c r="AB1326" s="8">
        <f>Table3[[#This Row],[PrimaComercial Anual]]*Table3[[#This Row],[Recargo adicional]]</f>
        <v>1951.6688964000002</v>
      </c>
      <c r="AC1326" s="8">
        <f>Table3[[#This Row],[PrimaComercial Anual]]*Table3[[#This Row],[IT]]</f>
        <v>692.89200000000005</v>
      </c>
      <c r="AD1326" s="8">
        <f>Table3[[#This Row],[PrimaComercial Anual]]*Table3[[#This Row],[IVA]]</f>
        <v>3002.5320000000002</v>
      </c>
      <c r="AE1326" s="15">
        <f>Table3[[#This Row],[PrimaComercial Anual Asistencia]]</f>
        <v>23096.400000000001</v>
      </c>
      <c r="AG1326">
        <v>23096.400000000001</v>
      </c>
    </row>
    <row r="1327" spans="1:33" x14ac:dyDescent="0.25">
      <c r="A1327" t="s">
        <v>18</v>
      </c>
      <c r="B1327">
        <v>1750000</v>
      </c>
      <c r="C1327">
        <v>70</v>
      </c>
      <c r="D1327" s="2">
        <f>Table3[[#This Row],[PrimaTécnica]]-Table3[[#This Row],[PrimaTécnica]]*SUM(Table3[[#This Row],[Gastos Adm]:[Cobranza]])</f>
        <v>10517.931143366399</v>
      </c>
      <c r="E1327">
        <v>0</v>
      </c>
      <c r="F1327">
        <v>0.15</v>
      </c>
      <c r="G1327">
        <v>0.05</v>
      </c>
      <c r="H1327">
        <v>0.01</v>
      </c>
      <c r="I1327">
        <v>0.01</v>
      </c>
      <c r="J1327" s="8">
        <f>Table3[[#This Row],[PrimaTécnica]]*Table3[[#This Row],[Gastos Adm]]</f>
        <v>2022.6790660319998</v>
      </c>
      <c r="K1327" s="8">
        <f>Table3[[#This Row],[PrimaTécnica]]*Table3[[#This Row],[Utilidad]]</f>
        <v>674.22635534400001</v>
      </c>
      <c r="L1327" s="8">
        <f>Table3[[#This Row],[PrimaTécnica]]*Table3[[#This Row],[Marketing]]</f>
        <v>134.8452710688</v>
      </c>
      <c r="M1327" s="8">
        <f>Table3[[#This Row],[PrimaTécnica]]*Table3[[#This Row],[Cobranza]]</f>
        <v>134.8452710688</v>
      </c>
      <c r="N132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13484.527106879999</v>
      </c>
      <c r="O1327">
        <v>21.84</v>
      </c>
      <c r="P1327">
        <v>54.6</v>
      </c>
      <c r="Q1327">
        <v>80.64</v>
      </c>
      <c r="R1327">
        <v>44.377200000000002</v>
      </c>
      <c r="S1327">
        <v>0.2</v>
      </c>
      <c r="T1327">
        <v>0.02</v>
      </c>
      <c r="U1327" s="8">
        <f>Table3[[#This Row],[PrimaNeta]]*Table3[[#This Row],[Comisión]]</f>
        <v>3421.49607672</v>
      </c>
      <c r="V1327" s="15">
        <f>Table3[[#This Row],[PrimaComercial Anual]]-Table3[[#This Row],[PrimaComercial Anual]]*SUM(Table3[[#This Row],[APS]:[IVA]])</f>
        <v>17107.480383599999</v>
      </c>
      <c r="W1327" s="2">
        <v>1.4800000000000001E-2</v>
      </c>
      <c r="X1327" s="2">
        <v>8.4501000000000007E-2</v>
      </c>
      <c r="Y1327">
        <v>0.03</v>
      </c>
      <c r="Z1327">
        <v>0.13</v>
      </c>
      <c r="AA1327" s="20">
        <f>Table3[[#This Row],[APS]]*Table3[[#This Row],[PrimaComercial Anual]]</f>
        <v>341.82672000000002</v>
      </c>
      <c r="AB1327" s="8">
        <f>Table3[[#This Row],[PrimaComercial Anual]]*Table3[[#This Row],[Recargo adicional]]</f>
        <v>1951.6688964000002</v>
      </c>
      <c r="AC1327" s="8">
        <f>Table3[[#This Row],[PrimaComercial Anual]]*Table3[[#This Row],[IT]]</f>
        <v>692.89200000000005</v>
      </c>
      <c r="AD1327" s="8">
        <f>Table3[[#This Row],[PrimaComercial Anual]]*Table3[[#This Row],[IVA]]</f>
        <v>3002.5320000000002</v>
      </c>
      <c r="AE1327" s="15">
        <f>Table3[[#This Row],[PrimaComercial Anual Asistencia]]</f>
        <v>23096.400000000001</v>
      </c>
      <c r="AG1327">
        <v>23096.400000000001</v>
      </c>
    </row>
    <row r="1328" spans="1:33" x14ac:dyDescent="0.25">
      <c r="A1328" t="s">
        <v>18</v>
      </c>
      <c r="B1328">
        <v>1750000</v>
      </c>
      <c r="C1328">
        <v>71</v>
      </c>
      <c r="D1328" s="2">
        <f>Table3[[#This Row],[PrimaTécnica]]-Table3[[#This Row],[PrimaTécnica]]*SUM(Table3[[#This Row],[Gastos Adm]:[Cobranza]])</f>
        <v>12362.0938856064</v>
      </c>
      <c r="E1328">
        <v>0</v>
      </c>
      <c r="F1328">
        <v>0.15</v>
      </c>
      <c r="G1328">
        <v>0.05</v>
      </c>
      <c r="H1328">
        <v>0.01</v>
      </c>
      <c r="I1328">
        <v>0.01</v>
      </c>
      <c r="J1328" s="8">
        <f>Table3[[#This Row],[PrimaTécnica]]*Table3[[#This Row],[Gastos Adm]]</f>
        <v>2377.3257472320001</v>
      </c>
      <c r="K1328" s="8">
        <f>Table3[[#This Row],[PrimaTécnica]]*Table3[[#This Row],[Utilidad]]</f>
        <v>792.44191574400008</v>
      </c>
      <c r="L1328" s="8">
        <f>Table3[[#This Row],[PrimaTécnica]]*Table3[[#This Row],[Marketing]]</f>
        <v>158.48838314880001</v>
      </c>
      <c r="M1328" s="8">
        <f>Table3[[#This Row],[PrimaTécnica]]*Table3[[#This Row],[Cobranza]]</f>
        <v>158.48838314880001</v>
      </c>
      <c r="N132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28">
        <v>21.84</v>
      </c>
      <c r="P1328">
        <v>54.6</v>
      </c>
      <c r="Q1328">
        <v>80.64</v>
      </c>
      <c r="R1328">
        <v>44.377200000000002</v>
      </c>
      <c r="S1328">
        <v>0.2</v>
      </c>
      <c r="T1328">
        <v>0.02</v>
      </c>
      <c r="U1328" s="8">
        <f>Table3[[#This Row],[PrimaNeta]]*Table3[[#This Row],[Comisión]]</f>
        <v>4012.5738787200007</v>
      </c>
      <c r="V1328" s="15">
        <f>Table3[[#This Row],[PrimaComercial Anual]]-Table3[[#This Row],[PrimaComercial Anual]]*SUM(Table3[[#This Row],[APS]:[IVA]])</f>
        <v>20062.869393600002</v>
      </c>
      <c r="W1328" s="2">
        <v>1.4800000000000001E-2</v>
      </c>
      <c r="X1328" s="2">
        <v>8.4501000000000007E-2</v>
      </c>
      <c r="Y1328">
        <v>0.03</v>
      </c>
      <c r="Z1328">
        <v>0.13</v>
      </c>
      <c r="AA1328" s="20">
        <f>Table3[[#This Row],[APS]]*Table3[[#This Row],[PrimaComercial Anual]]</f>
        <v>400.87872000000004</v>
      </c>
      <c r="AB1328" s="8">
        <f>Table3[[#This Row],[PrimaComercial Anual]]*Table3[[#This Row],[Recargo adicional]]</f>
        <v>2288.8278864000004</v>
      </c>
      <c r="AC1328" s="8">
        <f>Table3[[#This Row],[PrimaComercial Anual]]*Table3[[#This Row],[IT]]</f>
        <v>812.59199999999998</v>
      </c>
      <c r="AD1328" s="8">
        <f>Table3[[#This Row],[PrimaComercial Anual]]*Table3[[#This Row],[IVA]]</f>
        <v>3521.2320000000004</v>
      </c>
      <c r="AE1328" s="15">
        <f>Table3[[#This Row],[PrimaComercial Anual Asistencia]]</f>
        <v>27086.400000000001</v>
      </c>
      <c r="AG1328">
        <v>27086.400000000001</v>
      </c>
    </row>
    <row r="1329" spans="1:33" x14ac:dyDescent="0.25">
      <c r="A1329" t="s">
        <v>18</v>
      </c>
      <c r="B1329">
        <v>1750000</v>
      </c>
      <c r="C1329">
        <v>72</v>
      </c>
      <c r="D1329" s="2">
        <f>Table3[[#This Row],[PrimaTécnica]]-Table3[[#This Row],[PrimaTécnica]]*SUM(Table3[[#This Row],[Gastos Adm]:[Cobranza]])</f>
        <v>12362.0938856064</v>
      </c>
      <c r="E1329">
        <v>0</v>
      </c>
      <c r="F1329">
        <v>0.15</v>
      </c>
      <c r="G1329">
        <v>0.05</v>
      </c>
      <c r="H1329">
        <v>0.01</v>
      </c>
      <c r="I1329">
        <v>0.01</v>
      </c>
      <c r="J1329" s="8">
        <f>Table3[[#This Row],[PrimaTécnica]]*Table3[[#This Row],[Gastos Adm]]</f>
        <v>2377.3257472320001</v>
      </c>
      <c r="K1329" s="8">
        <f>Table3[[#This Row],[PrimaTécnica]]*Table3[[#This Row],[Utilidad]]</f>
        <v>792.44191574400008</v>
      </c>
      <c r="L1329" s="8">
        <f>Table3[[#This Row],[PrimaTécnica]]*Table3[[#This Row],[Marketing]]</f>
        <v>158.48838314880001</v>
      </c>
      <c r="M1329" s="8">
        <f>Table3[[#This Row],[PrimaTécnica]]*Table3[[#This Row],[Cobranza]]</f>
        <v>158.48838314880001</v>
      </c>
      <c r="N132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29">
        <v>21.84</v>
      </c>
      <c r="P1329">
        <v>54.6</v>
      </c>
      <c r="Q1329">
        <v>80.64</v>
      </c>
      <c r="R1329">
        <v>44.377200000000002</v>
      </c>
      <c r="S1329">
        <v>0.2</v>
      </c>
      <c r="T1329">
        <v>0.02</v>
      </c>
      <c r="U1329" s="8">
        <f>Table3[[#This Row],[PrimaNeta]]*Table3[[#This Row],[Comisión]]</f>
        <v>4012.5738787200007</v>
      </c>
      <c r="V1329" s="15">
        <f>Table3[[#This Row],[PrimaComercial Anual]]-Table3[[#This Row],[PrimaComercial Anual]]*SUM(Table3[[#This Row],[APS]:[IVA]])</f>
        <v>20062.869393600002</v>
      </c>
      <c r="W1329" s="2">
        <v>1.4800000000000001E-2</v>
      </c>
      <c r="X1329" s="2">
        <v>8.4501000000000007E-2</v>
      </c>
      <c r="Y1329">
        <v>0.03</v>
      </c>
      <c r="Z1329">
        <v>0.13</v>
      </c>
      <c r="AA1329" s="20">
        <f>Table3[[#This Row],[APS]]*Table3[[#This Row],[PrimaComercial Anual]]</f>
        <v>400.87872000000004</v>
      </c>
      <c r="AB1329" s="8">
        <f>Table3[[#This Row],[PrimaComercial Anual]]*Table3[[#This Row],[Recargo adicional]]</f>
        <v>2288.8278864000004</v>
      </c>
      <c r="AC1329" s="8">
        <f>Table3[[#This Row],[PrimaComercial Anual]]*Table3[[#This Row],[IT]]</f>
        <v>812.59199999999998</v>
      </c>
      <c r="AD1329" s="8">
        <f>Table3[[#This Row],[PrimaComercial Anual]]*Table3[[#This Row],[IVA]]</f>
        <v>3521.2320000000004</v>
      </c>
      <c r="AE1329" s="15">
        <f>Table3[[#This Row],[PrimaComercial Anual Asistencia]]</f>
        <v>27086.400000000001</v>
      </c>
      <c r="AG1329">
        <v>27086.400000000001</v>
      </c>
    </row>
    <row r="1330" spans="1:33" x14ac:dyDescent="0.25">
      <c r="A1330" t="s">
        <v>18</v>
      </c>
      <c r="B1330">
        <v>1750000</v>
      </c>
      <c r="C1330">
        <v>73</v>
      </c>
      <c r="D1330" s="2">
        <f>Table3[[#This Row],[PrimaTécnica]]-Table3[[#This Row],[PrimaTécnica]]*SUM(Table3[[#This Row],[Gastos Adm]:[Cobranza]])</f>
        <v>12362.0938856064</v>
      </c>
      <c r="E1330">
        <v>0</v>
      </c>
      <c r="F1330">
        <v>0.15</v>
      </c>
      <c r="G1330">
        <v>0.05</v>
      </c>
      <c r="H1330">
        <v>0.01</v>
      </c>
      <c r="I1330">
        <v>0.01</v>
      </c>
      <c r="J1330" s="8">
        <f>Table3[[#This Row],[PrimaTécnica]]*Table3[[#This Row],[Gastos Adm]]</f>
        <v>2377.3257472320001</v>
      </c>
      <c r="K1330" s="8">
        <f>Table3[[#This Row],[PrimaTécnica]]*Table3[[#This Row],[Utilidad]]</f>
        <v>792.44191574400008</v>
      </c>
      <c r="L1330" s="8">
        <f>Table3[[#This Row],[PrimaTécnica]]*Table3[[#This Row],[Marketing]]</f>
        <v>158.48838314880001</v>
      </c>
      <c r="M1330" s="8">
        <f>Table3[[#This Row],[PrimaTécnica]]*Table3[[#This Row],[Cobranza]]</f>
        <v>158.48838314880001</v>
      </c>
      <c r="N133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30">
        <v>21.84</v>
      </c>
      <c r="P1330">
        <v>54.6</v>
      </c>
      <c r="Q1330">
        <v>80.64</v>
      </c>
      <c r="R1330">
        <v>44.377200000000002</v>
      </c>
      <c r="S1330">
        <v>0.2</v>
      </c>
      <c r="T1330">
        <v>0.02</v>
      </c>
      <c r="U1330" s="8">
        <f>Table3[[#This Row],[PrimaNeta]]*Table3[[#This Row],[Comisión]]</f>
        <v>4012.5738787200007</v>
      </c>
      <c r="V1330" s="15">
        <f>Table3[[#This Row],[PrimaComercial Anual]]-Table3[[#This Row],[PrimaComercial Anual]]*SUM(Table3[[#This Row],[APS]:[IVA]])</f>
        <v>20062.869393600002</v>
      </c>
      <c r="W1330" s="2">
        <v>1.4800000000000001E-2</v>
      </c>
      <c r="X1330" s="2">
        <v>8.4501000000000007E-2</v>
      </c>
      <c r="Y1330">
        <v>0.03</v>
      </c>
      <c r="Z1330">
        <v>0.13</v>
      </c>
      <c r="AA1330" s="20">
        <f>Table3[[#This Row],[APS]]*Table3[[#This Row],[PrimaComercial Anual]]</f>
        <v>400.87872000000004</v>
      </c>
      <c r="AB1330" s="8">
        <f>Table3[[#This Row],[PrimaComercial Anual]]*Table3[[#This Row],[Recargo adicional]]</f>
        <v>2288.8278864000004</v>
      </c>
      <c r="AC1330" s="8">
        <f>Table3[[#This Row],[PrimaComercial Anual]]*Table3[[#This Row],[IT]]</f>
        <v>812.59199999999998</v>
      </c>
      <c r="AD1330" s="8">
        <f>Table3[[#This Row],[PrimaComercial Anual]]*Table3[[#This Row],[IVA]]</f>
        <v>3521.2320000000004</v>
      </c>
      <c r="AE1330" s="15">
        <f>Table3[[#This Row],[PrimaComercial Anual Asistencia]]</f>
        <v>27086.400000000001</v>
      </c>
      <c r="AG1330">
        <v>27086.400000000001</v>
      </c>
    </row>
    <row r="1331" spans="1:33" x14ac:dyDescent="0.25">
      <c r="A1331" t="s">
        <v>18</v>
      </c>
      <c r="B1331">
        <v>1750000</v>
      </c>
      <c r="C1331">
        <v>74</v>
      </c>
      <c r="D1331" s="2">
        <f>Table3[[#This Row],[PrimaTécnica]]-Table3[[#This Row],[PrimaTécnica]]*SUM(Table3[[#This Row],[Gastos Adm]:[Cobranza]])</f>
        <v>12362.0938856064</v>
      </c>
      <c r="E1331">
        <v>0</v>
      </c>
      <c r="F1331">
        <v>0.15</v>
      </c>
      <c r="G1331">
        <v>0.05</v>
      </c>
      <c r="H1331">
        <v>0.01</v>
      </c>
      <c r="I1331">
        <v>0.01</v>
      </c>
      <c r="J1331" s="8">
        <f>Table3[[#This Row],[PrimaTécnica]]*Table3[[#This Row],[Gastos Adm]]</f>
        <v>2377.3257472320001</v>
      </c>
      <c r="K1331" s="8">
        <f>Table3[[#This Row],[PrimaTécnica]]*Table3[[#This Row],[Utilidad]]</f>
        <v>792.44191574400008</v>
      </c>
      <c r="L1331" s="8">
        <f>Table3[[#This Row],[PrimaTécnica]]*Table3[[#This Row],[Marketing]]</f>
        <v>158.48838314880001</v>
      </c>
      <c r="M1331" s="8">
        <f>Table3[[#This Row],[PrimaTécnica]]*Table3[[#This Row],[Cobranza]]</f>
        <v>158.48838314880001</v>
      </c>
      <c r="N133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31">
        <v>21.84</v>
      </c>
      <c r="P1331">
        <v>54.6</v>
      </c>
      <c r="Q1331">
        <v>80.64</v>
      </c>
      <c r="R1331">
        <v>44.377200000000002</v>
      </c>
      <c r="S1331">
        <v>0.2</v>
      </c>
      <c r="T1331">
        <v>0.02</v>
      </c>
      <c r="U1331" s="8">
        <f>Table3[[#This Row],[PrimaNeta]]*Table3[[#This Row],[Comisión]]</f>
        <v>4012.5738787200007</v>
      </c>
      <c r="V1331" s="15">
        <f>Table3[[#This Row],[PrimaComercial Anual]]-Table3[[#This Row],[PrimaComercial Anual]]*SUM(Table3[[#This Row],[APS]:[IVA]])</f>
        <v>20062.869393600002</v>
      </c>
      <c r="W1331" s="2">
        <v>1.4800000000000001E-2</v>
      </c>
      <c r="X1331" s="2">
        <v>8.4501000000000007E-2</v>
      </c>
      <c r="Y1331">
        <v>0.03</v>
      </c>
      <c r="Z1331">
        <v>0.13</v>
      </c>
      <c r="AA1331" s="20">
        <f>Table3[[#This Row],[APS]]*Table3[[#This Row],[PrimaComercial Anual]]</f>
        <v>400.87872000000004</v>
      </c>
      <c r="AB1331" s="8">
        <f>Table3[[#This Row],[PrimaComercial Anual]]*Table3[[#This Row],[Recargo adicional]]</f>
        <v>2288.8278864000004</v>
      </c>
      <c r="AC1331" s="8">
        <f>Table3[[#This Row],[PrimaComercial Anual]]*Table3[[#This Row],[IT]]</f>
        <v>812.59199999999998</v>
      </c>
      <c r="AD1331" s="8">
        <f>Table3[[#This Row],[PrimaComercial Anual]]*Table3[[#This Row],[IVA]]</f>
        <v>3521.2320000000004</v>
      </c>
      <c r="AE1331" s="15">
        <f>Table3[[#This Row],[PrimaComercial Anual Asistencia]]</f>
        <v>27086.400000000001</v>
      </c>
      <c r="AG1331">
        <v>27086.400000000001</v>
      </c>
    </row>
    <row r="1332" spans="1:33" x14ac:dyDescent="0.25">
      <c r="A1332" t="s">
        <v>18</v>
      </c>
      <c r="B1332">
        <v>1750000</v>
      </c>
      <c r="C1332">
        <v>75</v>
      </c>
      <c r="D1332" s="2">
        <f>Table3[[#This Row],[PrimaTécnica]]-Table3[[#This Row],[PrimaTécnica]]*SUM(Table3[[#This Row],[Gastos Adm]:[Cobranza]])</f>
        <v>12362.0938856064</v>
      </c>
      <c r="E1332">
        <v>0</v>
      </c>
      <c r="F1332">
        <v>0.15</v>
      </c>
      <c r="G1332">
        <v>0.05</v>
      </c>
      <c r="H1332">
        <v>0.01</v>
      </c>
      <c r="I1332">
        <v>0.01</v>
      </c>
      <c r="J1332" s="8">
        <f>Table3[[#This Row],[PrimaTécnica]]*Table3[[#This Row],[Gastos Adm]]</f>
        <v>2377.3257472320001</v>
      </c>
      <c r="K1332" s="8">
        <f>Table3[[#This Row],[PrimaTécnica]]*Table3[[#This Row],[Utilidad]]</f>
        <v>792.44191574400008</v>
      </c>
      <c r="L1332" s="8">
        <f>Table3[[#This Row],[PrimaTécnica]]*Table3[[#This Row],[Marketing]]</f>
        <v>158.48838314880001</v>
      </c>
      <c r="M1332" s="8">
        <f>Table3[[#This Row],[PrimaTécnica]]*Table3[[#This Row],[Cobranza]]</f>
        <v>158.48838314880001</v>
      </c>
      <c r="N133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32">
        <v>21.84</v>
      </c>
      <c r="P1332">
        <v>54.6</v>
      </c>
      <c r="Q1332">
        <v>80.64</v>
      </c>
      <c r="R1332">
        <v>44.377200000000002</v>
      </c>
      <c r="S1332">
        <v>0.2</v>
      </c>
      <c r="T1332">
        <v>0.02</v>
      </c>
      <c r="U1332" s="8">
        <f>Table3[[#This Row],[PrimaNeta]]*Table3[[#This Row],[Comisión]]</f>
        <v>4012.5738787200007</v>
      </c>
      <c r="V1332" s="15">
        <f>Table3[[#This Row],[PrimaComercial Anual]]-Table3[[#This Row],[PrimaComercial Anual]]*SUM(Table3[[#This Row],[APS]:[IVA]])</f>
        <v>20062.869393600002</v>
      </c>
      <c r="W1332" s="2">
        <v>1.4800000000000001E-2</v>
      </c>
      <c r="X1332" s="2">
        <v>8.4501000000000007E-2</v>
      </c>
      <c r="Y1332">
        <v>0.03</v>
      </c>
      <c r="Z1332">
        <v>0.13</v>
      </c>
      <c r="AA1332" s="20">
        <f>Table3[[#This Row],[APS]]*Table3[[#This Row],[PrimaComercial Anual]]</f>
        <v>400.87872000000004</v>
      </c>
      <c r="AB1332" s="8">
        <f>Table3[[#This Row],[PrimaComercial Anual]]*Table3[[#This Row],[Recargo adicional]]</f>
        <v>2288.8278864000004</v>
      </c>
      <c r="AC1332" s="8">
        <f>Table3[[#This Row],[PrimaComercial Anual]]*Table3[[#This Row],[IT]]</f>
        <v>812.59199999999998</v>
      </c>
      <c r="AD1332" s="8">
        <f>Table3[[#This Row],[PrimaComercial Anual]]*Table3[[#This Row],[IVA]]</f>
        <v>3521.2320000000004</v>
      </c>
      <c r="AE1332" s="15">
        <f>Table3[[#This Row],[PrimaComercial Anual Asistencia]]</f>
        <v>27086.400000000001</v>
      </c>
      <c r="AG1332">
        <v>27086.400000000001</v>
      </c>
    </row>
    <row r="1333" spans="1:33" x14ac:dyDescent="0.25">
      <c r="A1333" t="s">
        <v>18</v>
      </c>
      <c r="B1333">
        <v>1750000</v>
      </c>
      <c r="C1333">
        <v>76</v>
      </c>
      <c r="D1333" s="2">
        <f>Table3[[#This Row],[PrimaTécnica]]-Table3[[#This Row],[PrimaTécnica]]*SUM(Table3[[#This Row],[Gastos Adm]:[Cobranza]])</f>
        <v>12362.0938856064</v>
      </c>
      <c r="E1333">
        <v>0</v>
      </c>
      <c r="F1333">
        <v>0.15</v>
      </c>
      <c r="G1333">
        <v>0.05</v>
      </c>
      <c r="H1333">
        <v>0.01</v>
      </c>
      <c r="I1333">
        <v>0.01</v>
      </c>
      <c r="J1333" s="8">
        <f>Table3[[#This Row],[PrimaTécnica]]*Table3[[#This Row],[Gastos Adm]]</f>
        <v>2377.3257472320001</v>
      </c>
      <c r="K1333" s="8">
        <f>Table3[[#This Row],[PrimaTécnica]]*Table3[[#This Row],[Utilidad]]</f>
        <v>792.44191574400008</v>
      </c>
      <c r="L1333" s="8">
        <f>Table3[[#This Row],[PrimaTécnica]]*Table3[[#This Row],[Marketing]]</f>
        <v>158.48838314880001</v>
      </c>
      <c r="M1333" s="8">
        <f>Table3[[#This Row],[PrimaTécnica]]*Table3[[#This Row],[Cobranza]]</f>
        <v>158.48838314880001</v>
      </c>
      <c r="N133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33">
        <v>21.84</v>
      </c>
      <c r="P1333">
        <v>54.6</v>
      </c>
      <c r="Q1333">
        <v>80.64</v>
      </c>
      <c r="R1333">
        <v>44.377200000000002</v>
      </c>
      <c r="S1333">
        <v>0.2</v>
      </c>
      <c r="T1333">
        <v>0.02</v>
      </c>
      <c r="U1333" s="8">
        <f>Table3[[#This Row],[PrimaNeta]]*Table3[[#This Row],[Comisión]]</f>
        <v>4012.5738787200007</v>
      </c>
      <c r="V1333" s="15">
        <f>Table3[[#This Row],[PrimaComercial Anual]]-Table3[[#This Row],[PrimaComercial Anual]]*SUM(Table3[[#This Row],[APS]:[IVA]])</f>
        <v>20062.869393600002</v>
      </c>
      <c r="W1333" s="2">
        <v>1.4800000000000001E-2</v>
      </c>
      <c r="X1333" s="2">
        <v>8.4501000000000007E-2</v>
      </c>
      <c r="Y1333">
        <v>0.03</v>
      </c>
      <c r="Z1333">
        <v>0.13</v>
      </c>
      <c r="AA1333" s="20">
        <f>Table3[[#This Row],[APS]]*Table3[[#This Row],[PrimaComercial Anual]]</f>
        <v>400.87872000000004</v>
      </c>
      <c r="AB1333" s="8">
        <f>Table3[[#This Row],[PrimaComercial Anual]]*Table3[[#This Row],[Recargo adicional]]</f>
        <v>2288.8278864000004</v>
      </c>
      <c r="AC1333" s="8">
        <f>Table3[[#This Row],[PrimaComercial Anual]]*Table3[[#This Row],[IT]]</f>
        <v>812.59199999999998</v>
      </c>
      <c r="AD1333" s="8">
        <f>Table3[[#This Row],[PrimaComercial Anual]]*Table3[[#This Row],[IVA]]</f>
        <v>3521.2320000000004</v>
      </c>
      <c r="AE1333" s="15">
        <f>Table3[[#This Row],[PrimaComercial Anual Asistencia]]</f>
        <v>27086.400000000001</v>
      </c>
      <c r="AG1333">
        <v>27086.400000000001</v>
      </c>
    </row>
    <row r="1334" spans="1:33" x14ac:dyDescent="0.25">
      <c r="A1334" t="s">
        <v>18</v>
      </c>
      <c r="B1334">
        <v>1750000</v>
      </c>
      <c r="C1334">
        <v>77</v>
      </c>
      <c r="D1334" s="2">
        <f>Table3[[#This Row],[PrimaTécnica]]-Table3[[#This Row],[PrimaTécnica]]*SUM(Table3[[#This Row],[Gastos Adm]:[Cobranza]])</f>
        <v>12362.0938856064</v>
      </c>
      <c r="E1334">
        <v>0</v>
      </c>
      <c r="F1334">
        <v>0.15</v>
      </c>
      <c r="G1334">
        <v>0.05</v>
      </c>
      <c r="H1334">
        <v>0.01</v>
      </c>
      <c r="I1334">
        <v>0.01</v>
      </c>
      <c r="J1334" s="8">
        <f>Table3[[#This Row],[PrimaTécnica]]*Table3[[#This Row],[Gastos Adm]]</f>
        <v>2377.3257472320001</v>
      </c>
      <c r="K1334" s="8">
        <f>Table3[[#This Row],[PrimaTécnica]]*Table3[[#This Row],[Utilidad]]</f>
        <v>792.44191574400008</v>
      </c>
      <c r="L1334" s="8">
        <f>Table3[[#This Row],[PrimaTécnica]]*Table3[[#This Row],[Marketing]]</f>
        <v>158.48838314880001</v>
      </c>
      <c r="M1334" s="8">
        <f>Table3[[#This Row],[PrimaTécnica]]*Table3[[#This Row],[Cobranza]]</f>
        <v>158.48838314880001</v>
      </c>
      <c r="N133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34">
        <v>21.84</v>
      </c>
      <c r="P1334">
        <v>54.6</v>
      </c>
      <c r="Q1334">
        <v>80.64</v>
      </c>
      <c r="R1334">
        <v>44.377200000000002</v>
      </c>
      <c r="S1334">
        <v>0.2</v>
      </c>
      <c r="T1334">
        <v>0.02</v>
      </c>
      <c r="U1334" s="8">
        <f>Table3[[#This Row],[PrimaNeta]]*Table3[[#This Row],[Comisión]]</f>
        <v>4012.5738787200007</v>
      </c>
      <c r="V1334" s="15">
        <f>Table3[[#This Row],[PrimaComercial Anual]]-Table3[[#This Row],[PrimaComercial Anual]]*SUM(Table3[[#This Row],[APS]:[IVA]])</f>
        <v>20062.869393600002</v>
      </c>
      <c r="W1334" s="2">
        <v>1.4800000000000001E-2</v>
      </c>
      <c r="X1334" s="2">
        <v>8.4501000000000007E-2</v>
      </c>
      <c r="Y1334">
        <v>0.03</v>
      </c>
      <c r="Z1334">
        <v>0.13</v>
      </c>
      <c r="AA1334" s="20">
        <f>Table3[[#This Row],[APS]]*Table3[[#This Row],[PrimaComercial Anual]]</f>
        <v>400.87872000000004</v>
      </c>
      <c r="AB1334" s="8">
        <f>Table3[[#This Row],[PrimaComercial Anual]]*Table3[[#This Row],[Recargo adicional]]</f>
        <v>2288.8278864000004</v>
      </c>
      <c r="AC1334" s="8">
        <f>Table3[[#This Row],[PrimaComercial Anual]]*Table3[[#This Row],[IT]]</f>
        <v>812.59199999999998</v>
      </c>
      <c r="AD1334" s="8">
        <f>Table3[[#This Row],[PrimaComercial Anual]]*Table3[[#This Row],[IVA]]</f>
        <v>3521.2320000000004</v>
      </c>
      <c r="AE1334" s="15">
        <f>Table3[[#This Row],[PrimaComercial Anual Asistencia]]</f>
        <v>27086.400000000001</v>
      </c>
      <c r="AG1334">
        <v>27086.400000000001</v>
      </c>
    </row>
    <row r="1335" spans="1:33" x14ac:dyDescent="0.25">
      <c r="A1335" t="s">
        <v>18</v>
      </c>
      <c r="B1335">
        <v>1750000</v>
      </c>
      <c r="C1335">
        <v>78</v>
      </c>
      <c r="D1335" s="2">
        <f>Table3[[#This Row],[PrimaTécnica]]-Table3[[#This Row],[PrimaTécnica]]*SUM(Table3[[#This Row],[Gastos Adm]:[Cobranza]])</f>
        <v>12362.0938856064</v>
      </c>
      <c r="E1335">
        <v>0</v>
      </c>
      <c r="F1335">
        <v>0.15</v>
      </c>
      <c r="G1335">
        <v>0.05</v>
      </c>
      <c r="H1335">
        <v>0.01</v>
      </c>
      <c r="I1335">
        <v>0.01</v>
      </c>
      <c r="J1335" s="8">
        <f>Table3[[#This Row],[PrimaTécnica]]*Table3[[#This Row],[Gastos Adm]]</f>
        <v>2377.3257472320001</v>
      </c>
      <c r="K1335" s="8">
        <f>Table3[[#This Row],[PrimaTécnica]]*Table3[[#This Row],[Utilidad]]</f>
        <v>792.44191574400008</v>
      </c>
      <c r="L1335" s="8">
        <f>Table3[[#This Row],[PrimaTécnica]]*Table3[[#This Row],[Marketing]]</f>
        <v>158.48838314880001</v>
      </c>
      <c r="M1335" s="8">
        <f>Table3[[#This Row],[PrimaTécnica]]*Table3[[#This Row],[Cobranza]]</f>
        <v>158.48838314880001</v>
      </c>
      <c r="N133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35">
        <v>21.84</v>
      </c>
      <c r="P1335">
        <v>54.6</v>
      </c>
      <c r="Q1335">
        <v>80.64</v>
      </c>
      <c r="R1335">
        <v>44.377200000000002</v>
      </c>
      <c r="S1335">
        <v>0.2</v>
      </c>
      <c r="T1335">
        <v>0.02</v>
      </c>
      <c r="U1335" s="8">
        <f>Table3[[#This Row],[PrimaNeta]]*Table3[[#This Row],[Comisión]]</f>
        <v>4012.5738787200007</v>
      </c>
      <c r="V1335" s="15">
        <f>Table3[[#This Row],[PrimaComercial Anual]]-Table3[[#This Row],[PrimaComercial Anual]]*SUM(Table3[[#This Row],[APS]:[IVA]])</f>
        <v>20062.869393600002</v>
      </c>
      <c r="W1335" s="2">
        <v>1.4800000000000001E-2</v>
      </c>
      <c r="X1335" s="2">
        <v>8.4501000000000007E-2</v>
      </c>
      <c r="Y1335">
        <v>0.03</v>
      </c>
      <c r="Z1335">
        <v>0.13</v>
      </c>
      <c r="AA1335" s="20">
        <f>Table3[[#This Row],[APS]]*Table3[[#This Row],[PrimaComercial Anual]]</f>
        <v>400.87872000000004</v>
      </c>
      <c r="AB1335" s="8">
        <f>Table3[[#This Row],[PrimaComercial Anual]]*Table3[[#This Row],[Recargo adicional]]</f>
        <v>2288.8278864000004</v>
      </c>
      <c r="AC1335" s="8">
        <f>Table3[[#This Row],[PrimaComercial Anual]]*Table3[[#This Row],[IT]]</f>
        <v>812.59199999999998</v>
      </c>
      <c r="AD1335" s="8">
        <f>Table3[[#This Row],[PrimaComercial Anual]]*Table3[[#This Row],[IVA]]</f>
        <v>3521.2320000000004</v>
      </c>
      <c r="AE1335" s="15">
        <f>Table3[[#This Row],[PrimaComercial Anual Asistencia]]</f>
        <v>27086.400000000001</v>
      </c>
      <c r="AG1335">
        <v>27086.400000000001</v>
      </c>
    </row>
    <row r="1336" spans="1:33" x14ac:dyDescent="0.25">
      <c r="A1336" t="s">
        <v>18</v>
      </c>
      <c r="B1336">
        <v>1750000</v>
      </c>
      <c r="C1336">
        <v>79</v>
      </c>
      <c r="D1336" s="2">
        <f>Table3[[#This Row],[PrimaTécnica]]-Table3[[#This Row],[PrimaTécnica]]*SUM(Table3[[#This Row],[Gastos Adm]:[Cobranza]])</f>
        <v>12362.0938856064</v>
      </c>
      <c r="E1336">
        <v>0</v>
      </c>
      <c r="F1336">
        <v>0.15</v>
      </c>
      <c r="G1336">
        <v>0.05</v>
      </c>
      <c r="H1336">
        <v>0.01</v>
      </c>
      <c r="I1336">
        <v>0.01</v>
      </c>
      <c r="J1336" s="8">
        <f>Table3[[#This Row],[PrimaTécnica]]*Table3[[#This Row],[Gastos Adm]]</f>
        <v>2377.3257472320001</v>
      </c>
      <c r="K1336" s="8">
        <f>Table3[[#This Row],[PrimaTécnica]]*Table3[[#This Row],[Utilidad]]</f>
        <v>792.44191574400008</v>
      </c>
      <c r="L1336" s="8">
        <f>Table3[[#This Row],[PrimaTécnica]]*Table3[[#This Row],[Marketing]]</f>
        <v>158.48838314880001</v>
      </c>
      <c r="M1336" s="8">
        <f>Table3[[#This Row],[PrimaTécnica]]*Table3[[#This Row],[Cobranza]]</f>
        <v>158.48838314880001</v>
      </c>
      <c r="N133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36">
        <v>21.84</v>
      </c>
      <c r="P1336">
        <v>54.6</v>
      </c>
      <c r="Q1336">
        <v>80.64</v>
      </c>
      <c r="R1336">
        <v>44.377200000000002</v>
      </c>
      <c r="S1336">
        <v>0.2</v>
      </c>
      <c r="T1336">
        <v>0.02</v>
      </c>
      <c r="U1336" s="8">
        <f>Table3[[#This Row],[PrimaNeta]]*Table3[[#This Row],[Comisión]]</f>
        <v>4012.5738787200007</v>
      </c>
      <c r="V1336" s="15">
        <f>Table3[[#This Row],[PrimaComercial Anual]]-Table3[[#This Row],[PrimaComercial Anual]]*SUM(Table3[[#This Row],[APS]:[IVA]])</f>
        <v>20062.869393600002</v>
      </c>
      <c r="W1336" s="2">
        <v>1.4800000000000001E-2</v>
      </c>
      <c r="X1336" s="2">
        <v>8.4501000000000007E-2</v>
      </c>
      <c r="Y1336">
        <v>0.03</v>
      </c>
      <c r="Z1336">
        <v>0.13</v>
      </c>
      <c r="AA1336" s="20">
        <f>Table3[[#This Row],[APS]]*Table3[[#This Row],[PrimaComercial Anual]]</f>
        <v>400.87872000000004</v>
      </c>
      <c r="AB1336" s="8">
        <f>Table3[[#This Row],[PrimaComercial Anual]]*Table3[[#This Row],[Recargo adicional]]</f>
        <v>2288.8278864000004</v>
      </c>
      <c r="AC1336" s="8">
        <f>Table3[[#This Row],[PrimaComercial Anual]]*Table3[[#This Row],[IT]]</f>
        <v>812.59199999999998</v>
      </c>
      <c r="AD1336" s="8">
        <f>Table3[[#This Row],[PrimaComercial Anual]]*Table3[[#This Row],[IVA]]</f>
        <v>3521.2320000000004</v>
      </c>
      <c r="AE1336" s="15">
        <f>Table3[[#This Row],[PrimaComercial Anual Asistencia]]</f>
        <v>27086.400000000001</v>
      </c>
      <c r="AG1336">
        <v>27086.400000000001</v>
      </c>
    </row>
    <row r="1337" spans="1:33" x14ac:dyDescent="0.25">
      <c r="A1337" t="s">
        <v>18</v>
      </c>
      <c r="B1337">
        <v>1750000</v>
      </c>
      <c r="C1337">
        <v>80</v>
      </c>
      <c r="D1337" s="2">
        <f>Table3[[#This Row],[PrimaTécnica]]-Table3[[#This Row],[PrimaTécnica]]*SUM(Table3[[#This Row],[Gastos Adm]:[Cobranza]])</f>
        <v>12362.0938856064</v>
      </c>
      <c r="E1337">
        <v>0</v>
      </c>
      <c r="F1337">
        <v>0.15</v>
      </c>
      <c r="G1337">
        <v>0.05</v>
      </c>
      <c r="H1337">
        <v>0.01</v>
      </c>
      <c r="I1337">
        <v>0.01</v>
      </c>
      <c r="J1337" s="8">
        <f>Table3[[#This Row],[PrimaTécnica]]*Table3[[#This Row],[Gastos Adm]]</f>
        <v>2377.3257472320001</v>
      </c>
      <c r="K1337" s="8">
        <f>Table3[[#This Row],[PrimaTécnica]]*Table3[[#This Row],[Utilidad]]</f>
        <v>792.44191574400008</v>
      </c>
      <c r="L1337" s="8">
        <f>Table3[[#This Row],[PrimaTécnica]]*Table3[[#This Row],[Marketing]]</f>
        <v>158.48838314880001</v>
      </c>
      <c r="M1337" s="8">
        <f>Table3[[#This Row],[PrimaTécnica]]*Table3[[#This Row],[Cobranza]]</f>
        <v>158.48838314880001</v>
      </c>
      <c r="N133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37">
        <v>21.84</v>
      </c>
      <c r="P1337">
        <v>54.6</v>
      </c>
      <c r="Q1337">
        <v>80.64</v>
      </c>
      <c r="R1337">
        <v>44.377200000000002</v>
      </c>
      <c r="S1337">
        <v>0.2</v>
      </c>
      <c r="T1337">
        <v>0.02</v>
      </c>
      <c r="U1337" s="8">
        <f>Table3[[#This Row],[PrimaNeta]]*Table3[[#This Row],[Comisión]]</f>
        <v>4012.5738787200007</v>
      </c>
      <c r="V1337" s="15">
        <f>Table3[[#This Row],[PrimaComercial Anual]]-Table3[[#This Row],[PrimaComercial Anual]]*SUM(Table3[[#This Row],[APS]:[IVA]])</f>
        <v>20062.869393600002</v>
      </c>
      <c r="W1337" s="2">
        <v>1.4800000000000001E-2</v>
      </c>
      <c r="X1337" s="2">
        <v>8.4501000000000007E-2</v>
      </c>
      <c r="Y1337">
        <v>0.03</v>
      </c>
      <c r="Z1337">
        <v>0.13</v>
      </c>
      <c r="AA1337" s="20">
        <f>Table3[[#This Row],[APS]]*Table3[[#This Row],[PrimaComercial Anual]]</f>
        <v>400.87872000000004</v>
      </c>
      <c r="AB1337" s="8">
        <f>Table3[[#This Row],[PrimaComercial Anual]]*Table3[[#This Row],[Recargo adicional]]</f>
        <v>2288.8278864000004</v>
      </c>
      <c r="AC1337" s="8">
        <f>Table3[[#This Row],[PrimaComercial Anual]]*Table3[[#This Row],[IT]]</f>
        <v>812.59199999999998</v>
      </c>
      <c r="AD1337" s="8">
        <f>Table3[[#This Row],[PrimaComercial Anual]]*Table3[[#This Row],[IVA]]</f>
        <v>3521.2320000000004</v>
      </c>
      <c r="AE1337" s="15">
        <f>Table3[[#This Row],[PrimaComercial Anual Asistencia]]</f>
        <v>27086.400000000001</v>
      </c>
      <c r="AG1337">
        <v>27086.400000000001</v>
      </c>
    </row>
    <row r="1338" spans="1:33" x14ac:dyDescent="0.25">
      <c r="A1338" t="s">
        <v>18</v>
      </c>
      <c r="B1338">
        <v>1750000</v>
      </c>
      <c r="C1338">
        <v>81</v>
      </c>
      <c r="D1338" s="2">
        <f>Table3[[#This Row],[PrimaTécnica]]-Table3[[#This Row],[PrimaTécnica]]*SUM(Table3[[#This Row],[Gastos Adm]:[Cobranza]])</f>
        <v>12362.0938856064</v>
      </c>
      <c r="E1338">
        <v>0</v>
      </c>
      <c r="F1338">
        <v>0.15</v>
      </c>
      <c r="G1338">
        <v>0.05</v>
      </c>
      <c r="H1338">
        <v>0.01</v>
      </c>
      <c r="I1338">
        <v>0.01</v>
      </c>
      <c r="J1338" s="8">
        <f>Table3[[#This Row],[PrimaTécnica]]*Table3[[#This Row],[Gastos Adm]]</f>
        <v>2377.3257472320001</v>
      </c>
      <c r="K1338" s="8">
        <f>Table3[[#This Row],[PrimaTécnica]]*Table3[[#This Row],[Utilidad]]</f>
        <v>792.44191574400008</v>
      </c>
      <c r="L1338" s="8">
        <f>Table3[[#This Row],[PrimaTécnica]]*Table3[[#This Row],[Marketing]]</f>
        <v>158.48838314880001</v>
      </c>
      <c r="M1338" s="8">
        <f>Table3[[#This Row],[PrimaTécnica]]*Table3[[#This Row],[Cobranza]]</f>
        <v>158.48838314880001</v>
      </c>
      <c r="N133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38">
        <v>21.84</v>
      </c>
      <c r="P1338">
        <v>54.6</v>
      </c>
      <c r="Q1338">
        <v>80.64</v>
      </c>
      <c r="R1338">
        <v>44.377200000000002</v>
      </c>
      <c r="S1338">
        <v>0.2</v>
      </c>
      <c r="T1338">
        <v>0.02</v>
      </c>
      <c r="U1338" s="8">
        <f>Table3[[#This Row],[PrimaNeta]]*Table3[[#This Row],[Comisión]]</f>
        <v>4012.5738787200007</v>
      </c>
      <c r="V1338" s="15">
        <f>Table3[[#This Row],[PrimaComercial Anual]]-Table3[[#This Row],[PrimaComercial Anual]]*SUM(Table3[[#This Row],[APS]:[IVA]])</f>
        <v>20062.869393600002</v>
      </c>
      <c r="W1338" s="2">
        <v>1.4800000000000001E-2</v>
      </c>
      <c r="X1338" s="2">
        <v>8.4501000000000007E-2</v>
      </c>
      <c r="Y1338">
        <v>0.03</v>
      </c>
      <c r="Z1338">
        <v>0.13</v>
      </c>
      <c r="AA1338" s="20">
        <f>Table3[[#This Row],[APS]]*Table3[[#This Row],[PrimaComercial Anual]]</f>
        <v>400.87872000000004</v>
      </c>
      <c r="AB1338" s="8">
        <f>Table3[[#This Row],[PrimaComercial Anual]]*Table3[[#This Row],[Recargo adicional]]</f>
        <v>2288.8278864000004</v>
      </c>
      <c r="AC1338" s="8">
        <f>Table3[[#This Row],[PrimaComercial Anual]]*Table3[[#This Row],[IT]]</f>
        <v>812.59199999999998</v>
      </c>
      <c r="AD1338" s="8">
        <f>Table3[[#This Row],[PrimaComercial Anual]]*Table3[[#This Row],[IVA]]</f>
        <v>3521.2320000000004</v>
      </c>
      <c r="AE1338" s="15">
        <f>Table3[[#This Row],[PrimaComercial Anual Asistencia]]</f>
        <v>27086.400000000001</v>
      </c>
      <c r="AG1338">
        <v>27086.400000000001</v>
      </c>
    </row>
    <row r="1339" spans="1:33" x14ac:dyDescent="0.25">
      <c r="A1339" t="s">
        <v>18</v>
      </c>
      <c r="B1339">
        <v>1750000</v>
      </c>
      <c r="C1339">
        <v>82</v>
      </c>
      <c r="D1339" s="2">
        <f>Table3[[#This Row],[PrimaTécnica]]-Table3[[#This Row],[PrimaTécnica]]*SUM(Table3[[#This Row],[Gastos Adm]:[Cobranza]])</f>
        <v>12362.0938856064</v>
      </c>
      <c r="E1339">
        <v>0</v>
      </c>
      <c r="F1339">
        <v>0.15</v>
      </c>
      <c r="G1339">
        <v>0.05</v>
      </c>
      <c r="H1339">
        <v>0.01</v>
      </c>
      <c r="I1339">
        <v>0.01</v>
      </c>
      <c r="J1339" s="8">
        <f>Table3[[#This Row],[PrimaTécnica]]*Table3[[#This Row],[Gastos Adm]]</f>
        <v>2377.3257472320001</v>
      </c>
      <c r="K1339" s="8">
        <f>Table3[[#This Row],[PrimaTécnica]]*Table3[[#This Row],[Utilidad]]</f>
        <v>792.44191574400008</v>
      </c>
      <c r="L1339" s="8">
        <f>Table3[[#This Row],[PrimaTécnica]]*Table3[[#This Row],[Marketing]]</f>
        <v>158.48838314880001</v>
      </c>
      <c r="M1339" s="8">
        <f>Table3[[#This Row],[PrimaTécnica]]*Table3[[#This Row],[Cobranza]]</f>
        <v>158.48838314880001</v>
      </c>
      <c r="N133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39">
        <v>21.84</v>
      </c>
      <c r="P1339">
        <v>54.6</v>
      </c>
      <c r="Q1339">
        <v>80.64</v>
      </c>
      <c r="R1339">
        <v>44.377200000000002</v>
      </c>
      <c r="S1339">
        <v>0.2</v>
      </c>
      <c r="T1339">
        <v>0.02</v>
      </c>
      <c r="U1339" s="8">
        <f>Table3[[#This Row],[PrimaNeta]]*Table3[[#This Row],[Comisión]]</f>
        <v>4012.5738787200007</v>
      </c>
      <c r="V1339" s="15">
        <f>Table3[[#This Row],[PrimaComercial Anual]]-Table3[[#This Row],[PrimaComercial Anual]]*SUM(Table3[[#This Row],[APS]:[IVA]])</f>
        <v>20062.869393600002</v>
      </c>
      <c r="W1339" s="2">
        <v>1.4800000000000001E-2</v>
      </c>
      <c r="X1339" s="2">
        <v>8.4501000000000007E-2</v>
      </c>
      <c r="Y1339">
        <v>0.03</v>
      </c>
      <c r="Z1339">
        <v>0.13</v>
      </c>
      <c r="AA1339" s="20">
        <f>Table3[[#This Row],[APS]]*Table3[[#This Row],[PrimaComercial Anual]]</f>
        <v>400.87872000000004</v>
      </c>
      <c r="AB1339" s="8">
        <f>Table3[[#This Row],[PrimaComercial Anual]]*Table3[[#This Row],[Recargo adicional]]</f>
        <v>2288.8278864000004</v>
      </c>
      <c r="AC1339" s="8">
        <f>Table3[[#This Row],[PrimaComercial Anual]]*Table3[[#This Row],[IT]]</f>
        <v>812.59199999999998</v>
      </c>
      <c r="AD1339" s="8">
        <f>Table3[[#This Row],[PrimaComercial Anual]]*Table3[[#This Row],[IVA]]</f>
        <v>3521.2320000000004</v>
      </c>
      <c r="AE1339" s="15">
        <f>Table3[[#This Row],[PrimaComercial Anual Asistencia]]</f>
        <v>27086.400000000001</v>
      </c>
      <c r="AG1339">
        <v>27086.400000000001</v>
      </c>
    </row>
    <row r="1340" spans="1:33" x14ac:dyDescent="0.25">
      <c r="A1340" t="s">
        <v>18</v>
      </c>
      <c r="B1340">
        <v>1750000</v>
      </c>
      <c r="C1340">
        <v>83</v>
      </c>
      <c r="D1340" s="2">
        <f>Table3[[#This Row],[PrimaTécnica]]-Table3[[#This Row],[PrimaTécnica]]*SUM(Table3[[#This Row],[Gastos Adm]:[Cobranza]])</f>
        <v>12362.0938856064</v>
      </c>
      <c r="E1340">
        <v>0</v>
      </c>
      <c r="F1340">
        <v>0.15</v>
      </c>
      <c r="G1340">
        <v>0.05</v>
      </c>
      <c r="H1340">
        <v>0.01</v>
      </c>
      <c r="I1340">
        <v>0.01</v>
      </c>
      <c r="J1340" s="8">
        <f>Table3[[#This Row],[PrimaTécnica]]*Table3[[#This Row],[Gastos Adm]]</f>
        <v>2377.3257472320001</v>
      </c>
      <c r="K1340" s="8">
        <f>Table3[[#This Row],[PrimaTécnica]]*Table3[[#This Row],[Utilidad]]</f>
        <v>792.44191574400008</v>
      </c>
      <c r="L1340" s="8">
        <f>Table3[[#This Row],[PrimaTécnica]]*Table3[[#This Row],[Marketing]]</f>
        <v>158.48838314880001</v>
      </c>
      <c r="M1340" s="8">
        <f>Table3[[#This Row],[PrimaTécnica]]*Table3[[#This Row],[Cobranza]]</f>
        <v>158.48838314880001</v>
      </c>
      <c r="N134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40">
        <v>21.84</v>
      </c>
      <c r="P1340">
        <v>54.6</v>
      </c>
      <c r="Q1340">
        <v>80.64</v>
      </c>
      <c r="R1340">
        <v>44.377200000000002</v>
      </c>
      <c r="S1340">
        <v>0.2</v>
      </c>
      <c r="T1340">
        <v>0.02</v>
      </c>
      <c r="U1340" s="8">
        <f>Table3[[#This Row],[PrimaNeta]]*Table3[[#This Row],[Comisión]]</f>
        <v>4012.5738787200007</v>
      </c>
      <c r="V1340" s="15">
        <f>Table3[[#This Row],[PrimaComercial Anual]]-Table3[[#This Row],[PrimaComercial Anual]]*SUM(Table3[[#This Row],[APS]:[IVA]])</f>
        <v>20062.869393600002</v>
      </c>
      <c r="W1340" s="2">
        <v>1.4800000000000001E-2</v>
      </c>
      <c r="X1340" s="2">
        <v>8.4501000000000007E-2</v>
      </c>
      <c r="Y1340">
        <v>0.03</v>
      </c>
      <c r="Z1340">
        <v>0.13</v>
      </c>
      <c r="AA1340" s="20">
        <f>Table3[[#This Row],[APS]]*Table3[[#This Row],[PrimaComercial Anual]]</f>
        <v>400.87872000000004</v>
      </c>
      <c r="AB1340" s="8">
        <f>Table3[[#This Row],[PrimaComercial Anual]]*Table3[[#This Row],[Recargo adicional]]</f>
        <v>2288.8278864000004</v>
      </c>
      <c r="AC1340" s="8">
        <f>Table3[[#This Row],[PrimaComercial Anual]]*Table3[[#This Row],[IT]]</f>
        <v>812.59199999999998</v>
      </c>
      <c r="AD1340" s="8">
        <f>Table3[[#This Row],[PrimaComercial Anual]]*Table3[[#This Row],[IVA]]</f>
        <v>3521.2320000000004</v>
      </c>
      <c r="AE1340" s="15">
        <f>Table3[[#This Row],[PrimaComercial Anual Asistencia]]</f>
        <v>27086.400000000001</v>
      </c>
      <c r="AG1340">
        <v>27086.400000000001</v>
      </c>
    </row>
    <row r="1341" spans="1:33" x14ac:dyDescent="0.25">
      <c r="A1341" t="s">
        <v>18</v>
      </c>
      <c r="B1341">
        <v>1750000</v>
      </c>
      <c r="C1341">
        <v>84</v>
      </c>
      <c r="D1341" s="2">
        <f>Table3[[#This Row],[PrimaTécnica]]-Table3[[#This Row],[PrimaTécnica]]*SUM(Table3[[#This Row],[Gastos Adm]:[Cobranza]])</f>
        <v>12362.0938856064</v>
      </c>
      <c r="E1341">
        <v>0</v>
      </c>
      <c r="F1341">
        <v>0.15</v>
      </c>
      <c r="G1341">
        <v>0.05</v>
      </c>
      <c r="H1341">
        <v>0.01</v>
      </c>
      <c r="I1341">
        <v>0.01</v>
      </c>
      <c r="J1341" s="8">
        <f>Table3[[#This Row],[PrimaTécnica]]*Table3[[#This Row],[Gastos Adm]]</f>
        <v>2377.3257472320001</v>
      </c>
      <c r="K1341" s="8">
        <f>Table3[[#This Row],[PrimaTécnica]]*Table3[[#This Row],[Utilidad]]</f>
        <v>792.44191574400008</v>
      </c>
      <c r="L1341" s="8">
        <f>Table3[[#This Row],[PrimaTécnica]]*Table3[[#This Row],[Marketing]]</f>
        <v>158.48838314880001</v>
      </c>
      <c r="M1341" s="8">
        <f>Table3[[#This Row],[PrimaTécnica]]*Table3[[#This Row],[Cobranza]]</f>
        <v>158.48838314880001</v>
      </c>
      <c r="N134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41">
        <v>21.84</v>
      </c>
      <c r="P1341">
        <v>54.6</v>
      </c>
      <c r="Q1341">
        <v>80.64</v>
      </c>
      <c r="R1341">
        <v>44.377200000000002</v>
      </c>
      <c r="S1341">
        <v>0.2</v>
      </c>
      <c r="T1341">
        <v>0.02</v>
      </c>
      <c r="U1341" s="8">
        <f>Table3[[#This Row],[PrimaNeta]]*Table3[[#This Row],[Comisión]]</f>
        <v>4012.5738787200007</v>
      </c>
      <c r="V1341" s="15">
        <f>Table3[[#This Row],[PrimaComercial Anual]]-Table3[[#This Row],[PrimaComercial Anual]]*SUM(Table3[[#This Row],[APS]:[IVA]])</f>
        <v>20062.869393600002</v>
      </c>
      <c r="W1341" s="2">
        <v>1.4800000000000001E-2</v>
      </c>
      <c r="X1341" s="2">
        <v>8.4501000000000007E-2</v>
      </c>
      <c r="Y1341">
        <v>0.03</v>
      </c>
      <c r="Z1341">
        <v>0.13</v>
      </c>
      <c r="AA1341" s="20">
        <f>Table3[[#This Row],[APS]]*Table3[[#This Row],[PrimaComercial Anual]]</f>
        <v>400.87872000000004</v>
      </c>
      <c r="AB1341" s="8">
        <f>Table3[[#This Row],[PrimaComercial Anual]]*Table3[[#This Row],[Recargo adicional]]</f>
        <v>2288.8278864000004</v>
      </c>
      <c r="AC1341" s="8">
        <f>Table3[[#This Row],[PrimaComercial Anual]]*Table3[[#This Row],[IT]]</f>
        <v>812.59199999999998</v>
      </c>
      <c r="AD1341" s="8">
        <f>Table3[[#This Row],[PrimaComercial Anual]]*Table3[[#This Row],[IVA]]</f>
        <v>3521.2320000000004</v>
      </c>
      <c r="AE1341" s="15">
        <f>Table3[[#This Row],[PrimaComercial Anual Asistencia]]</f>
        <v>27086.400000000001</v>
      </c>
      <c r="AG1341">
        <v>27086.400000000001</v>
      </c>
    </row>
    <row r="1342" spans="1:33" x14ac:dyDescent="0.25">
      <c r="A1342" t="s">
        <v>18</v>
      </c>
      <c r="B1342">
        <v>1750000</v>
      </c>
      <c r="C1342">
        <v>85</v>
      </c>
      <c r="D1342" s="2">
        <f>Table3[[#This Row],[PrimaTécnica]]-Table3[[#This Row],[PrimaTécnica]]*SUM(Table3[[#This Row],[Gastos Adm]:[Cobranza]])</f>
        <v>12362.0938856064</v>
      </c>
      <c r="E1342">
        <v>0</v>
      </c>
      <c r="F1342">
        <v>0.15</v>
      </c>
      <c r="G1342">
        <v>0.05</v>
      </c>
      <c r="H1342">
        <v>0.01</v>
      </c>
      <c r="I1342">
        <v>0.01</v>
      </c>
      <c r="J1342" s="8">
        <f>Table3[[#This Row],[PrimaTécnica]]*Table3[[#This Row],[Gastos Adm]]</f>
        <v>2377.3257472320001</v>
      </c>
      <c r="K1342" s="8">
        <f>Table3[[#This Row],[PrimaTécnica]]*Table3[[#This Row],[Utilidad]]</f>
        <v>792.44191574400008</v>
      </c>
      <c r="L1342" s="8">
        <f>Table3[[#This Row],[PrimaTécnica]]*Table3[[#This Row],[Marketing]]</f>
        <v>158.48838314880001</v>
      </c>
      <c r="M1342" s="8">
        <f>Table3[[#This Row],[PrimaTécnica]]*Table3[[#This Row],[Cobranza]]</f>
        <v>158.48838314880001</v>
      </c>
      <c r="N134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42">
        <v>21.84</v>
      </c>
      <c r="P1342">
        <v>54.6</v>
      </c>
      <c r="Q1342">
        <v>80.64</v>
      </c>
      <c r="R1342">
        <v>44.377200000000002</v>
      </c>
      <c r="S1342">
        <v>0.2</v>
      </c>
      <c r="T1342">
        <v>0.02</v>
      </c>
      <c r="U1342" s="8">
        <f>Table3[[#This Row],[PrimaNeta]]*Table3[[#This Row],[Comisión]]</f>
        <v>4012.5738787200007</v>
      </c>
      <c r="V1342" s="15">
        <f>Table3[[#This Row],[PrimaComercial Anual]]-Table3[[#This Row],[PrimaComercial Anual]]*SUM(Table3[[#This Row],[APS]:[IVA]])</f>
        <v>20062.869393600002</v>
      </c>
      <c r="W1342" s="2">
        <v>1.4800000000000001E-2</v>
      </c>
      <c r="X1342" s="2">
        <v>8.4501000000000007E-2</v>
      </c>
      <c r="Y1342">
        <v>0.03</v>
      </c>
      <c r="Z1342">
        <v>0.13</v>
      </c>
      <c r="AA1342" s="20">
        <f>Table3[[#This Row],[APS]]*Table3[[#This Row],[PrimaComercial Anual]]</f>
        <v>400.87872000000004</v>
      </c>
      <c r="AB1342" s="8">
        <f>Table3[[#This Row],[PrimaComercial Anual]]*Table3[[#This Row],[Recargo adicional]]</f>
        <v>2288.8278864000004</v>
      </c>
      <c r="AC1342" s="8">
        <f>Table3[[#This Row],[PrimaComercial Anual]]*Table3[[#This Row],[IT]]</f>
        <v>812.59199999999998</v>
      </c>
      <c r="AD1342" s="8">
        <f>Table3[[#This Row],[PrimaComercial Anual]]*Table3[[#This Row],[IVA]]</f>
        <v>3521.2320000000004</v>
      </c>
      <c r="AE1342" s="15">
        <f>Table3[[#This Row],[PrimaComercial Anual Asistencia]]</f>
        <v>27086.400000000001</v>
      </c>
      <c r="AG1342">
        <v>27086.400000000001</v>
      </c>
    </row>
    <row r="1343" spans="1:33" x14ac:dyDescent="0.25">
      <c r="A1343" t="s">
        <v>18</v>
      </c>
      <c r="B1343">
        <v>1750000</v>
      </c>
      <c r="C1343">
        <v>86</v>
      </c>
      <c r="D1343" s="2">
        <f>Table3[[#This Row],[PrimaTécnica]]-Table3[[#This Row],[PrimaTécnica]]*SUM(Table3[[#This Row],[Gastos Adm]:[Cobranza]])</f>
        <v>12362.0938856064</v>
      </c>
      <c r="E1343">
        <v>0</v>
      </c>
      <c r="F1343">
        <v>0.15</v>
      </c>
      <c r="G1343">
        <v>0.05</v>
      </c>
      <c r="H1343">
        <v>0.01</v>
      </c>
      <c r="I1343">
        <v>0.01</v>
      </c>
      <c r="J1343" s="8">
        <f>Table3[[#This Row],[PrimaTécnica]]*Table3[[#This Row],[Gastos Adm]]</f>
        <v>2377.3257472320001</v>
      </c>
      <c r="K1343" s="8">
        <f>Table3[[#This Row],[PrimaTécnica]]*Table3[[#This Row],[Utilidad]]</f>
        <v>792.44191574400008</v>
      </c>
      <c r="L1343" s="8">
        <f>Table3[[#This Row],[PrimaTécnica]]*Table3[[#This Row],[Marketing]]</f>
        <v>158.48838314880001</v>
      </c>
      <c r="M1343" s="8">
        <f>Table3[[#This Row],[PrimaTécnica]]*Table3[[#This Row],[Cobranza]]</f>
        <v>158.48838314880001</v>
      </c>
      <c r="N134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43">
        <v>21.84</v>
      </c>
      <c r="P1343">
        <v>54.6</v>
      </c>
      <c r="Q1343">
        <v>80.64</v>
      </c>
      <c r="R1343">
        <v>44.377200000000002</v>
      </c>
      <c r="S1343">
        <v>0.2</v>
      </c>
      <c r="T1343">
        <v>0.02</v>
      </c>
      <c r="U1343" s="8">
        <f>Table3[[#This Row],[PrimaNeta]]*Table3[[#This Row],[Comisión]]</f>
        <v>4012.5738787200007</v>
      </c>
      <c r="V1343" s="15">
        <f>Table3[[#This Row],[PrimaComercial Anual]]-Table3[[#This Row],[PrimaComercial Anual]]*SUM(Table3[[#This Row],[APS]:[IVA]])</f>
        <v>20062.869393600002</v>
      </c>
      <c r="W1343" s="2">
        <v>1.4800000000000001E-2</v>
      </c>
      <c r="X1343" s="2">
        <v>8.4501000000000007E-2</v>
      </c>
      <c r="Y1343">
        <v>0.03</v>
      </c>
      <c r="Z1343">
        <v>0.13</v>
      </c>
      <c r="AA1343" s="20">
        <f>Table3[[#This Row],[APS]]*Table3[[#This Row],[PrimaComercial Anual]]</f>
        <v>400.87872000000004</v>
      </c>
      <c r="AB1343" s="8">
        <f>Table3[[#This Row],[PrimaComercial Anual]]*Table3[[#This Row],[Recargo adicional]]</f>
        <v>2288.8278864000004</v>
      </c>
      <c r="AC1343" s="8">
        <f>Table3[[#This Row],[PrimaComercial Anual]]*Table3[[#This Row],[IT]]</f>
        <v>812.59199999999998</v>
      </c>
      <c r="AD1343" s="8">
        <f>Table3[[#This Row],[PrimaComercial Anual]]*Table3[[#This Row],[IVA]]</f>
        <v>3521.2320000000004</v>
      </c>
      <c r="AE1343" s="15">
        <f>Table3[[#This Row],[PrimaComercial Anual Asistencia]]</f>
        <v>27086.400000000001</v>
      </c>
      <c r="AG1343">
        <v>27086.400000000001</v>
      </c>
    </row>
    <row r="1344" spans="1:33" x14ac:dyDescent="0.25">
      <c r="A1344" t="s">
        <v>18</v>
      </c>
      <c r="B1344">
        <v>1750000</v>
      </c>
      <c r="C1344">
        <v>87</v>
      </c>
      <c r="D1344" s="2">
        <f>Table3[[#This Row],[PrimaTécnica]]-Table3[[#This Row],[PrimaTécnica]]*SUM(Table3[[#This Row],[Gastos Adm]:[Cobranza]])</f>
        <v>12362.0938856064</v>
      </c>
      <c r="E1344">
        <v>0</v>
      </c>
      <c r="F1344">
        <v>0.15</v>
      </c>
      <c r="G1344">
        <v>0.05</v>
      </c>
      <c r="H1344">
        <v>0.01</v>
      </c>
      <c r="I1344">
        <v>0.01</v>
      </c>
      <c r="J1344" s="8">
        <f>Table3[[#This Row],[PrimaTécnica]]*Table3[[#This Row],[Gastos Adm]]</f>
        <v>2377.3257472320001</v>
      </c>
      <c r="K1344" s="8">
        <f>Table3[[#This Row],[PrimaTécnica]]*Table3[[#This Row],[Utilidad]]</f>
        <v>792.44191574400008</v>
      </c>
      <c r="L1344" s="8">
        <f>Table3[[#This Row],[PrimaTécnica]]*Table3[[#This Row],[Marketing]]</f>
        <v>158.48838314880001</v>
      </c>
      <c r="M1344" s="8">
        <f>Table3[[#This Row],[PrimaTécnica]]*Table3[[#This Row],[Cobranza]]</f>
        <v>158.48838314880001</v>
      </c>
      <c r="N134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44">
        <v>21.84</v>
      </c>
      <c r="P1344">
        <v>54.6</v>
      </c>
      <c r="Q1344">
        <v>80.64</v>
      </c>
      <c r="R1344">
        <v>44.377200000000002</v>
      </c>
      <c r="S1344">
        <v>0.2</v>
      </c>
      <c r="T1344">
        <v>0.02</v>
      </c>
      <c r="U1344" s="8">
        <f>Table3[[#This Row],[PrimaNeta]]*Table3[[#This Row],[Comisión]]</f>
        <v>4012.5738787200007</v>
      </c>
      <c r="V1344" s="15">
        <f>Table3[[#This Row],[PrimaComercial Anual]]-Table3[[#This Row],[PrimaComercial Anual]]*SUM(Table3[[#This Row],[APS]:[IVA]])</f>
        <v>20062.869393600002</v>
      </c>
      <c r="W1344" s="2">
        <v>1.4800000000000001E-2</v>
      </c>
      <c r="X1344" s="2">
        <v>8.4501000000000007E-2</v>
      </c>
      <c r="Y1344">
        <v>0.03</v>
      </c>
      <c r="Z1344">
        <v>0.13</v>
      </c>
      <c r="AA1344" s="20">
        <f>Table3[[#This Row],[APS]]*Table3[[#This Row],[PrimaComercial Anual]]</f>
        <v>400.87872000000004</v>
      </c>
      <c r="AB1344" s="8">
        <f>Table3[[#This Row],[PrimaComercial Anual]]*Table3[[#This Row],[Recargo adicional]]</f>
        <v>2288.8278864000004</v>
      </c>
      <c r="AC1344" s="8">
        <f>Table3[[#This Row],[PrimaComercial Anual]]*Table3[[#This Row],[IT]]</f>
        <v>812.59199999999998</v>
      </c>
      <c r="AD1344" s="8">
        <f>Table3[[#This Row],[PrimaComercial Anual]]*Table3[[#This Row],[IVA]]</f>
        <v>3521.2320000000004</v>
      </c>
      <c r="AE1344" s="15">
        <f>Table3[[#This Row],[PrimaComercial Anual Asistencia]]</f>
        <v>27086.400000000001</v>
      </c>
      <c r="AG1344">
        <v>27086.400000000001</v>
      </c>
    </row>
    <row r="1345" spans="1:33" x14ac:dyDescent="0.25">
      <c r="A1345" t="s">
        <v>18</v>
      </c>
      <c r="B1345">
        <v>1750000</v>
      </c>
      <c r="C1345">
        <v>88</v>
      </c>
      <c r="D1345" s="2">
        <f>Table3[[#This Row],[PrimaTécnica]]-Table3[[#This Row],[PrimaTécnica]]*SUM(Table3[[#This Row],[Gastos Adm]:[Cobranza]])</f>
        <v>12362.0938856064</v>
      </c>
      <c r="E1345">
        <v>0</v>
      </c>
      <c r="F1345">
        <v>0.15</v>
      </c>
      <c r="G1345">
        <v>0.05</v>
      </c>
      <c r="H1345">
        <v>0.01</v>
      </c>
      <c r="I1345">
        <v>0.01</v>
      </c>
      <c r="J1345" s="8">
        <f>Table3[[#This Row],[PrimaTécnica]]*Table3[[#This Row],[Gastos Adm]]</f>
        <v>2377.3257472320001</v>
      </c>
      <c r="K1345" s="8">
        <f>Table3[[#This Row],[PrimaTécnica]]*Table3[[#This Row],[Utilidad]]</f>
        <v>792.44191574400008</v>
      </c>
      <c r="L1345" s="8">
        <f>Table3[[#This Row],[PrimaTécnica]]*Table3[[#This Row],[Marketing]]</f>
        <v>158.48838314880001</v>
      </c>
      <c r="M1345" s="8">
        <f>Table3[[#This Row],[PrimaTécnica]]*Table3[[#This Row],[Cobranza]]</f>
        <v>158.48838314880001</v>
      </c>
      <c r="N134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45">
        <v>21.84</v>
      </c>
      <c r="P1345">
        <v>54.6</v>
      </c>
      <c r="Q1345">
        <v>80.64</v>
      </c>
      <c r="R1345">
        <v>44.377200000000002</v>
      </c>
      <c r="S1345">
        <v>0.2</v>
      </c>
      <c r="T1345">
        <v>0.02</v>
      </c>
      <c r="U1345" s="8">
        <f>Table3[[#This Row],[PrimaNeta]]*Table3[[#This Row],[Comisión]]</f>
        <v>4012.5738787200007</v>
      </c>
      <c r="V1345" s="15">
        <f>Table3[[#This Row],[PrimaComercial Anual]]-Table3[[#This Row],[PrimaComercial Anual]]*SUM(Table3[[#This Row],[APS]:[IVA]])</f>
        <v>20062.869393600002</v>
      </c>
      <c r="W1345" s="2">
        <v>1.4800000000000001E-2</v>
      </c>
      <c r="X1345" s="2">
        <v>8.4501000000000007E-2</v>
      </c>
      <c r="Y1345">
        <v>0.03</v>
      </c>
      <c r="Z1345">
        <v>0.13</v>
      </c>
      <c r="AA1345" s="20">
        <f>Table3[[#This Row],[APS]]*Table3[[#This Row],[PrimaComercial Anual]]</f>
        <v>400.87872000000004</v>
      </c>
      <c r="AB1345" s="8">
        <f>Table3[[#This Row],[PrimaComercial Anual]]*Table3[[#This Row],[Recargo adicional]]</f>
        <v>2288.8278864000004</v>
      </c>
      <c r="AC1345" s="8">
        <f>Table3[[#This Row],[PrimaComercial Anual]]*Table3[[#This Row],[IT]]</f>
        <v>812.59199999999998</v>
      </c>
      <c r="AD1345" s="8">
        <f>Table3[[#This Row],[PrimaComercial Anual]]*Table3[[#This Row],[IVA]]</f>
        <v>3521.2320000000004</v>
      </c>
      <c r="AE1345" s="15">
        <f>Table3[[#This Row],[PrimaComercial Anual Asistencia]]</f>
        <v>27086.400000000001</v>
      </c>
      <c r="AG1345">
        <v>27086.400000000001</v>
      </c>
    </row>
    <row r="1346" spans="1:33" x14ac:dyDescent="0.25">
      <c r="A1346" t="s">
        <v>18</v>
      </c>
      <c r="B1346">
        <v>1750000</v>
      </c>
      <c r="C1346">
        <v>89</v>
      </c>
      <c r="D1346" s="2">
        <f>Table3[[#This Row],[PrimaTécnica]]-Table3[[#This Row],[PrimaTécnica]]*SUM(Table3[[#This Row],[Gastos Adm]:[Cobranza]])</f>
        <v>12362.0938856064</v>
      </c>
      <c r="E1346">
        <v>0</v>
      </c>
      <c r="F1346">
        <v>0.15</v>
      </c>
      <c r="G1346">
        <v>0.05</v>
      </c>
      <c r="H1346">
        <v>0.01</v>
      </c>
      <c r="I1346">
        <v>0.01</v>
      </c>
      <c r="J1346" s="8">
        <f>Table3[[#This Row],[PrimaTécnica]]*Table3[[#This Row],[Gastos Adm]]</f>
        <v>2377.3257472320001</v>
      </c>
      <c r="K1346" s="8">
        <f>Table3[[#This Row],[PrimaTécnica]]*Table3[[#This Row],[Utilidad]]</f>
        <v>792.44191574400008</v>
      </c>
      <c r="L1346" s="8">
        <f>Table3[[#This Row],[PrimaTécnica]]*Table3[[#This Row],[Marketing]]</f>
        <v>158.48838314880001</v>
      </c>
      <c r="M1346" s="8">
        <f>Table3[[#This Row],[PrimaTécnica]]*Table3[[#This Row],[Cobranza]]</f>
        <v>158.48838314880001</v>
      </c>
      <c r="N134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46">
        <v>21.84</v>
      </c>
      <c r="P1346">
        <v>54.6</v>
      </c>
      <c r="Q1346">
        <v>80.64</v>
      </c>
      <c r="R1346">
        <v>44.377200000000002</v>
      </c>
      <c r="S1346">
        <v>0.2</v>
      </c>
      <c r="T1346">
        <v>0.02</v>
      </c>
      <c r="U1346" s="8">
        <f>Table3[[#This Row],[PrimaNeta]]*Table3[[#This Row],[Comisión]]</f>
        <v>4012.5738787200007</v>
      </c>
      <c r="V1346" s="15">
        <f>Table3[[#This Row],[PrimaComercial Anual]]-Table3[[#This Row],[PrimaComercial Anual]]*SUM(Table3[[#This Row],[APS]:[IVA]])</f>
        <v>20062.869393600002</v>
      </c>
      <c r="W1346" s="2">
        <v>1.4800000000000001E-2</v>
      </c>
      <c r="X1346" s="2">
        <v>8.4501000000000007E-2</v>
      </c>
      <c r="Y1346">
        <v>0.03</v>
      </c>
      <c r="Z1346">
        <v>0.13</v>
      </c>
      <c r="AA1346" s="20">
        <f>Table3[[#This Row],[APS]]*Table3[[#This Row],[PrimaComercial Anual]]</f>
        <v>400.87872000000004</v>
      </c>
      <c r="AB1346" s="8">
        <f>Table3[[#This Row],[PrimaComercial Anual]]*Table3[[#This Row],[Recargo adicional]]</f>
        <v>2288.8278864000004</v>
      </c>
      <c r="AC1346" s="8">
        <f>Table3[[#This Row],[PrimaComercial Anual]]*Table3[[#This Row],[IT]]</f>
        <v>812.59199999999998</v>
      </c>
      <c r="AD1346" s="8">
        <f>Table3[[#This Row],[PrimaComercial Anual]]*Table3[[#This Row],[IVA]]</f>
        <v>3521.2320000000004</v>
      </c>
      <c r="AE1346" s="15">
        <f>Table3[[#This Row],[PrimaComercial Anual Asistencia]]</f>
        <v>27086.400000000001</v>
      </c>
      <c r="AG1346">
        <v>27086.400000000001</v>
      </c>
    </row>
    <row r="1347" spans="1:33" x14ac:dyDescent="0.25">
      <c r="A1347" t="s">
        <v>18</v>
      </c>
      <c r="B1347">
        <v>1750000</v>
      </c>
      <c r="C1347">
        <v>90</v>
      </c>
      <c r="D1347" s="2">
        <f>Table3[[#This Row],[PrimaTécnica]]-Table3[[#This Row],[PrimaTécnica]]*SUM(Table3[[#This Row],[Gastos Adm]:[Cobranza]])</f>
        <v>12362.0938856064</v>
      </c>
      <c r="E1347">
        <v>0</v>
      </c>
      <c r="F1347">
        <v>0.15</v>
      </c>
      <c r="G1347">
        <v>0.05</v>
      </c>
      <c r="H1347">
        <v>0.01</v>
      </c>
      <c r="I1347">
        <v>0.01</v>
      </c>
      <c r="J1347" s="8">
        <f>Table3[[#This Row],[PrimaTécnica]]*Table3[[#This Row],[Gastos Adm]]</f>
        <v>2377.3257472320001</v>
      </c>
      <c r="K1347" s="8">
        <f>Table3[[#This Row],[PrimaTécnica]]*Table3[[#This Row],[Utilidad]]</f>
        <v>792.44191574400008</v>
      </c>
      <c r="L1347" s="8">
        <f>Table3[[#This Row],[PrimaTécnica]]*Table3[[#This Row],[Marketing]]</f>
        <v>158.48838314880001</v>
      </c>
      <c r="M1347" s="8">
        <f>Table3[[#This Row],[PrimaTécnica]]*Table3[[#This Row],[Cobranza]]</f>
        <v>158.48838314880001</v>
      </c>
      <c r="N134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47">
        <v>21.84</v>
      </c>
      <c r="P1347">
        <v>54.6</v>
      </c>
      <c r="Q1347">
        <v>80.64</v>
      </c>
      <c r="R1347">
        <v>44.377200000000002</v>
      </c>
      <c r="S1347">
        <v>0.2</v>
      </c>
      <c r="T1347">
        <v>0.02</v>
      </c>
      <c r="U1347" s="8">
        <f>Table3[[#This Row],[PrimaNeta]]*Table3[[#This Row],[Comisión]]</f>
        <v>4012.5738787200007</v>
      </c>
      <c r="V1347" s="15">
        <f>Table3[[#This Row],[PrimaComercial Anual]]-Table3[[#This Row],[PrimaComercial Anual]]*SUM(Table3[[#This Row],[APS]:[IVA]])</f>
        <v>20062.869393600002</v>
      </c>
      <c r="W1347" s="2">
        <v>1.4800000000000001E-2</v>
      </c>
      <c r="X1347" s="2">
        <v>8.4501000000000007E-2</v>
      </c>
      <c r="Y1347">
        <v>0.03</v>
      </c>
      <c r="Z1347">
        <v>0.13</v>
      </c>
      <c r="AA1347" s="20">
        <f>Table3[[#This Row],[APS]]*Table3[[#This Row],[PrimaComercial Anual]]</f>
        <v>400.87872000000004</v>
      </c>
      <c r="AB1347" s="8">
        <f>Table3[[#This Row],[PrimaComercial Anual]]*Table3[[#This Row],[Recargo adicional]]</f>
        <v>2288.8278864000004</v>
      </c>
      <c r="AC1347" s="8">
        <f>Table3[[#This Row],[PrimaComercial Anual]]*Table3[[#This Row],[IT]]</f>
        <v>812.59199999999998</v>
      </c>
      <c r="AD1347" s="8">
        <f>Table3[[#This Row],[PrimaComercial Anual]]*Table3[[#This Row],[IVA]]</f>
        <v>3521.2320000000004</v>
      </c>
      <c r="AE1347" s="15">
        <f>Table3[[#This Row],[PrimaComercial Anual Asistencia]]</f>
        <v>27086.400000000001</v>
      </c>
      <c r="AG1347">
        <v>27086.400000000001</v>
      </c>
    </row>
    <row r="1348" spans="1:33" x14ac:dyDescent="0.25">
      <c r="A1348" t="s">
        <v>18</v>
      </c>
      <c r="B1348">
        <v>1750000</v>
      </c>
      <c r="C1348">
        <v>91</v>
      </c>
      <c r="D1348" s="2">
        <f>Table3[[#This Row],[PrimaTécnica]]-Table3[[#This Row],[PrimaTécnica]]*SUM(Table3[[#This Row],[Gastos Adm]:[Cobranza]])</f>
        <v>12362.0938856064</v>
      </c>
      <c r="E1348">
        <v>0</v>
      </c>
      <c r="F1348">
        <v>0.15</v>
      </c>
      <c r="G1348">
        <v>0.05</v>
      </c>
      <c r="H1348">
        <v>0.01</v>
      </c>
      <c r="I1348">
        <v>0.01</v>
      </c>
      <c r="J1348" s="8">
        <f>Table3[[#This Row],[PrimaTécnica]]*Table3[[#This Row],[Gastos Adm]]</f>
        <v>2377.3257472320001</v>
      </c>
      <c r="K1348" s="8">
        <f>Table3[[#This Row],[PrimaTécnica]]*Table3[[#This Row],[Utilidad]]</f>
        <v>792.44191574400008</v>
      </c>
      <c r="L1348" s="8">
        <f>Table3[[#This Row],[PrimaTécnica]]*Table3[[#This Row],[Marketing]]</f>
        <v>158.48838314880001</v>
      </c>
      <c r="M1348" s="8">
        <f>Table3[[#This Row],[PrimaTécnica]]*Table3[[#This Row],[Cobranza]]</f>
        <v>158.48838314880001</v>
      </c>
      <c r="N134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48">
        <v>21.84</v>
      </c>
      <c r="P1348">
        <v>54.6</v>
      </c>
      <c r="Q1348">
        <v>80.64</v>
      </c>
      <c r="R1348">
        <v>44.377200000000002</v>
      </c>
      <c r="S1348">
        <v>0.2</v>
      </c>
      <c r="T1348">
        <v>0.02</v>
      </c>
      <c r="U1348" s="8">
        <f>Table3[[#This Row],[PrimaNeta]]*Table3[[#This Row],[Comisión]]</f>
        <v>4012.5738787200007</v>
      </c>
      <c r="V1348" s="15">
        <f>Table3[[#This Row],[PrimaComercial Anual]]-Table3[[#This Row],[PrimaComercial Anual]]*SUM(Table3[[#This Row],[APS]:[IVA]])</f>
        <v>20062.869393600002</v>
      </c>
      <c r="W1348" s="2">
        <v>1.4800000000000001E-2</v>
      </c>
      <c r="X1348" s="2">
        <v>8.4501000000000007E-2</v>
      </c>
      <c r="Y1348">
        <v>0.03</v>
      </c>
      <c r="Z1348">
        <v>0.13</v>
      </c>
      <c r="AA1348" s="20">
        <f>Table3[[#This Row],[APS]]*Table3[[#This Row],[PrimaComercial Anual]]</f>
        <v>400.87872000000004</v>
      </c>
      <c r="AB1348" s="8">
        <f>Table3[[#This Row],[PrimaComercial Anual]]*Table3[[#This Row],[Recargo adicional]]</f>
        <v>2288.8278864000004</v>
      </c>
      <c r="AC1348" s="8">
        <f>Table3[[#This Row],[PrimaComercial Anual]]*Table3[[#This Row],[IT]]</f>
        <v>812.59199999999998</v>
      </c>
      <c r="AD1348" s="8">
        <f>Table3[[#This Row],[PrimaComercial Anual]]*Table3[[#This Row],[IVA]]</f>
        <v>3521.2320000000004</v>
      </c>
      <c r="AE1348" s="15">
        <f>Table3[[#This Row],[PrimaComercial Anual Asistencia]]</f>
        <v>27086.400000000001</v>
      </c>
      <c r="AG1348">
        <v>27086.400000000001</v>
      </c>
    </row>
    <row r="1349" spans="1:33" x14ac:dyDescent="0.25">
      <c r="A1349" t="s">
        <v>18</v>
      </c>
      <c r="B1349">
        <v>1750000</v>
      </c>
      <c r="C1349">
        <v>92</v>
      </c>
      <c r="D1349" s="2">
        <f>Table3[[#This Row],[PrimaTécnica]]-Table3[[#This Row],[PrimaTécnica]]*SUM(Table3[[#This Row],[Gastos Adm]:[Cobranza]])</f>
        <v>12362.0938856064</v>
      </c>
      <c r="E1349">
        <v>0</v>
      </c>
      <c r="F1349">
        <v>0.15</v>
      </c>
      <c r="G1349">
        <v>0.05</v>
      </c>
      <c r="H1349">
        <v>0.01</v>
      </c>
      <c r="I1349">
        <v>0.01</v>
      </c>
      <c r="J1349" s="8">
        <f>Table3[[#This Row],[PrimaTécnica]]*Table3[[#This Row],[Gastos Adm]]</f>
        <v>2377.3257472320001</v>
      </c>
      <c r="K1349" s="8">
        <f>Table3[[#This Row],[PrimaTécnica]]*Table3[[#This Row],[Utilidad]]</f>
        <v>792.44191574400008</v>
      </c>
      <c r="L1349" s="8">
        <f>Table3[[#This Row],[PrimaTécnica]]*Table3[[#This Row],[Marketing]]</f>
        <v>158.48838314880001</v>
      </c>
      <c r="M1349" s="8">
        <f>Table3[[#This Row],[PrimaTécnica]]*Table3[[#This Row],[Cobranza]]</f>
        <v>158.48838314880001</v>
      </c>
      <c r="N134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49">
        <v>21.84</v>
      </c>
      <c r="P1349">
        <v>54.6</v>
      </c>
      <c r="Q1349">
        <v>80.64</v>
      </c>
      <c r="R1349">
        <v>44.377200000000002</v>
      </c>
      <c r="S1349">
        <v>0.2</v>
      </c>
      <c r="T1349">
        <v>0.02</v>
      </c>
      <c r="U1349" s="8">
        <f>Table3[[#This Row],[PrimaNeta]]*Table3[[#This Row],[Comisión]]</f>
        <v>4012.5738787200007</v>
      </c>
      <c r="V1349" s="15">
        <f>Table3[[#This Row],[PrimaComercial Anual]]-Table3[[#This Row],[PrimaComercial Anual]]*SUM(Table3[[#This Row],[APS]:[IVA]])</f>
        <v>20062.869393600002</v>
      </c>
      <c r="W1349" s="2">
        <v>1.4800000000000001E-2</v>
      </c>
      <c r="X1349" s="2">
        <v>8.4501000000000007E-2</v>
      </c>
      <c r="Y1349">
        <v>0.03</v>
      </c>
      <c r="Z1349">
        <v>0.13</v>
      </c>
      <c r="AA1349" s="20">
        <f>Table3[[#This Row],[APS]]*Table3[[#This Row],[PrimaComercial Anual]]</f>
        <v>400.87872000000004</v>
      </c>
      <c r="AB1349" s="8">
        <f>Table3[[#This Row],[PrimaComercial Anual]]*Table3[[#This Row],[Recargo adicional]]</f>
        <v>2288.8278864000004</v>
      </c>
      <c r="AC1349" s="8">
        <f>Table3[[#This Row],[PrimaComercial Anual]]*Table3[[#This Row],[IT]]</f>
        <v>812.59199999999998</v>
      </c>
      <c r="AD1349" s="8">
        <f>Table3[[#This Row],[PrimaComercial Anual]]*Table3[[#This Row],[IVA]]</f>
        <v>3521.2320000000004</v>
      </c>
      <c r="AE1349" s="15">
        <f>Table3[[#This Row],[PrimaComercial Anual Asistencia]]</f>
        <v>27086.400000000001</v>
      </c>
      <c r="AG1349">
        <v>27086.400000000001</v>
      </c>
    </row>
    <row r="1350" spans="1:33" x14ac:dyDescent="0.25">
      <c r="A1350" t="s">
        <v>18</v>
      </c>
      <c r="B1350">
        <v>1750000</v>
      </c>
      <c r="C1350">
        <v>93</v>
      </c>
      <c r="D1350" s="2">
        <f>Table3[[#This Row],[PrimaTécnica]]-Table3[[#This Row],[PrimaTécnica]]*SUM(Table3[[#This Row],[Gastos Adm]:[Cobranza]])</f>
        <v>12362.0938856064</v>
      </c>
      <c r="E1350">
        <v>0</v>
      </c>
      <c r="F1350">
        <v>0.15</v>
      </c>
      <c r="G1350">
        <v>0.05</v>
      </c>
      <c r="H1350">
        <v>0.01</v>
      </c>
      <c r="I1350">
        <v>0.01</v>
      </c>
      <c r="J1350" s="8">
        <f>Table3[[#This Row],[PrimaTécnica]]*Table3[[#This Row],[Gastos Adm]]</f>
        <v>2377.3257472320001</v>
      </c>
      <c r="K1350" s="8">
        <f>Table3[[#This Row],[PrimaTécnica]]*Table3[[#This Row],[Utilidad]]</f>
        <v>792.44191574400008</v>
      </c>
      <c r="L1350" s="8">
        <f>Table3[[#This Row],[PrimaTécnica]]*Table3[[#This Row],[Marketing]]</f>
        <v>158.48838314880001</v>
      </c>
      <c r="M1350" s="8">
        <f>Table3[[#This Row],[PrimaTécnica]]*Table3[[#This Row],[Cobranza]]</f>
        <v>158.48838314880001</v>
      </c>
      <c r="N135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50">
        <v>21.84</v>
      </c>
      <c r="P1350">
        <v>54.6</v>
      </c>
      <c r="Q1350">
        <v>80.64</v>
      </c>
      <c r="R1350">
        <v>44.377200000000002</v>
      </c>
      <c r="S1350">
        <v>0.2</v>
      </c>
      <c r="T1350">
        <v>0.02</v>
      </c>
      <c r="U1350" s="8">
        <f>Table3[[#This Row],[PrimaNeta]]*Table3[[#This Row],[Comisión]]</f>
        <v>4012.5738787200007</v>
      </c>
      <c r="V1350" s="15">
        <f>Table3[[#This Row],[PrimaComercial Anual]]-Table3[[#This Row],[PrimaComercial Anual]]*SUM(Table3[[#This Row],[APS]:[IVA]])</f>
        <v>20062.869393600002</v>
      </c>
      <c r="W1350" s="2">
        <v>1.4800000000000001E-2</v>
      </c>
      <c r="X1350" s="2">
        <v>8.4501000000000007E-2</v>
      </c>
      <c r="Y1350">
        <v>0.03</v>
      </c>
      <c r="Z1350">
        <v>0.13</v>
      </c>
      <c r="AA1350" s="20">
        <f>Table3[[#This Row],[APS]]*Table3[[#This Row],[PrimaComercial Anual]]</f>
        <v>400.87872000000004</v>
      </c>
      <c r="AB1350" s="8">
        <f>Table3[[#This Row],[PrimaComercial Anual]]*Table3[[#This Row],[Recargo adicional]]</f>
        <v>2288.8278864000004</v>
      </c>
      <c r="AC1350" s="8">
        <f>Table3[[#This Row],[PrimaComercial Anual]]*Table3[[#This Row],[IT]]</f>
        <v>812.59199999999998</v>
      </c>
      <c r="AD1350" s="8">
        <f>Table3[[#This Row],[PrimaComercial Anual]]*Table3[[#This Row],[IVA]]</f>
        <v>3521.2320000000004</v>
      </c>
      <c r="AE1350" s="15">
        <f>Table3[[#This Row],[PrimaComercial Anual Asistencia]]</f>
        <v>27086.400000000001</v>
      </c>
      <c r="AG1350">
        <v>27086.400000000001</v>
      </c>
    </row>
    <row r="1351" spans="1:33" x14ac:dyDescent="0.25">
      <c r="A1351" t="s">
        <v>18</v>
      </c>
      <c r="B1351">
        <v>1750000</v>
      </c>
      <c r="C1351">
        <v>94</v>
      </c>
      <c r="D1351" s="2">
        <f>Table3[[#This Row],[PrimaTécnica]]-Table3[[#This Row],[PrimaTécnica]]*SUM(Table3[[#This Row],[Gastos Adm]:[Cobranza]])</f>
        <v>12362.0938856064</v>
      </c>
      <c r="E1351">
        <v>0</v>
      </c>
      <c r="F1351">
        <v>0.15</v>
      </c>
      <c r="G1351">
        <v>0.05</v>
      </c>
      <c r="H1351">
        <v>0.01</v>
      </c>
      <c r="I1351">
        <v>0.01</v>
      </c>
      <c r="J1351" s="8">
        <f>Table3[[#This Row],[PrimaTécnica]]*Table3[[#This Row],[Gastos Adm]]</f>
        <v>2377.3257472320001</v>
      </c>
      <c r="K1351" s="8">
        <f>Table3[[#This Row],[PrimaTécnica]]*Table3[[#This Row],[Utilidad]]</f>
        <v>792.44191574400008</v>
      </c>
      <c r="L1351" s="8">
        <f>Table3[[#This Row],[PrimaTécnica]]*Table3[[#This Row],[Marketing]]</f>
        <v>158.48838314880001</v>
      </c>
      <c r="M1351" s="8">
        <f>Table3[[#This Row],[PrimaTécnica]]*Table3[[#This Row],[Cobranza]]</f>
        <v>158.48838314880001</v>
      </c>
      <c r="N135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51">
        <v>21.84</v>
      </c>
      <c r="P1351">
        <v>54.6</v>
      </c>
      <c r="Q1351">
        <v>80.64</v>
      </c>
      <c r="R1351">
        <v>44.377200000000002</v>
      </c>
      <c r="S1351">
        <v>0.2</v>
      </c>
      <c r="T1351">
        <v>0.02</v>
      </c>
      <c r="U1351" s="8">
        <f>Table3[[#This Row],[PrimaNeta]]*Table3[[#This Row],[Comisión]]</f>
        <v>4012.5738787200007</v>
      </c>
      <c r="V1351" s="15">
        <f>Table3[[#This Row],[PrimaComercial Anual]]-Table3[[#This Row],[PrimaComercial Anual]]*SUM(Table3[[#This Row],[APS]:[IVA]])</f>
        <v>20062.869393600002</v>
      </c>
      <c r="W1351" s="2">
        <v>1.4800000000000001E-2</v>
      </c>
      <c r="X1351" s="2">
        <v>8.4501000000000007E-2</v>
      </c>
      <c r="Y1351">
        <v>0.03</v>
      </c>
      <c r="Z1351">
        <v>0.13</v>
      </c>
      <c r="AA1351" s="20">
        <f>Table3[[#This Row],[APS]]*Table3[[#This Row],[PrimaComercial Anual]]</f>
        <v>400.87872000000004</v>
      </c>
      <c r="AB1351" s="8">
        <f>Table3[[#This Row],[PrimaComercial Anual]]*Table3[[#This Row],[Recargo adicional]]</f>
        <v>2288.8278864000004</v>
      </c>
      <c r="AC1351" s="8">
        <f>Table3[[#This Row],[PrimaComercial Anual]]*Table3[[#This Row],[IT]]</f>
        <v>812.59199999999998</v>
      </c>
      <c r="AD1351" s="8">
        <f>Table3[[#This Row],[PrimaComercial Anual]]*Table3[[#This Row],[IVA]]</f>
        <v>3521.2320000000004</v>
      </c>
      <c r="AE1351" s="15">
        <f>Table3[[#This Row],[PrimaComercial Anual Asistencia]]</f>
        <v>27086.400000000001</v>
      </c>
      <c r="AG1351">
        <v>27086.400000000001</v>
      </c>
    </row>
    <row r="1352" spans="1:33" x14ac:dyDescent="0.25">
      <c r="A1352" t="s">
        <v>18</v>
      </c>
      <c r="B1352">
        <v>1750000</v>
      </c>
      <c r="C1352">
        <v>95</v>
      </c>
      <c r="D1352" s="2">
        <f>Table3[[#This Row],[PrimaTécnica]]-Table3[[#This Row],[PrimaTécnica]]*SUM(Table3[[#This Row],[Gastos Adm]:[Cobranza]])</f>
        <v>12362.0938856064</v>
      </c>
      <c r="E1352">
        <v>0</v>
      </c>
      <c r="F1352">
        <v>0.15</v>
      </c>
      <c r="G1352">
        <v>0.05</v>
      </c>
      <c r="H1352">
        <v>0.01</v>
      </c>
      <c r="I1352">
        <v>0.01</v>
      </c>
      <c r="J1352" s="8">
        <f>Table3[[#This Row],[PrimaTécnica]]*Table3[[#This Row],[Gastos Adm]]</f>
        <v>2377.3257472320001</v>
      </c>
      <c r="K1352" s="8">
        <f>Table3[[#This Row],[PrimaTécnica]]*Table3[[#This Row],[Utilidad]]</f>
        <v>792.44191574400008</v>
      </c>
      <c r="L1352" s="8">
        <f>Table3[[#This Row],[PrimaTécnica]]*Table3[[#This Row],[Marketing]]</f>
        <v>158.48838314880001</v>
      </c>
      <c r="M1352" s="8">
        <f>Table3[[#This Row],[PrimaTécnica]]*Table3[[#This Row],[Cobranza]]</f>
        <v>158.48838314880001</v>
      </c>
      <c r="N135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52">
        <v>21.84</v>
      </c>
      <c r="P1352">
        <v>54.6</v>
      </c>
      <c r="Q1352">
        <v>80.64</v>
      </c>
      <c r="R1352">
        <v>44.377200000000002</v>
      </c>
      <c r="S1352">
        <v>0.2</v>
      </c>
      <c r="T1352">
        <v>0.02</v>
      </c>
      <c r="U1352" s="8">
        <f>Table3[[#This Row],[PrimaNeta]]*Table3[[#This Row],[Comisión]]</f>
        <v>4012.5738787200007</v>
      </c>
      <c r="V1352" s="15">
        <f>Table3[[#This Row],[PrimaComercial Anual]]-Table3[[#This Row],[PrimaComercial Anual]]*SUM(Table3[[#This Row],[APS]:[IVA]])</f>
        <v>20062.869393600002</v>
      </c>
      <c r="W1352" s="2">
        <v>1.4800000000000001E-2</v>
      </c>
      <c r="X1352" s="2">
        <v>8.4501000000000007E-2</v>
      </c>
      <c r="Y1352">
        <v>0.03</v>
      </c>
      <c r="Z1352">
        <v>0.13</v>
      </c>
      <c r="AA1352" s="20">
        <f>Table3[[#This Row],[APS]]*Table3[[#This Row],[PrimaComercial Anual]]</f>
        <v>400.87872000000004</v>
      </c>
      <c r="AB1352" s="8">
        <f>Table3[[#This Row],[PrimaComercial Anual]]*Table3[[#This Row],[Recargo adicional]]</f>
        <v>2288.8278864000004</v>
      </c>
      <c r="AC1352" s="8">
        <f>Table3[[#This Row],[PrimaComercial Anual]]*Table3[[#This Row],[IT]]</f>
        <v>812.59199999999998</v>
      </c>
      <c r="AD1352" s="8">
        <f>Table3[[#This Row],[PrimaComercial Anual]]*Table3[[#This Row],[IVA]]</f>
        <v>3521.2320000000004</v>
      </c>
      <c r="AE1352" s="15">
        <f>Table3[[#This Row],[PrimaComercial Anual Asistencia]]</f>
        <v>27086.400000000001</v>
      </c>
      <c r="AG1352">
        <v>27086.400000000001</v>
      </c>
    </row>
    <row r="1353" spans="1:33" x14ac:dyDescent="0.25">
      <c r="A1353" t="s">
        <v>18</v>
      </c>
      <c r="B1353">
        <v>1750000</v>
      </c>
      <c r="C1353">
        <v>96</v>
      </c>
      <c r="D1353" s="2">
        <f>Table3[[#This Row],[PrimaTécnica]]-Table3[[#This Row],[PrimaTécnica]]*SUM(Table3[[#This Row],[Gastos Adm]:[Cobranza]])</f>
        <v>12362.0938856064</v>
      </c>
      <c r="E1353">
        <v>0</v>
      </c>
      <c r="F1353">
        <v>0.15</v>
      </c>
      <c r="G1353">
        <v>0.05</v>
      </c>
      <c r="H1353">
        <v>0.01</v>
      </c>
      <c r="I1353">
        <v>0.01</v>
      </c>
      <c r="J1353" s="8">
        <f>Table3[[#This Row],[PrimaTécnica]]*Table3[[#This Row],[Gastos Adm]]</f>
        <v>2377.3257472320001</v>
      </c>
      <c r="K1353" s="8">
        <f>Table3[[#This Row],[PrimaTécnica]]*Table3[[#This Row],[Utilidad]]</f>
        <v>792.44191574400008</v>
      </c>
      <c r="L1353" s="8">
        <f>Table3[[#This Row],[PrimaTécnica]]*Table3[[#This Row],[Marketing]]</f>
        <v>158.48838314880001</v>
      </c>
      <c r="M1353" s="8">
        <f>Table3[[#This Row],[PrimaTécnica]]*Table3[[#This Row],[Cobranza]]</f>
        <v>158.48838314880001</v>
      </c>
      <c r="N135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53">
        <v>21.84</v>
      </c>
      <c r="P1353">
        <v>54.6</v>
      </c>
      <c r="Q1353">
        <v>80.64</v>
      </c>
      <c r="R1353">
        <v>44.377200000000002</v>
      </c>
      <c r="S1353">
        <v>0.2</v>
      </c>
      <c r="T1353">
        <v>0.02</v>
      </c>
      <c r="U1353" s="8">
        <f>Table3[[#This Row],[PrimaNeta]]*Table3[[#This Row],[Comisión]]</f>
        <v>4012.5738787200007</v>
      </c>
      <c r="V1353" s="15">
        <f>Table3[[#This Row],[PrimaComercial Anual]]-Table3[[#This Row],[PrimaComercial Anual]]*SUM(Table3[[#This Row],[APS]:[IVA]])</f>
        <v>20062.869393600002</v>
      </c>
      <c r="W1353" s="2">
        <v>1.4800000000000001E-2</v>
      </c>
      <c r="X1353" s="2">
        <v>8.4501000000000007E-2</v>
      </c>
      <c r="Y1353">
        <v>0.03</v>
      </c>
      <c r="Z1353">
        <v>0.13</v>
      </c>
      <c r="AA1353" s="20">
        <f>Table3[[#This Row],[APS]]*Table3[[#This Row],[PrimaComercial Anual]]</f>
        <v>400.87872000000004</v>
      </c>
      <c r="AB1353" s="8">
        <f>Table3[[#This Row],[PrimaComercial Anual]]*Table3[[#This Row],[Recargo adicional]]</f>
        <v>2288.8278864000004</v>
      </c>
      <c r="AC1353" s="8">
        <f>Table3[[#This Row],[PrimaComercial Anual]]*Table3[[#This Row],[IT]]</f>
        <v>812.59199999999998</v>
      </c>
      <c r="AD1353" s="8">
        <f>Table3[[#This Row],[PrimaComercial Anual]]*Table3[[#This Row],[IVA]]</f>
        <v>3521.2320000000004</v>
      </c>
      <c r="AE1353" s="15">
        <f>Table3[[#This Row],[PrimaComercial Anual Asistencia]]</f>
        <v>27086.400000000001</v>
      </c>
      <c r="AG1353">
        <v>27086.400000000001</v>
      </c>
    </row>
    <row r="1354" spans="1:33" x14ac:dyDescent="0.25">
      <c r="A1354" t="s">
        <v>18</v>
      </c>
      <c r="B1354">
        <v>1750000</v>
      </c>
      <c r="C1354">
        <v>97</v>
      </c>
      <c r="D1354" s="2">
        <f>Table3[[#This Row],[PrimaTécnica]]-Table3[[#This Row],[PrimaTécnica]]*SUM(Table3[[#This Row],[Gastos Adm]:[Cobranza]])</f>
        <v>12362.0938856064</v>
      </c>
      <c r="E1354">
        <v>0</v>
      </c>
      <c r="F1354">
        <v>0.15</v>
      </c>
      <c r="G1354">
        <v>0.05</v>
      </c>
      <c r="H1354">
        <v>0.01</v>
      </c>
      <c r="I1354">
        <v>0.01</v>
      </c>
      <c r="J1354" s="8">
        <f>Table3[[#This Row],[PrimaTécnica]]*Table3[[#This Row],[Gastos Adm]]</f>
        <v>2377.3257472320001</v>
      </c>
      <c r="K1354" s="8">
        <f>Table3[[#This Row],[PrimaTécnica]]*Table3[[#This Row],[Utilidad]]</f>
        <v>792.44191574400008</v>
      </c>
      <c r="L1354" s="8">
        <f>Table3[[#This Row],[PrimaTécnica]]*Table3[[#This Row],[Marketing]]</f>
        <v>158.48838314880001</v>
      </c>
      <c r="M1354" s="8">
        <f>Table3[[#This Row],[PrimaTécnica]]*Table3[[#This Row],[Cobranza]]</f>
        <v>158.48838314880001</v>
      </c>
      <c r="N135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54">
        <v>21.84</v>
      </c>
      <c r="P1354">
        <v>54.6</v>
      </c>
      <c r="Q1354">
        <v>80.64</v>
      </c>
      <c r="R1354">
        <v>44.377200000000002</v>
      </c>
      <c r="S1354">
        <v>0.2</v>
      </c>
      <c r="T1354">
        <v>0.02</v>
      </c>
      <c r="U1354" s="8">
        <f>Table3[[#This Row],[PrimaNeta]]*Table3[[#This Row],[Comisión]]</f>
        <v>4012.5738787200007</v>
      </c>
      <c r="V1354" s="15">
        <f>Table3[[#This Row],[PrimaComercial Anual]]-Table3[[#This Row],[PrimaComercial Anual]]*SUM(Table3[[#This Row],[APS]:[IVA]])</f>
        <v>20062.869393600002</v>
      </c>
      <c r="W1354" s="2">
        <v>1.4800000000000001E-2</v>
      </c>
      <c r="X1354" s="2">
        <v>8.4501000000000007E-2</v>
      </c>
      <c r="Y1354">
        <v>0.03</v>
      </c>
      <c r="Z1354">
        <v>0.13</v>
      </c>
      <c r="AA1354" s="20">
        <f>Table3[[#This Row],[APS]]*Table3[[#This Row],[PrimaComercial Anual]]</f>
        <v>400.87872000000004</v>
      </c>
      <c r="AB1354" s="8">
        <f>Table3[[#This Row],[PrimaComercial Anual]]*Table3[[#This Row],[Recargo adicional]]</f>
        <v>2288.8278864000004</v>
      </c>
      <c r="AC1354" s="8">
        <f>Table3[[#This Row],[PrimaComercial Anual]]*Table3[[#This Row],[IT]]</f>
        <v>812.59199999999998</v>
      </c>
      <c r="AD1354" s="8">
        <f>Table3[[#This Row],[PrimaComercial Anual]]*Table3[[#This Row],[IVA]]</f>
        <v>3521.2320000000004</v>
      </c>
      <c r="AE1354" s="15">
        <f>Table3[[#This Row],[PrimaComercial Anual Asistencia]]</f>
        <v>27086.400000000001</v>
      </c>
      <c r="AG1354">
        <v>27086.400000000001</v>
      </c>
    </row>
    <row r="1355" spans="1:33" x14ac:dyDescent="0.25">
      <c r="A1355" t="s">
        <v>18</v>
      </c>
      <c r="B1355">
        <v>1750000</v>
      </c>
      <c r="C1355">
        <v>98</v>
      </c>
      <c r="D1355" s="2">
        <f>Table3[[#This Row],[PrimaTécnica]]-Table3[[#This Row],[PrimaTécnica]]*SUM(Table3[[#This Row],[Gastos Adm]:[Cobranza]])</f>
        <v>12362.0938856064</v>
      </c>
      <c r="E1355">
        <v>0</v>
      </c>
      <c r="F1355">
        <v>0.15</v>
      </c>
      <c r="G1355">
        <v>0.05</v>
      </c>
      <c r="H1355">
        <v>0.01</v>
      </c>
      <c r="I1355">
        <v>0.01</v>
      </c>
      <c r="J1355" s="8">
        <f>Table3[[#This Row],[PrimaTécnica]]*Table3[[#This Row],[Gastos Adm]]</f>
        <v>2377.3257472320001</v>
      </c>
      <c r="K1355" s="8">
        <f>Table3[[#This Row],[PrimaTécnica]]*Table3[[#This Row],[Utilidad]]</f>
        <v>792.44191574400008</v>
      </c>
      <c r="L1355" s="8">
        <f>Table3[[#This Row],[PrimaTécnica]]*Table3[[#This Row],[Marketing]]</f>
        <v>158.48838314880001</v>
      </c>
      <c r="M1355" s="8">
        <f>Table3[[#This Row],[PrimaTécnica]]*Table3[[#This Row],[Cobranza]]</f>
        <v>158.48838314880001</v>
      </c>
      <c r="N135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55">
        <v>21.84</v>
      </c>
      <c r="P1355">
        <v>54.6</v>
      </c>
      <c r="Q1355">
        <v>80.64</v>
      </c>
      <c r="R1355">
        <v>44.377200000000002</v>
      </c>
      <c r="S1355">
        <v>0.2</v>
      </c>
      <c r="T1355">
        <v>0.02</v>
      </c>
      <c r="U1355" s="8">
        <f>Table3[[#This Row],[PrimaNeta]]*Table3[[#This Row],[Comisión]]</f>
        <v>4012.5738787200007</v>
      </c>
      <c r="V1355" s="15">
        <f>Table3[[#This Row],[PrimaComercial Anual]]-Table3[[#This Row],[PrimaComercial Anual]]*SUM(Table3[[#This Row],[APS]:[IVA]])</f>
        <v>20062.869393600002</v>
      </c>
      <c r="W1355" s="2">
        <v>1.4800000000000001E-2</v>
      </c>
      <c r="X1355" s="2">
        <v>8.4501000000000007E-2</v>
      </c>
      <c r="Y1355">
        <v>0.03</v>
      </c>
      <c r="Z1355">
        <v>0.13</v>
      </c>
      <c r="AA1355" s="20">
        <f>Table3[[#This Row],[APS]]*Table3[[#This Row],[PrimaComercial Anual]]</f>
        <v>400.87872000000004</v>
      </c>
      <c r="AB1355" s="8">
        <f>Table3[[#This Row],[PrimaComercial Anual]]*Table3[[#This Row],[Recargo adicional]]</f>
        <v>2288.8278864000004</v>
      </c>
      <c r="AC1355" s="8">
        <f>Table3[[#This Row],[PrimaComercial Anual]]*Table3[[#This Row],[IT]]</f>
        <v>812.59199999999998</v>
      </c>
      <c r="AD1355" s="8">
        <f>Table3[[#This Row],[PrimaComercial Anual]]*Table3[[#This Row],[IVA]]</f>
        <v>3521.2320000000004</v>
      </c>
      <c r="AE1355" s="15">
        <f>Table3[[#This Row],[PrimaComercial Anual Asistencia]]</f>
        <v>27086.400000000001</v>
      </c>
      <c r="AG1355">
        <v>27086.400000000001</v>
      </c>
    </row>
    <row r="1356" spans="1:33" x14ac:dyDescent="0.25">
      <c r="A1356" t="s">
        <v>18</v>
      </c>
      <c r="B1356">
        <v>1750000</v>
      </c>
      <c r="C1356">
        <v>99</v>
      </c>
      <c r="D1356" s="2">
        <f>Table3[[#This Row],[PrimaTécnica]]-Table3[[#This Row],[PrimaTécnica]]*SUM(Table3[[#This Row],[Gastos Adm]:[Cobranza]])</f>
        <v>12362.0938856064</v>
      </c>
      <c r="E1356">
        <v>0</v>
      </c>
      <c r="F1356">
        <v>0.15</v>
      </c>
      <c r="G1356">
        <v>0.05</v>
      </c>
      <c r="H1356">
        <v>0.01</v>
      </c>
      <c r="I1356">
        <v>0.01</v>
      </c>
      <c r="J1356" s="8">
        <f>Table3[[#This Row],[PrimaTécnica]]*Table3[[#This Row],[Gastos Adm]]</f>
        <v>2377.3257472320001</v>
      </c>
      <c r="K1356" s="8">
        <f>Table3[[#This Row],[PrimaTécnica]]*Table3[[#This Row],[Utilidad]]</f>
        <v>792.44191574400008</v>
      </c>
      <c r="L1356" s="8">
        <f>Table3[[#This Row],[PrimaTécnica]]*Table3[[#This Row],[Marketing]]</f>
        <v>158.48838314880001</v>
      </c>
      <c r="M1356" s="8">
        <f>Table3[[#This Row],[PrimaTécnica]]*Table3[[#This Row],[Cobranza]]</f>
        <v>158.48838314880001</v>
      </c>
      <c r="N135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15848.83831488</v>
      </c>
      <c r="O1356">
        <v>21.84</v>
      </c>
      <c r="P1356">
        <v>54.6</v>
      </c>
      <c r="Q1356">
        <v>80.64</v>
      </c>
      <c r="R1356">
        <v>44.377200000000002</v>
      </c>
      <c r="S1356">
        <v>0.2</v>
      </c>
      <c r="T1356">
        <v>0.02</v>
      </c>
      <c r="U1356" s="8">
        <f>Table3[[#This Row],[PrimaNeta]]*Table3[[#This Row],[Comisión]]</f>
        <v>4012.5738787200007</v>
      </c>
      <c r="V1356" s="15">
        <f>Table3[[#This Row],[PrimaComercial Anual]]-Table3[[#This Row],[PrimaComercial Anual]]*SUM(Table3[[#This Row],[APS]:[IVA]])</f>
        <v>20062.869393600002</v>
      </c>
      <c r="W1356" s="2">
        <v>1.4800000000000001E-2</v>
      </c>
      <c r="X1356" s="2">
        <v>8.4501000000000007E-2</v>
      </c>
      <c r="Y1356">
        <v>0.03</v>
      </c>
      <c r="Z1356">
        <v>0.13</v>
      </c>
      <c r="AA1356" s="20">
        <f>Table3[[#This Row],[APS]]*Table3[[#This Row],[PrimaComercial Anual]]</f>
        <v>400.87872000000004</v>
      </c>
      <c r="AB1356" s="8">
        <f>Table3[[#This Row],[PrimaComercial Anual]]*Table3[[#This Row],[Recargo adicional]]</f>
        <v>2288.8278864000004</v>
      </c>
      <c r="AC1356" s="8">
        <f>Table3[[#This Row],[PrimaComercial Anual]]*Table3[[#This Row],[IT]]</f>
        <v>812.59199999999998</v>
      </c>
      <c r="AD1356" s="8">
        <f>Table3[[#This Row],[PrimaComercial Anual]]*Table3[[#This Row],[IVA]]</f>
        <v>3521.2320000000004</v>
      </c>
      <c r="AE1356" s="15">
        <f>Table3[[#This Row],[PrimaComercial Anual Asistencia]]</f>
        <v>27086.400000000001</v>
      </c>
      <c r="AG1356">
        <v>27086.400000000001</v>
      </c>
    </row>
    <row r="1357" spans="1:33" x14ac:dyDescent="0.25">
      <c r="A1357" t="s">
        <v>19</v>
      </c>
      <c r="B1357">
        <v>1750000</v>
      </c>
      <c r="C1357">
        <v>19</v>
      </c>
      <c r="D1357" s="2">
        <f>Table3[[#This Row],[PrimaTécnica]]-Table3[[#This Row],[PrimaTécnica]]*SUM(Table3[[#This Row],[Gastos Adm]:[Cobranza]])</f>
        <v>2661.7978614240001</v>
      </c>
      <c r="E1357">
        <v>754.47197279999989</v>
      </c>
      <c r="F1357">
        <v>0.15</v>
      </c>
      <c r="G1357">
        <v>0.05</v>
      </c>
      <c r="H1357">
        <v>0.01</v>
      </c>
      <c r="I1357">
        <v>0.01</v>
      </c>
      <c r="J1357" s="8">
        <f>Table3[[#This Row],[PrimaTécnica]]*Table3[[#This Row],[Gastos Adm]]</f>
        <v>511.88420412000005</v>
      </c>
      <c r="K1357" s="8">
        <f>Table3[[#This Row],[PrimaTécnica]]*Table3[[#This Row],[Utilidad]]</f>
        <v>170.62806804000002</v>
      </c>
      <c r="L1357" s="8">
        <f>Table3[[#This Row],[PrimaTécnica]]*Table3[[#This Row],[Marketing]]</f>
        <v>34.125613608000002</v>
      </c>
      <c r="M1357" s="8">
        <f>Table3[[#This Row],[PrimaTécnica]]*Table3[[#This Row],[Cobranza]]</f>
        <v>34.125613608000002</v>
      </c>
      <c r="N135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357">
        <v>21.84</v>
      </c>
      <c r="P1357">
        <v>54.6</v>
      </c>
      <c r="Q1357">
        <v>80.64</v>
      </c>
      <c r="R1357">
        <v>44.377200000000002</v>
      </c>
      <c r="S1357">
        <v>0.2</v>
      </c>
      <c r="T1357">
        <v>0.02</v>
      </c>
      <c r="U1357" s="8">
        <f>Table3[[#This Row],[PrimaNeta]]*Table3[[#This Row],[Comisión]]</f>
        <v>903.50464020000004</v>
      </c>
      <c r="V1357" s="15">
        <f>Table3[[#This Row],[PrimaComercial Anual]]-Table3[[#This Row],[PrimaComercial Anual]]*SUM(Table3[[#This Row],[APS]:[IVA]])</f>
        <v>4517.523201</v>
      </c>
      <c r="W1357" s="2">
        <v>1.4800000000000001E-2</v>
      </c>
      <c r="X1357" s="2">
        <v>8.4501000000000007E-2</v>
      </c>
      <c r="Y1357">
        <v>0.03</v>
      </c>
      <c r="Z1357">
        <v>0.13</v>
      </c>
      <c r="AA1357" s="20">
        <f>Table3[[#This Row],[APS]]*Table3[[#This Row],[PrimaComercial Anual]]</f>
        <v>90.265200000000007</v>
      </c>
      <c r="AB1357" s="8">
        <f>Table3[[#This Row],[PrimaComercial Anual]]*Table3[[#This Row],[Recargo adicional]]</f>
        <v>515.37159900000006</v>
      </c>
      <c r="AC1357" s="8">
        <f>Table3[[#This Row],[PrimaComercial Anual]]*Table3[[#This Row],[IT]]</f>
        <v>182.97</v>
      </c>
      <c r="AD1357" s="8">
        <f>Table3[[#This Row],[PrimaComercial Anual]]*Table3[[#This Row],[IVA]]</f>
        <v>792.87</v>
      </c>
      <c r="AE1357" s="15">
        <f>Table3[[#This Row],[PrimaComercial Anual Asistencia]]</f>
        <v>6099</v>
      </c>
      <c r="AF1357">
        <v>1675.8</v>
      </c>
      <c r="AG1357">
        <v>6099</v>
      </c>
    </row>
    <row r="1358" spans="1:33" x14ac:dyDescent="0.25">
      <c r="A1358" t="s">
        <v>19</v>
      </c>
      <c r="B1358">
        <v>1750000</v>
      </c>
      <c r="C1358">
        <v>20</v>
      </c>
      <c r="D1358" s="2">
        <f>Table3[[#This Row],[PrimaTécnica]]-Table3[[#This Row],[PrimaTécnica]]*SUM(Table3[[#This Row],[Gastos Adm]:[Cobranza]])</f>
        <v>2661.7978614240001</v>
      </c>
      <c r="E1358">
        <v>754.47197279999989</v>
      </c>
      <c r="F1358">
        <v>0.15</v>
      </c>
      <c r="G1358">
        <v>0.05</v>
      </c>
      <c r="H1358">
        <v>0.01</v>
      </c>
      <c r="I1358">
        <v>0.01</v>
      </c>
      <c r="J1358" s="8">
        <f>Table3[[#This Row],[PrimaTécnica]]*Table3[[#This Row],[Gastos Adm]]</f>
        <v>511.88420412000005</v>
      </c>
      <c r="K1358" s="8">
        <f>Table3[[#This Row],[PrimaTécnica]]*Table3[[#This Row],[Utilidad]]</f>
        <v>170.62806804000002</v>
      </c>
      <c r="L1358" s="8">
        <f>Table3[[#This Row],[PrimaTécnica]]*Table3[[#This Row],[Marketing]]</f>
        <v>34.125613608000002</v>
      </c>
      <c r="M1358" s="8">
        <f>Table3[[#This Row],[PrimaTécnica]]*Table3[[#This Row],[Cobranza]]</f>
        <v>34.125613608000002</v>
      </c>
      <c r="N135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358">
        <v>21.84</v>
      </c>
      <c r="P1358">
        <v>54.6</v>
      </c>
      <c r="Q1358">
        <v>80.64</v>
      </c>
      <c r="R1358">
        <v>44.377200000000002</v>
      </c>
      <c r="S1358">
        <v>0.2</v>
      </c>
      <c r="T1358">
        <v>0.02</v>
      </c>
      <c r="U1358" s="8">
        <f>Table3[[#This Row],[PrimaNeta]]*Table3[[#This Row],[Comisión]]</f>
        <v>903.50464020000004</v>
      </c>
      <c r="V1358" s="15">
        <f>Table3[[#This Row],[PrimaComercial Anual]]-Table3[[#This Row],[PrimaComercial Anual]]*SUM(Table3[[#This Row],[APS]:[IVA]])</f>
        <v>4517.523201</v>
      </c>
      <c r="W1358" s="2">
        <v>1.4800000000000001E-2</v>
      </c>
      <c r="X1358" s="2">
        <v>8.4501000000000007E-2</v>
      </c>
      <c r="Y1358">
        <v>0.03</v>
      </c>
      <c r="Z1358">
        <v>0.13</v>
      </c>
      <c r="AA1358" s="20">
        <f>Table3[[#This Row],[APS]]*Table3[[#This Row],[PrimaComercial Anual]]</f>
        <v>90.265200000000007</v>
      </c>
      <c r="AB1358" s="8">
        <f>Table3[[#This Row],[PrimaComercial Anual]]*Table3[[#This Row],[Recargo adicional]]</f>
        <v>515.37159900000006</v>
      </c>
      <c r="AC1358" s="8">
        <f>Table3[[#This Row],[PrimaComercial Anual]]*Table3[[#This Row],[IT]]</f>
        <v>182.97</v>
      </c>
      <c r="AD1358" s="8">
        <f>Table3[[#This Row],[PrimaComercial Anual]]*Table3[[#This Row],[IVA]]</f>
        <v>792.87</v>
      </c>
      <c r="AE1358" s="15">
        <f>Table3[[#This Row],[PrimaComercial Anual Asistencia]]</f>
        <v>6099</v>
      </c>
      <c r="AF1358">
        <v>1675.8</v>
      </c>
      <c r="AG1358">
        <v>6099</v>
      </c>
    </row>
    <row r="1359" spans="1:33" x14ac:dyDescent="0.25">
      <c r="A1359" t="s">
        <v>19</v>
      </c>
      <c r="B1359">
        <v>1750000</v>
      </c>
      <c r="C1359">
        <v>21</v>
      </c>
      <c r="D1359" s="2">
        <f>Table3[[#This Row],[PrimaTécnica]]-Table3[[#This Row],[PrimaTécnica]]*SUM(Table3[[#This Row],[Gastos Adm]:[Cobranza]])</f>
        <v>2661.7978614240001</v>
      </c>
      <c r="E1359">
        <v>754.47197279999989</v>
      </c>
      <c r="F1359">
        <v>0.15</v>
      </c>
      <c r="G1359">
        <v>0.05</v>
      </c>
      <c r="H1359">
        <v>0.01</v>
      </c>
      <c r="I1359">
        <v>0.01</v>
      </c>
      <c r="J1359" s="8">
        <f>Table3[[#This Row],[PrimaTécnica]]*Table3[[#This Row],[Gastos Adm]]</f>
        <v>511.88420412000005</v>
      </c>
      <c r="K1359" s="8">
        <f>Table3[[#This Row],[PrimaTécnica]]*Table3[[#This Row],[Utilidad]]</f>
        <v>170.62806804000002</v>
      </c>
      <c r="L1359" s="8">
        <f>Table3[[#This Row],[PrimaTécnica]]*Table3[[#This Row],[Marketing]]</f>
        <v>34.125613608000002</v>
      </c>
      <c r="M1359" s="8">
        <f>Table3[[#This Row],[PrimaTécnica]]*Table3[[#This Row],[Cobranza]]</f>
        <v>34.125613608000002</v>
      </c>
      <c r="N135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359">
        <v>21.84</v>
      </c>
      <c r="P1359">
        <v>54.6</v>
      </c>
      <c r="Q1359">
        <v>80.64</v>
      </c>
      <c r="R1359">
        <v>44.377200000000002</v>
      </c>
      <c r="S1359">
        <v>0.2</v>
      </c>
      <c r="T1359">
        <v>0.02</v>
      </c>
      <c r="U1359" s="8">
        <f>Table3[[#This Row],[PrimaNeta]]*Table3[[#This Row],[Comisión]]</f>
        <v>903.50464020000004</v>
      </c>
      <c r="V1359" s="15">
        <f>Table3[[#This Row],[PrimaComercial Anual]]-Table3[[#This Row],[PrimaComercial Anual]]*SUM(Table3[[#This Row],[APS]:[IVA]])</f>
        <v>4517.523201</v>
      </c>
      <c r="W1359" s="2">
        <v>1.4800000000000001E-2</v>
      </c>
      <c r="X1359" s="2">
        <v>8.4501000000000007E-2</v>
      </c>
      <c r="Y1359">
        <v>0.03</v>
      </c>
      <c r="Z1359">
        <v>0.13</v>
      </c>
      <c r="AA1359" s="20">
        <f>Table3[[#This Row],[APS]]*Table3[[#This Row],[PrimaComercial Anual]]</f>
        <v>90.265200000000007</v>
      </c>
      <c r="AB1359" s="8">
        <f>Table3[[#This Row],[PrimaComercial Anual]]*Table3[[#This Row],[Recargo adicional]]</f>
        <v>515.37159900000006</v>
      </c>
      <c r="AC1359" s="8">
        <f>Table3[[#This Row],[PrimaComercial Anual]]*Table3[[#This Row],[IT]]</f>
        <v>182.97</v>
      </c>
      <c r="AD1359" s="8">
        <f>Table3[[#This Row],[PrimaComercial Anual]]*Table3[[#This Row],[IVA]]</f>
        <v>792.87</v>
      </c>
      <c r="AE1359" s="15">
        <f>Table3[[#This Row],[PrimaComercial Anual Asistencia]]</f>
        <v>6099</v>
      </c>
      <c r="AF1359">
        <v>1675.8</v>
      </c>
      <c r="AG1359">
        <v>6099</v>
      </c>
    </row>
    <row r="1360" spans="1:33" x14ac:dyDescent="0.25">
      <c r="A1360" t="s">
        <v>19</v>
      </c>
      <c r="B1360">
        <v>1750000</v>
      </c>
      <c r="C1360">
        <v>22</v>
      </c>
      <c r="D1360" s="2">
        <f>Table3[[#This Row],[PrimaTécnica]]-Table3[[#This Row],[PrimaTécnica]]*SUM(Table3[[#This Row],[Gastos Adm]:[Cobranza]])</f>
        <v>2661.7978614240001</v>
      </c>
      <c r="E1360">
        <v>754.47197279999989</v>
      </c>
      <c r="F1360">
        <v>0.15</v>
      </c>
      <c r="G1360">
        <v>0.05</v>
      </c>
      <c r="H1360">
        <v>0.01</v>
      </c>
      <c r="I1360">
        <v>0.01</v>
      </c>
      <c r="J1360" s="8">
        <f>Table3[[#This Row],[PrimaTécnica]]*Table3[[#This Row],[Gastos Adm]]</f>
        <v>511.88420412000005</v>
      </c>
      <c r="K1360" s="8">
        <f>Table3[[#This Row],[PrimaTécnica]]*Table3[[#This Row],[Utilidad]]</f>
        <v>170.62806804000002</v>
      </c>
      <c r="L1360" s="8">
        <f>Table3[[#This Row],[PrimaTécnica]]*Table3[[#This Row],[Marketing]]</f>
        <v>34.125613608000002</v>
      </c>
      <c r="M1360" s="8">
        <f>Table3[[#This Row],[PrimaTécnica]]*Table3[[#This Row],[Cobranza]]</f>
        <v>34.125613608000002</v>
      </c>
      <c r="N136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360">
        <v>21.84</v>
      </c>
      <c r="P1360">
        <v>54.6</v>
      </c>
      <c r="Q1360">
        <v>80.64</v>
      </c>
      <c r="R1360">
        <v>44.377200000000002</v>
      </c>
      <c r="S1360">
        <v>0.2</v>
      </c>
      <c r="T1360">
        <v>0.02</v>
      </c>
      <c r="U1360" s="8">
        <f>Table3[[#This Row],[PrimaNeta]]*Table3[[#This Row],[Comisión]]</f>
        <v>903.50464020000004</v>
      </c>
      <c r="V1360" s="15">
        <f>Table3[[#This Row],[PrimaComercial Anual]]-Table3[[#This Row],[PrimaComercial Anual]]*SUM(Table3[[#This Row],[APS]:[IVA]])</f>
        <v>4517.523201</v>
      </c>
      <c r="W1360" s="2">
        <v>1.4800000000000001E-2</v>
      </c>
      <c r="X1360" s="2">
        <v>8.4501000000000007E-2</v>
      </c>
      <c r="Y1360">
        <v>0.03</v>
      </c>
      <c r="Z1360">
        <v>0.13</v>
      </c>
      <c r="AA1360" s="20">
        <f>Table3[[#This Row],[APS]]*Table3[[#This Row],[PrimaComercial Anual]]</f>
        <v>90.265200000000007</v>
      </c>
      <c r="AB1360" s="8">
        <f>Table3[[#This Row],[PrimaComercial Anual]]*Table3[[#This Row],[Recargo adicional]]</f>
        <v>515.37159900000006</v>
      </c>
      <c r="AC1360" s="8">
        <f>Table3[[#This Row],[PrimaComercial Anual]]*Table3[[#This Row],[IT]]</f>
        <v>182.97</v>
      </c>
      <c r="AD1360" s="8">
        <f>Table3[[#This Row],[PrimaComercial Anual]]*Table3[[#This Row],[IVA]]</f>
        <v>792.87</v>
      </c>
      <c r="AE1360" s="15">
        <f>Table3[[#This Row],[PrimaComercial Anual Asistencia]]</f>
        <v>6099</v>
      </c>
      <c r="AF1360">
        <v>1675.8</v>
      </c>
      <c r="AG1360">
        <v>6099</v>
      </c>
    </row>
    <row r="1361" spans="1:33" x14ac:dyDescent="0.25">
      <c r="A1361" t="s">
        <v>19</v>
      </c>
      <c r="B1361">
        <v>1750000</v>
      </c>
      <c r="C1361">
        <v>23</v>
      </c>
      <c r="D1361" s="2">
        <f>Table3[[#This Row],[PrimaTécnica]]-Table3[[#This Row],[PrimaTécnica]]*SUM(Table3[[#This Row],[Gastos Adm]:[Cobranza]])</f>
        <v>2661.7978614240001</v>
      </c>
      <c r="E1361">
        <v>754.47197279999989</v>
      </c>
      <c r="F1361">
        <v>0.15</v>
      </c>
      <c r="G1361">
        <v>0.05</v>
      </c>
      <c r="H1361">
        <v>0.01</v>
      </c>
      <c r="I1361">
        <v>0.01</v>
      </c>
      <c r="J1361" s="8">
        <f>Table3[[#This Row],[PrimaTécnica]]*Table3[[#This Row],[Gastos Adm]]</f>
        <v>511.88420412000005</v>
      </c>
      <c r="K1361" s="8">
        <f>Table3[[#This Row],[PrimaTécnica]]*Table3[[#This Row],[Utilidad]]</f>
        <v>170.62806804000002</v>
      </c>
      <c r="L1361" s="8">
        <f>Table3[[#This Row],[PrimaTécnica]]*Table3[[#This Row],[Marketing]]</f>
        <v>34.125613608000002</v>
      </c>
      <c r="M1361" s="8">
        <f>Table3[[#This Row],[PrimaTécnica]]*Table3[[#This Row],[Cobranza]]</f>
        <v>34.125613608000002</v>
      </c>
      <c r="N136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361">
        <v>21.84</v>
      </c>
      <c r="P1361">
        <v>54.6</v>
      </c>
      <c r="Q1361">
        <v>80.64</v>
      </c>
      <c r="R1361">
        <v>44.377200000000002</v>
      </c>
      <c r="S1361">
        <v>0.2</v>
      </c>
      <c r="T1361">
        <v>0.02</v>
      </c>
      <c r="U1361" s="8">
        <f>Table3[[#This Row],[PrimaNeta]]*Table3[[#This Row],[Comisión]]</f>
        <v>903.50464020000004</v>
      </c>
      <c r="V1361" s="15">
        <f>Table3[[#This Row],[PrimaComercial Anual]]-Table3[[#This Row],[PrimaComercial Anual]]*SUM(Table3[[#This Row],[APS]:[IVA]])</f>
        <v>4517.523201</v>
      </c>
      <c r="W1361" s="2">
        <v>1.4800000000000001E-2</v>
      </c>
      <c r="X1361" s="2">
        <v>8.4501000000000007E-2</v>
      </c>
      <c r="Y1361">
        <v>0.03</v>
      </c>
      <c r="Z1361">
        <v>0.13</v>
      </c>
      <c r="AA1361" s="20">
        <f>Table3[[#This Row],[APS]]*Table3[[#This Row],[PrimaComercial Anual]]</f>
        <v>90.265200000000007</v>
      </c>
      <c r="AB1361" s="8">
        <f>Table3[[#This Row],[PrimaComercial Anual]]*Table3[[#This Row],[Recargo adicional]]</f>
        <v>515.37159900000006</v>
      </c>
      <c r="AC1361" s="8">
        <f>Table3[[#This Row],[PrimaComercial Anual]]*Table3[[#This Row],[IT]]</f>
        <v>182.97</v>
      </c>
      <c r="AD1361" s="8">
        <f>Table3[[#This Row],[PrimaComercial Anual]]*Table3[[#This Row],[IVA]]</f>
        <v>792.87</v>
      </c>
      <c r="AE1361" s="15">
        <f>Table3[[#This Row],[PrimaComercial Anual Asistencia]]</f>
        <v>6099</v>
      </c>
      <c r="AF1361">
        <v>1675.8</v>
      </c>
      <c r="AG1361">
        <v>6099</v>
      </c>
    </row>
    <row r="1362" spans="1:33" x14ac:dyDescent="0.25">
      <c r="A1362" t="s">
        <v>19</v>
      </c>
      <c r="B1362">
        <v>1750000</v>
      </c>
      <c r="C1362">
        <v>24</v>
      </c>
      <c r="D1362" s="2">
        <f>Table3[[#This Row],[PrimaTécnica]]-Table3[[#This Row],[PrimaTécnica]]*SUM(Table3[[#This Row],[Gastos Adm]:[Cobranza]])</f>
        <v>2661.7978614240001</v>
      </c>
      <c r="E1362">
        <v>754.47197279999989</v>
      </c>
      <c r="F1362">
        <v>0.15</v>
      </c>
      <c r="G1362">
        <v>0.05</v>
      </c>
      <c r="H1362">
        <v>0.01</v>
      </c>
      <c r="I1362">
        <v>0.01</v>
      </c>
      <c r="J1362" s="8">
        <f>Table3[[#This Row],[PrimaTécnica]]*Table3[[#This Row],[Gastos Adm]]</f>
        <v>511.88420412000005</v>
      </c>
      <c r="K1362" s="8">
        <f>Table3[[#This Row],[PrimaTécnica]]*Table3[[#This Row],[Utilidad]]</f>
        <v>170.62806804000002</v>
      </c>
      <c r="L1362" s="8">
        <f>Table3[[#This Row],[PrimaTécnica]]*Table3[[#This Row],[Marketing]]</f>
        <v>34.125613608000002</v>
      </c>
      <c r="M1362" s="8">
        <f>Table3[[#This Row],[PrimaTécnica]]*Table3[[#This Row],[Cobranza]]</f>
        <v>34.125613608000002</v>
      </c>
      <c r="N136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362">
        <v>21.84</v>
      </c>
      <c r="P1362">
        <v>54.6</v>
      </c>
      <c r="Q1362">
        <v>80.64</v>
      </c>
      <c r="R1362">
        <v>44.377200000000002</v>
      </c>
      <c r="S1362">
        <v>0.2</v>
      </c>
      <c r="T1362">
        <v>0.02</v>
      </c>
      <c r="U1362" s="8">
        <f>Table3[[#This Row],[PrimaNeta]]*Table3[[#This Row],[Comisión]]</f>
        <v>903.50464020000004</v>
      </c>
      <c r="V1362" s="15">
        <f>Table3[[#This Row],[PrimaComercial Anual]]-Table3[[#This Row],[PrimaComercial Anual]]*SUM(Table3[[#This Row],[APS]:[IVA]])</f>
        <v>4517.523201</v>
      </c>
      <c r="W1362" s="2">
        <v>1.4800000000000001E-2</v>
      </c>
      <c r="X1362" s="2">
        <v>8.4501000000000007E-2</v>
      </c>
      <c r="Y1362">
        <v>0.03</v>
      </c>
      <c r="Z1362">
        <v>0.13</v>
      </c>
      <c r="AA1362" s="20">
        <f>Table3[[#This Row],[APS]]*Table3[[#This Row],[PrimaComercial Anual]]</f>
        <v>90.265200000000007</v>
      </c>
      <c r="AB1362" s="8">
        <f>Table3[[#This Row],[PrimaComercial Anual]]*Table3[[#This Row],[Recargo adicional]]</f>
        <v>515.37159900000006</v>
      </c>
      <c r="AC1362" s="8">
        <f>Table3[[#This Row],[PrimaComercial Anual]]*Table3[[#This Row],[IT]]</f>
        <v>182.97</v>
      </c>
      <c r="AD1362" s="8">
        <f>Table3[[#This Row],[PrimaComercial Anual]]*Table3[[#This Row],[IVA]]</f>
        <v>792.87</v>
      </c>
      <c r="AE1362" s="15">
        <f>Table3[[#This Row],[PrimaComercial Anual Asistencia]]</f>
        <v>6099</v>
      </c>
      <c r="AF1362">
        <v>1675.8</v>
      </c>
      <c r="AG1362">
        <v>6099</v>
      </c>
    </row>
    <row r="1363" spans="1:33" x14ac:dyDescent="0.25">
      <c r="A1363" t="s">
        <v>19</v>
      </c>
      <c r="B1363">
        <v>1750000</v>
      </c>
      <c r="C1363">
        <v>25</v>
      </c>
      <c r="D1363" s="2">
        <f>Table3[[#This Row],[PrimaTécnica]]-Table3[[#This Row],[PrimaTécnica]]*SUM(Table3[[#This Row],[Gastos Adm]:[Cobranza]])</f>
        <v>2661.7978614240001</v>
      </c>
      <c r="E1363">
        <v>754.47197279999989</v>
      </c>
      <c r="F1363">
        <v>0.15</v>
      </c>
      <c r="G1363">
        <v>0.05</v>
      </c>
      <c r="H1363">
        <v>0.01</v>
      </c>
      <c r="I1363">
        <v>0.01</v>
      </c>
      <c r="J1363" s="8">
        <f>Table3[[#This Row],[PrimaTécnica]]*Table3[[#This Row],[Gastos Adm]]</f>
        <v>511.88420412000005</v>
      </c>
      <c r="K1363" s="8">
        <f>Table3[[#This Row],[PrimaTécnica]]*Table3[[#This Row],[Utilidad]]</f>
        <v>170.62806804000002</v>
      </c>
      <c r="L1363" s="8">
        <f>Table3[[#This Row],[PrimaTécnica]]*Table3[[#This Row],[Marketing]]</f>
        <v>34.125613608000002</v>
      </c>
      <c r="M1363" s="8">
        <f>Table3[[#This Row],[PrimaTécnica]]*Table3[[#This Row],[Cobranza]]</f>
        <v>34.125613608000002</v>
      </c>
      <c r="N136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363">
        <v>21.84</v>
      </c>
      <c r="P1363">
        <v>54.6</v>
      </c>
      <c r="Q1363">
        <v>80.64</v>
      </c>
      <c r="R1363">
        <v>44.377200000000002</v>
      </c>
      <c r="S1363">
        <v>0.2</v>
      </c>
      <c r="T1363">
        <v>0.02</v>
      </c>
      <c r="U1363" s="8">
        <f>Table3[[#This Row],[PrimaNeta]]*Table3[[#This Row],[Comisión]]</f>
        <v>903.50464020000004</v>
      </c>
      <c r="V1363" s="15">
        <f>Table3[[#This Row],[PrimaComercial Anual]]-Table3[[#This Row],[PrimaComercial Anual]]*SUM(Table3[[#This Row],[APS]:[IVA]])</f>
        <v>4517.523201</v>
      </c>
      <c r="W1363" s="2">
        <v>1.4800000000000001E-2</v>
      </c>
      <c r="X1363" s="2">
        <v>8.4501000000000007E-2</v>
      </c>
      <c r="Y1363">
        <v>0.03</v>
      </c>
      <c r="Z1363">
        <v>0.13</v>
      </c>
      <c r="AA1363" s="20">
        <f>Table3[[#This Row],[APS]]*Table3[[#This Row],[PrimaComercial Anual]]</f>
        <v>90.265200000000007</v>
      </c>
      <c r="AB1363" s="8">
        <f>Table3[[#This Row],[PrimaComercial Anual]]*Table3[[#This Row],[Recargo adicional]]</f>
        <v>515.37159900000006</v>
      </c>
      <c r="AC1363" s="8">
        <f>Table3[[#This Row],[PrimaComercial Anual]]*Table3[[#This Row],[IT]]</f>
        <v>182.97</v>
      </c>
      <c r="AD1363" s="8">
        <f>Table3[[#This Row],[PrimaComercial Anual]]*Table3[[#This Row],[IVA]]</f>
        <v>792.87</v>
      </c>
      <c r="AE1363" s="15">
        <f>Table3[[#This Row],[PrimaComercial Anual Asistencia]]</f>
        <v>6099</v>
      </c>
      <c r="AF1363">
        <v>1675.8</v>
      </c>
      <c r="AG1363">
        <v>6099</v>
      </c>
    </row>
    <row r="1364" spans="1:33" x14ac:dyDescent="0.25">
      <c r="A1364" t="s">
        <v>19</v>
      </c>
      <c r="B1364">
        <v>1750000</v>
      </c>
      <c r="C1364">
        <v>26</v>
      </c>
      <c r="D1364" s="2">
        <f>Table3[[#This Row],[PrimaTécnica]]-Table3[[#This Row],[PrimaTécnica]]*SUM(Table3[[#This Row],[Gastos Adm]:[Cobranza]])</f>
        <v>2661.7978614240001</v>
      </c>
      <c r="E1364">
        <v>754.47197279999989</v>
      </c>
      <c r="F1364">
        <v>0.15</v>
      </c>
      <c r="G1364">
        <v>0.05</v>
      </c>
      <c r="H1364">
        <v>0.01</v>
      </c>
      <c r="I1364">
        <v>0.01</v>
      </c>
      <c r="J1364" s="8">
        <f>Table3[[#This Row],[PrimaTécnica]]*Table3[[#This Row],[Gastos Adm]]</f>
        <v>511.88420412000005</v>
      </c>
      <c r="K1364" s="8">
        <f>Table3[[#This Row],[PrimaTécnica]]*Table3[[#This Row],[Utilidad]]</f>
        <v>170.62806804000002</v>
      </c>
      <c r="L1364" s="8">
        <f>Table3[[#This Row],[PrimaTécnica]]*Table3[[#This Row],[Marketing]]</f>
        <v>34.125613608000002</v>
      </c>
      <c r="M1364" s="8">
        <f>Table3[[#This Row],[PrimaTécnica]]*Table3[[#This Row],[Cobranza]]</f>
        <v>34.125613608000002</v>
      </c>
      <c r="N136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364">
        <v>21.84</v>
      </c>
      <c r="P1364">
        <v>54.6</v>
      </c>
      <c r="Q1364">
        <v>80.64</v>
      </c>
      <c r="R1364">
        <v>44.377200000000002</v>
      </c>
      <c r="S1364">
        <v>0.2</v>
      </c>
      <c r="T1364">
        <v>0.02</v>
      </c>
      <c r="U1364" s="8">
        <f>Table3[[#This Row],[PrimaNeta]]*Table3[[#This Row],[Comisión]]</f>
        <v>903.50464020000004</v>
      </c>
      <c r="V1364" s="15">
        <f>Table3[[#This Row],[PrimaComercial Anual]]-Table3[[#This Row],[PrimaComercial Anual]]*SUM(Table3[[#This Row],[APS]:[IVA]])</f>
        <v>4517.523201</v>
      </c>
      <c r="W1364" s="2">
        <v>1.4800000000000001E-2</v>
      </c>
      <c r="X1364" s="2">
        <v>8.4501000000000007E-2</v>
      </c>
      <c r="Y1364">
        <v>0.03</v>
      </c>
      <c r="Z1364">
        <v>0.13</v>
      </c>
      <c r="AA1364" s="20">
        <f>Table3[[#This Row],[APS]]*Table3[[#This Row],[PrimaComercial Anual]]</f>
        <v>90.265200000000007</v>
      </c>
      <c r="AB1364" s="8">
        <f>Table3[[#This Row],[PrimaComercial Anual]]*Table3[[#This Row],[Recargo adicional]]</f>
        <v>515.37159900000006</v>
      </c>
      <c r="AC1364" s="8">
        <f>Table3[[#This Row],[PrimaComercial Anual]]*Table3[[#This Row],[IT]]</f>
        <v>182.97</v>
      </c>
      <c r="AD1364" s="8">
        <f>Table3[[#This Row],[PrimaComercial Anual]]*Table3[[#This Row],[IVA]]</f>
        <v>792.87</v>
      </c>
      <c r="AE1364" s="15">
        <f>Table3[[#This Row],[PrimaComercial Anual Asistencia]]</f>
        <v>6099</v>
      </c>
      <c r="AF1364">
        <v>1675.8</v>
      </c>
      <c r="AG1364">
        <v>6099</v>
      </c>
    </row>
    <row r="1365" spans="1:33" x14ac:dyDescent="0.25">
      <c r="A1365" t="s">
        <v>19</v>
      </c>
      <c r="B1365">
        <v>1750000</v>
      </c>
      <c r="C1365">
        <v>27</v>
      </c>
      <c r="D1365" s="2">
        <f>Table3[[#This Row],[PrimaTécnica]]-Table3[[#This Row],[PrimaTécnica]]*SUM(Table3[[#This Row],[Gastos Adm]:[Cobranza]])</f>
        <v>2661.7978614240001</v>
      </c>
      <c r="E1365">
        <v>754.47197279999989</v>
      </c>
      <c r="F1365">
        <v>0.15</v>
      </c>
      <c r="G1365">
        <v>0.05</v>
      </c>
      <c r="H1365">
        <v>0.01</v>
      </c>
      <c r="I1365">
        <v>0.01</v>
      </c>
      <c r="J1365" s="8">
        <f>Table3[[#This Row],[PrimaTécnica]]*Table3[[#This Row],[Gastos Adm]]</f>
        <v>511.88420412000005</v>
      </c>
      <c r="K1365" s="8">
        <f>Table3[[#This Row],[PrimaTécnica]]*Table3[[#This Row],[Utilidad]]</f>
        <v>170.62806804000002</v>
      </c>
      <c r="L1365" s="8">
        <f>Table3[[#This Row],[PrimaTécnica]]*Table3[[#This Row],[Marketing]]</f>
        <v>34.125613608000002</v>
      </c>
      <c r="M1365" s="8">
        <f>Table3[[#This Row],[PrimaTécnica]]*Table3[[#This Row],[Cobranza]]</f>
        <v>34.125613608000002</v>
      </c>
      <c r="N136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365">
        <v>21.84</v>
      </c>
      <c r="P1365">
        <v>54.6</v>
      </c>
      <c r="Q1365">
        <v>80.64</v>
      </c>
      <c r="R1365">
        <v>44.377200000000002</v>
      </c>
      <c r="S1365">
        <v>0.2</v>
      </c>
      <c r="T1365">
        <v>0.02</v>
      </c>
      <c r="U1365" s="8">
        <f>Table3[[#This Row],[PrimaNeta]]*Table3[[#This Row],[Comisión]]</f>
        <v>903.50464020000004</v>
      </c>
      <c r="V1365" s="15">
        <f>Table3[[#This Row],[PrimaComercial Anual]]-Table3[[#This Row],[PrimaComercial Anual]]*SUM(Table3[[#This Row],[APS]:[IVA]])</f>
        <v>4517.523201</v>
      </c>
      <c r="W1365" s="2">
        <v>1.4800000000000001E-2</v>
      </c>
      <c r="X1365" s="2">
        <v>8.4501000000000007E-2</v>
      </c>
      <c r="Y1365">
        <v>0.03</v>
      </c>
      <c r="Z1365">
        <v>0.13</v>
      </c>
      <c r="AA1365" s="20">
        <f>Table3[[#This Row],[APS]]*Table3[[#This Row],[PrimaComercial Anual]]</f>
        <v>90.265200000000007</v>
      </c>
      <c r="AB1365" s="8">
        <f>Table3[[#This Row],[PrimaComercial Anual]]*Table3[[#This Row],[Recargo adicional]]</f>
        <v>515.37159900000006</v>
      </c>
      <c r="AC1365" s="8">
        <f>Table3[[#This Row],[PrimaComercial Anual]]*Table3[[#This Row],[IT]]</f>
        <v>182.97</v>
      </c>
      <c r="AD1365" s="8">
        <f>Table3[[#This Row],[PrimaComercial Anual]]*Table3[[#This Row],[IVA]]</f>
        <v>792.87</v>
      </c>
      <c r="AE1365" s="15">
        <f>Table3[[#This Row],[PrimaComercial Anual Asistencia]]</f>
        <v>6099</v>
      </c>
      <c r="AF1365">
        <v>1675.8</v>
      </c>
      <c r="AG1365">
        <v>6099</v>
      </c>
    </row>
    <row r="1366" spans="1:33" x14ac:dyDescent="0.25">
      <c r="A1366" t="s">
        <v>19</v>
      </c>
      <c r="B1366">
        <v>1750000</v>
      </c>
      <c r="C1366">
        <v>28</v>
      </c>
      <c r="D1366" s="2">
        <f>Table3[[#This Row],[PrimaTécnica]]-Table3[[#This Row],[PrimaTécnica]]*SUM(Table3[[#This Row],[Gastos Adm]:[Cobranza]])</f>
        <v>2661.7978614240001</v>
      </c>
      <c r="E1366">
        <v>754.47197279999989</v>
      </c>
      <c r="F1366">
        <v>0.15</v>
      </c>
      <c r="G1366">
        <v>0.05</v>
      </c>
      <c r="H1366">
        <v>0.01</v>
      </c>
      <c r="I1366">
        <v>0.01</v>
      </c>
      <c r="J1366" s="8">
        <f>Table3[[#This Row],[PrimaTécnica]]*Table3[[#This Row],[Gastos Adm]]</f>
        <v>511.88420412000005</v>
      </c>
      <c r="K1366" s="8">
        <f>Table3[[#This Row],[PrimaTécnica]]*Table3[[#This Row],[Utilidad]]</f>
        <v>170.62806804000002</v>
      </c>
      <c r="L1366" s="8">
        <f>Table3[[#This Row],[PrimaTécnica]]*Table3[[#This Row],[Marketing]]</f>
        <v>34.125613608000002</v>
      </c>
      <c r="M1366" s="8">
        <f>Table3[[#This Row],[PrimaTécnica]]*Table3[[#This Row],[Cobranza]]</f>
        <v>34.125613608000002</v>
      </c>
      <c r="N136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366">
        <v>21.84</v>
      </c>
      <c r="P1366">
        <v>54.6</v>
      </c>
      <c r="Q1366">
        <v>80.64</v>
      </c>
      <c r="R1366">
        <v>44.377200000000002</v>
      </c>
      <c r="S1366">
        <v>0.2</v>
      </c>
      <c r="T1366">
        <v>0.02</v>
      </c>
      <c r="U1366" s="8">
        <f>Table3[[#This Row],[PrimaNeta]]*Table3[[#This Row],[Comisión]]</f>
        <v>903.50464020000004</v>
      </c>
      <c r="V1366" s="15">
        <f>Table3[[#This Row],[PrimaComercial Anual]]-Table3[[#This Row],[PrimaComercial Anual]]*SUM(Table3[[#This Row],[APS]:[IVA]])</f>
        <v>4517.523201</v>
      </c>
      <c r="W1366" s="2">
        <v>1.4800000000000001E-2</v>
      </c>
      <c r="X1366" s="2">
        <v>8.4501000000000007E-2</v>
      </c>
      <c r="Y1366">
        <v>0.03</v>
      </c>
      <c r="Z1366">
        <v>0.13</v>
      </c>
      <c r="AA1366" s="20">
        <f>Table3[[#This Row],[APS]]*Table3[[#This Row],[PrimaComercial Anual]]</f>
        <v>90.265200000000007</v>
      </c>
      <c r="AB1366" s="8">
        <f>Table3[[#This Row],[PrimaComercial Anual]]*Table3[[#This Row],[Recargo adicional]]</f>
        <v>515.37159900000006</v>
      </c>
      <c r="AC1366" s="8">
        <f>Table3[[#This Row],[PrimaComercial Anual]]*Table3[[#This Row],[IT]]</f>
        <v>182.97</v>
      </c>
      <c r="AD1366" s="8">
        <f>Table3[[#This Row],[PrimaComercial Anual]]*Table3[[#This Row],[IVA]]</f>
        <v>792.87</v>
      </c>
      <c r="AE1366" s="15">
        <f>Table3[[#This Row],[PrimaComercial Anual Asistencia]]</f>
        <v>6099</v>
      </c>
      <c r="AF1366">
        <v>1675.8</v>
      </c>
      <c r="AG1366">
        <v>6099</v>
      </c>
    </row>
    <row r="1367" spans="1:33" x14ac:dyDescent="0.25">
      <c r="A1367" t="s">
        <v>19</v>
      </c>
      <c r="B1367">
        <v>1750000</v>
      </c>
      <c r="C1367">
        <v>29</v>
      </c>
      <c r="D1367" s="2">
        <f>Table3[[#This Row],[PrimaTécnica]]-Table3[[#This Row],[PrimaTécnica]]*SUM(Table3[[#This Row],[Gastos Adm]:[Cobranza]])</f>
        <v>2661.7978614240001</v>
      </c>
      <c r="E1367">
        <v>754.47197279999989</v>
      </c>
      <c r="F1367">
        <v>0.15</v>
      </c>
      <c r="G1367">
        <v>0.05</v>
      </c>
      <c r="H1367">
        <v>0.01</v>
      </c>
      <c r="I1367">
        <v>0.01</v>
      </c>
      <c r="J1367" s="8">
        <f>Table3[[#This Row],[PrimaTécnica]]*Table3[[#This Row],[Gastos Adm]]</f>
        <v>511.88420412000005</v>
      </c>
      <c r="K1367" s="8">
        <f>Table3[[#This Row],[PrimaTécnica]]*Table3[[#This Row],[Utilidad]]</f>
        <v>170.62806804000002</v>
      </c>
      <c r="L1367" s="8">
        <f>Table3[[#This Row],[PrimaTécnica]]*Table3[[#This Row],[Marketing]]</f>
        <v>34.125613608000002</v>
      </c>
      <c r="M1367" s="8">
        <f>Table3[[#This Row],[PrimaTécnica]]*Table3[[#This Row],[Cobranza]]</f>
        <v>34.125613608000002</v>
      </c>
      <c r="N136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3412.5613608000003</v>
      </c>
      <c r="O1367">
        <v>21.84</v>
      </c>
      <c r="P1367">
        <v>54.6</v>
      </c>
      <c r="Q1367">
        <v>80.64</v>
      </c>
      <c r="R1367">
        <v>44.377200000000002</v>
      </c>
      <c r="S1367">
        <v>0.2</v>
      </c>
      <c r="T1367">
        <v>0.02</v>
      </c>
      <c r="U1367" s="8">
        <f>Table3[[#This Row],[PrimaNeta]]*Table3[[#This Row],[Comisión]]</f>
        <v>903.50464020000004</v>
      </c>
      <c r="V1367" s="15">
        <f>Table3[[#This Row],[PrimaComercial Anual]]-Table3[[#This Row],[PrimaComercial Anual]]*SUM(Table3[[#This Row],[APS]:[IVA]])</f>
        <v>4517.523201</v>
      </c>
      <c r="W1367" s="2">
        <v>1.4800000000000001E-2</v>
      </c>
      <c r="X1367" s="2">
        <v>8.4501000000000007E-2</v>
      </c>
      <c r="Y1367">
        <v>0.03</v>
      </c>
      <c r="Z1367">
        <v>0.13</v>
      </c>
      <c r="AA1367" s="20">
        <f>Table3[[#This Row],[APS]]*Table3[[#This Row],[PrimaComercial Anual]]</f>
        <v>90.265200000000007</v>
      </c>
      <c r="AB1367" s="8">
        <f>Table3[[#This Row],[PrimaComercial Anual]]*Table3[[#This Row],[Recargo adicional]]</f>
        <v>515.37159900000006</v>
      </c>
      <c r="AC1367" s="8">
        <f>Table3[[#This Row],[PrimaComercial Anual]]*Table3[[#This Row],[IT]]</f>
        <v>182.97</v>
      </c>
      <c r="AD1367" s="8">
        <f>Table3[[#This Row],[PrimaComercial Anual]]*Table3[[#This Row],[IVA]]</f>
        <v>792.87</v>
      </c>
      <c r="AE1367" s="15">
        <f>Table3[[#This Row],[PrimaComercial Anual Asistencia]]</f>
        <v>6099</v>
      </c>
      <c r="AF1367">
        <v>1675.8</v>
      </c>
      <c r="AG1367">
        <v>6099</v>
      </c>
    </row>
    <row r="1368" spans="1:33" x14ac:dyDescent="0.25">
      <c r="A1368" t="s">
        <v>19</v>
      </c>
      <c r="B1368">
        <v>1750000</v>
      </c>
      <c r="C1368">
        <v>30</v>
      </c>
      <c r="D1368" s="2">
        <f>Table3[[#This Row],[PrimaTécnica]]-Table3[[#This Row],[PrimaTécnica]]*SUM(Table3[[#This Row],[Gastos Adm]:[Cobranza]])</f>
        <v>2735.5643711135999</v>
      </c>
      <c r="E1368">
        <v>1077.817104</v>
      </c>
      <c r="F1368">
        <v>0.15</v>
      </c>
      <c r="G1368">
        <v>0.05</v>
      </c>
      <c r="H1368">
        <v>0.01</v>
      </c>
      <c r="I1368">
        <v>0.01</v>
      </c>
      <c r="J1368" s="8">
        <f>Table3[[#This Row],[PrimaTécnica]]*Table3[[#This Row],[Gastos Adm]]</f>
        <v>526.07007136799996</v>
      </c>
      <c r="K1368" s="8">
        <f>Table3[[#This Row],[PrimaTécnica]]*Table3[[#This Row],[Utilidad]]</f>
        <v>175.35669045600002</v>
      </c>
      <c r="L1368" s="8">
        <f>Table3[[#This Row],[PrimaTécnica]]*Table3[[#This Row],[Marketing]]</f>
        <v>35.071338091199998</v>
      </c>
      <c r="M1368" s="8">
        <f>Table3[[#This Row],[PrimaTécnica]]*Table3[[#This Row],[Cobranza]]</f>
        <v>35.071338091199998</v>
      </c>
      <c r="N136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1368">
        <v>21.84</v>
      </c>
      <c r="P1368">
        <v>54.6</v>
      </c>
      <c r="Q1368">
        <v>80.64</v>
      </c>
      <c r="R1368">
        <v>44.377200000000002</v>
      </c>
      <c r="S1368">
        <v>0.2</v>
      </c>
      <c r="T1368">
        <v>0.02</v>
      </c>
      <c r="U1368" s="8">
        <f>Table3[[#This Row],[PrimaNeta]]*Table3[[#This Row],[Comisión]]</f>
        <v>927.14775228000008</v>
      </c>
      <c r="V1368" s="15">
        <f>Table3[[#This Row],[PrimaComercial Anual]]-Table3[[#This Row],[PrimaComercial Anual]]*SUM(Table3[[#This Row],[APS]:[IVA]])</f>
        <v>4635.7387613999999</v>
      </c>
      <c r="W1368" s="2">
        <v>1.4800000000000001E-2</v>
      </c>
      <c r="X1368" s="2">
        <v>8.4501000000000007E-2</v>
      </c>
      <c r="Y1368">
        <v>0.03</v>
      </c>
      <c r="Z1368">
        <v>0.13</v>
      </c>
      <c r="AA1368" s="20">
        <f>Table3[[#This Row],[APS]]*Table3[[#This Row],[PrimaComercial Anual]]</f>
        <v>92.627280000000013</v>
      </c>
      <c r="AB1368" s="8">
        <f>Table3[[#This Row],[PrimaComercial Anual]]*Table3[[#This Row],[Recargo adicional]]</f>
        <v>528.85795860000007</v>
      </c>
      <c r="AC1368" s="8">
        <f>Table3[[#This Row],[PrimaComercial Anual]]*Table3[[#This Row],[IT]]</f>
        <v>187.75800000000001</v>
      </c>
      <c r="AD1368" s="8">
        <f>Table3[[#This Row],[PrimaComercial Anual]]*Table3[[#This Row],[IVA]]</f>
        <v>813.61800000000005</v>
      </c>
      <c r="AE1368" s="15">
        <f>Table3[[#This Row],[PrimaComercial Anual Asistencia]]</f>
        <v>6258.6</v>
      </c>
      <c r="AF1368">
        <v>2394</v>
      </c>
      <c r="AG1368">
        <v>6258.6</v>
      </c>
    </row>
    <row r="1369" spans="1:33" x14ac:dyDescent="0.25">
      <c r="A1369" t="s">
        <v>19</v>
      </c>
      <c r="B1369">
        <v>1750000</v>
      </c>
      <c r="C1369">
        <v>31</v>
      </c>
      <c r="D1369" s="2">
        <f>Table3[[#This Row],[PrimaTécnica]]-Table3[[#This Row],[PrimaTécnica]]*SUM(Table3[[#This Row],[Gastos Adm]:[Cobranza]])</f>
        <v>2735.5643711135999</v>
      </c>
      <c r="E1369">
        <v>1077.817104</v>
      </c>
      <c r="F1369">
        <v>0.15</v>
      </c>
      <c r="G1369">
        <v>0.05</v>
      </c>
      <c r="H1369">
        <v>0.01</v>
      </c>
      <c r="I1369">
        <v>0.01</v>
      </c>
      <c r="J1369" s="8">
        <f>Table3[[#This Row],[PrimaTécnica]]*Table3[[#This Row],[Gastos Adm]]</f>
        <v>526.07007136799996</v>
      </c>
      <c r="K1369" s="8">
        <f>Table3[[#This Row],[PrimaTécnica]]*Table3[[#This Row],[Utilidad]]</f>
        <v>175.35669045600002</v>
      </c>
      <c r="L1369" s="8">
        <f>Table3[[#This Row],[PrimaTécnica]]*Table3[[#This Row],[Marketing]]</f>
        <v>35.071338091199998</v>
      </c>
      <c r="M1369" s="8">
        <f>Table3[[#This Row],[PrimaTécnica]]*Table3[[#This Row],[Cobranza]]</f>
        <v>35.071338091199998</v>
      </c>
      <c r="N136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1369">
        <v>21.84</v>
      </c>
      <c r="P1369">
        <v>54.6</v>
      </c>
      <c r="Q1369">
        <v>80.64</v>
      </c>
      <c r="R1369">
        <v>44.377200000000002</v>
      </c>
      <c r="S1369">
        <v>0.2</v>
      </c>
      <c r="T1369">
        <v>0.02</v>
      </c>
      <c r="U1369" s="8">
        <f>Table3[[#This Row],[PrimaNeta]]*Table3[[#This Row],[Comisión]]</f>
        <v>927.14775228000008</v>
      </c>
      <c r="V1369" s="15">
        <f>Table3[[#This Row],[PrimaComercial Anual]]-Table3[[#This Row],[PrimaComercial Anual]]*SUM(Table3[[#This Row],[APS]:[IVA]])</f>
        <v>4635.7387613999999</v>
      </c>
      <c r="W1369" s="2">
        <v>1.4800000000000001E-2</v>
      </c>
      <c r="X1369" s="2">
        <v>8.4501000000000007E-2</v>
      </c>
      <c r="Y1369">
        <v>0.03</v>
      </c>
      <c r="Z1369">
        <v>0.13</v>
      </c>
      <c r="AA1369" s="20">
        <f>Table3[[#This Row],[APS]]*Table3[[#This Row],[PrimaComercial Anual]]</f>
        <v>92.627280000000013</v>
      </c>
      <c r="AB1369" s="8">
        <f>Table3[[#This Row],[PrimaComercial Anual]]*Table3[[#This Row],[Recargo adicional]]</f>
        <v>528.85795860000007</v>
      </c>
      <c r="AC1369" s="8">
        <f>Table3[[#This Row],[PrimaComercial Anual]]*Table3[[#This Row],[IT]]</f>
        <v>187.75800000000001</v>
      </c>
      <c r="AD1369" s="8">
        <f>Table3[[#This Row],[PrimaComercial Anual]]*Table3[[#This Row],[IVA]]</f>
        <v>813.61800000000005</v>
      </c>
      <c r="AE1369" s="15">
        <f>Table3[[#This Row],[PrimaComercial Anual Asistencia]]</f>
        <v>6258.6</v>
      </c>
      <c r="AF1369">
        <v>2394</v>
      </c>
      <c r="AG1369">
        <v>6258.6</v>
      </c>
    </row>
    <row r="1370" spans="1:33" x14ac:dyDescent="0.25">
      <c r="A1370" t="s">
        <v>19</v>
      </c>
      <c r="B1370">
        <v>1750000</v>
      </c>
      <c r="C1370">
        <v>32</v>
      </c>
      <c r="D1370" s="2">
        <f>Table3[[#This Row],[PrimaTécnica]]-Table3[[#This Row],[PrimaTécnica]]*SUM(Table3[[#This Row],[Gastos Adm]:[Cobranza]])</f>
        <v>2735.5643711135999</v>
      </c>
      <c r="E1370">
        <v>1077.817104</v>
      </c>
      <c r="F1370">
        <v>0.15</v>
      </c>
      <c r="G1370">
        <v>0.05</v>
      </c>
      <c r="H1370">
        <v>0.01</v>
      </c>
      <c r="I1370">
        <v>0.01</v>
      </c>
      <c r="J1370" s="8">
        <f>Table3[[#This Row],[PrimaTécnica]]*Table3[[#This Row],[Gastos Adm]]</f>
        <v>526.07007136799996</v>
      </c>
      <c r="K1370" s="8">
        <f>Table3[[#This Row],[PrimaTécnica]]*Table3[[#This Row],[Utilidad]]</f>
        <v>175.35669045600002</v>
      </c>
      <c r="L1370" s="8">
        <f>Table3[[#This Row],[PrimaTécnica]]*Table3[[#This Row],[Marketing]]</f>
        <v>35.071338091199998</v>
      </c>
      <c r="M1370" s="8">
        <f>Table3[[#This Row],[PrimaTécnica]]*Table3[[#This Row],[Cobranza]]</f>
        <v>35.071338091199998</v>
      </c>
      <c r="N137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1370">
        <v>21.84</v>
      </c>
      <c r="P1370">
        <v>54.6</v>
      </c>
      <c r="Q1370">
        <v>80.64</v>
      </c>
      <c r="R1370">
        <v>44.377200000000002</v>
      </c>
      <c r="S1370">
        <v>0.2</v>
      </c>
      <c r="T1370">
        <v>0.02</v>
      </c>
      <c r="U1370" s="8">
        <f>Table3[[#This Row],[PrimaNeta]]*Table3[[#This Row],[Comisión]]</f>
        <v>927.14775228000008</v>
      </c>
      <c r="V1370" s="15">
        <f>Table3[[#This Row],[PrimaComercial Anual]]-Table3[[#This Row],[PrimaComercial Anual]]*SUM(Table3[[#This Row],[APS]:[IVA]])</f>
        <v>4635.7387613999999</v>
      </c>
      <c r="W1370" s="2">
        <v>1.4800000000000001E-2</v>
      </c>
      <c r="X1370" s="2">
        <v>8.4501000000000007E-2</v>
      </c>
      <c r="Y1370">
        <v>0.03</v>
      </c>
      <c r="Z1370">
        <v>0.13</v>
      </c>
      <c r="AA1370" s="20">
        <f>Table3[[#This Row],[APS]]*Table3[[#This Row],[PrimaComercial Anual]]</f>
        <v>92.627280000000013</v>
      </c>
      <c r="AB1370" s="8">
        <f>Table3[[#This Row],[PrimaComercial Anual]]*Table3[[#This Row],[Recargo adicional]]</f>
        <v>528.85795860000007</v>
      </c>
      <c r="AC1370" s="8">
        <f>Table3[[#This Row],[PrimaComercial Anual]]*Table3[[#This Row],[IT]]</f>
        <v>187.75800000000001</v>
      </c>
      <c r="AD1370" s="8">
        <f>Table3[[#This Row],[PrimaComercial Anual]]*Table3[[#This Row],[IVA]]</f>
        <v>813.61800000000005</v>
      </c>
      <c r="AE1370" s="15">
        <f>Table3[[#This Row],[PrimaComercial Anual Asistencia]]</f>
        <v>6258.6</v>
      </c>
      <c r="AF1370">
        <v>2394</v>
      </c>
      <c r="AG1370">
        <v>6258.6</v>
      </c>
    </row>
    <row r="1371" spans="1:33" x14ac:dyDescent="0.25">
      <c r="A1371" t="s">
        <v>19</v>
      </c>
      <c r="B1371">
        <v>1750000</v>
      </c>
      <c r="C1371">
        <v>33</v>
      </c>
      <c r="D1371" s="2">
        <f>Table3[[#This Row],[PrimaTécnica]]-Table3[[#This Row],[PrimaTécnica]]*SUM(Table3[[#This Row],[Gastos Adm]:[Cobranza]])</f>
        <v>2735.5643711135999</v>
      </c>
      <c r="E1371">
        <v>1077.817104</v>
      </c>
      <c r="F1371">
        <v>0.15</v>
      </c>
      <c r="G1371">
        <v>0.05</v>
      </c>
      <c r="H1371">
        <v>0.01</v>
      </c>
      <c r="I1371">
        <v>0.01</v>
      </c>
      <c r="J1371" s="8">
        <f>Table3[[#This Row],[PrimaTécnica]]*Table3[[#This Row],[Gastos Adm]]</f>
        <v>526.07007136799996</v>
      </c>
      <c r="K1371" s="8">
        <f>Table3[[#This Row],[PrimaTécnica]]*Table3[[#This Row],[Utilidad]]</f>
        <v>175.35669045600002</v>
      </c>
      <c r="L1371" s="8">
        <f>Table3[[#This Row],[PrimaTécnica]]*Table3[[#This Row],[Marketing]]</f>
        <v>35.071338091199998</v>
      </c>
      <c r="M1371" s="8">
        <f>Table3[[#This Row],[PrimaTécnica]]*Table3[[#This Row],[Cobranza]]</f>
        <v>35.071338091199998</v>
      </c>
      <c r="N137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1371">
        <v>21.84</v>
      </c>
      <c r="P1371">
        <v>54.6</v>
      </c>
      <c r="Q1371">
        <v>80.64</v>
      </c>
      <c r="R1371">
        <v>44.377200000000002</v>
      </c>
      <c r="S1371">
        <v>0.2</v>
      </c>
      <c r="T1371">
        <v>0.02</v>
      </c>
      <c r="U1371" s="8">
        <f>Table3[[#This Row],[PrimaNeta]]*Table3[[#This Row],[Comisión]]</f>
        <v>927.14775228000008</v>
      </c>
      <c r="V1371" s="15">
        <f>Table3[[#This Row],[PrimaComercial Anual]]-Table3[[#This Row],[PrimaComercial Anual]]*SUM(Table3[[#This Row],[APS]:[IVA]])</f>
        <v>4635.7387613999999</v>
      </c>
      <c r="W1371" s="2">
        <v>1.4800000000000001E-2</v>
      </c>
      <c r="X1371" s="2">
        <v>8.4501000000000007E-2</v>
      </c>
      <c r="Y1371">
        <v>0.03</v>
      </c>
      <c r="Z1371">
        <v>0.13</v>
      </c>
      <c r="AA1371" s="20">
        <f>Table3[[#This Row],[APS]]*Table3[[#This Row],[PrimaComercial Anual]]</f>
        <v>92.627280000000013</v>
      </c>
      <c r="AB1371" s="8">
        <f>Table3[[#This Row],[PrimaComercial Anual]]*Table3[[#This Row],[Recargo adicional]]</f>
        <v>528.85795860000007</v>
      </c>
      <c r="AC1371" s="8">
        <f>Table3[[#This Row],[PrimaComercial Anual]]*Table3[[#This Row],[IT]]</f>
        <v>187.75800000000001</v>
      </c>
      <c r="AD1371" s="8">
        <f>Table3[[#This Row],[PrimaComercial Anual]]*Table3[[#This Row],[IVA]]</f>
        <v>813.61800000000005</v>
      </c>
      <c r="AE1371" s="15">
        <f>Table3[[#This Row],[PrimaComercial Anual Asistencia]]</f>
        <v>6258.6</v>
      </c>
      <c r="AF1371">
        <v>2394</v>
      </c>
      <c r="AG1371">
        <v>6258.6</v>
      </c>
    </row>
    <row r="1372" spans="1:33" x14ac:dyDescent="0.25">
      <c r="A1372" t="s">
        <v>19</v>
      </c>
      <c r="B1372">
        <v>1750000</v>
      </c>
      <c r="C1372">
        <v>34</v>
      </c>
      <c r="D1372" s="2">
        <f>Table3[[#This Row],[PrimaTécnica]]-Table3[[#This Row],[PrimaTécnica]]*SUM(Table3[[#This Row],[Gastos Adm]:[Cobranza]])</f>
        <v>2735.5643711135999</v>
      </c>
      <c r="E1372">
        <v>1077.817104</v>
      </c>
      <c r="F1372">
        <v>0.15</v>
      </c>
      <c r="G1372">
        <v>0.05</v>
      </c>
      <c r="H1372">
        <v>0.01</v>
      </c>
      <c r="I1372">
        <v>0.01</v>
      </c>
      <c r="J1372" s="8">
        <f>Table3[[#This Row],[PrimaTécnica]]*Table3[[#This Row],[Gastos Adm]]</f>
        <v>526.07007136799996</v>
      </c>
      <c r="K1372" s="8">
        <f>Table3[[#This Row],[PrimaTécnica]]*Table3[[#This Row],[Utilidad]]</f>
        <v>175.35669045600002</v>
      </c>
      <c r="L1372" s="8">
        <f>Table3[[#This Row],[PrimaTécnica]]*Table3[[#This Row],[Marketing]]</f>
        <v>35.071338091199998</v>
      </c>
      <c r="M1372" s="8">
        <f>Table3[[#This Row],[PrimaTécnica]]*Table3[[#This Row],[Cobranza]]</f>
        <v>35.071338091199998</v>
      </c>
      <c r="N137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1372">
        <v>21.84</v>
      </c>
      <c r="P1372">
        <v>54.6</v>
      </c>
      <c r="Q1372">
        <v>80.64</v>
      </c>
      <c r="R1372">
        <v>44.377200000000002</v>
      </c>
      <c r="S1372">
        <v>0.2</v>
      </c>
      <c r="T1372">
        <v>0.02</v>
      </c>
      <c r="U1372" s="8">
        <f>Table3[[#This Row],[PrimaNeta]]*Table3[[#This Row],[Comisión]]</f>
        <v>927.14775228000008</v>
      </c>
      <c r="V1372" s="15">
        <f>Table3[[#This Row],[PrimaComercial Anual]]-Table3[[#This Row],[PrimaComercial Anual]]*SUM(Table3[[#This Row],[APS]:[IVA]])</f>
        <v>4635.7387613999999</v>
      </c>
      <c r="W1372" s="2">
        <v>1.4800000000000001E-2</v>
      </c>
      <c r="X1372" s="2">
        <v>8.4501000000000007E-2</v>
      </c>
      <c r="Y1372">
        <v>0.03</v>
      </c>
      <c r="Z1372">
        <v>0.13</v>
      </c>
      <c r="AA1372" s="20">
        <f>Table3[[#This Row],[APS]]*Table3[[#This Row],[PrimaComercial Anual]]</f>
        <v>92.627280000000013</v>
      </c>
      <c r="AB1372" s="8">
        <f>Table3[[#This Row],[PrimaComercial Anual]]*Table3[[#This Row],[Recargo adicional]]</f>
        <v>528.85795860000007</v>
      </c>
      <c r="AC1372" s="8">
        <f>Table3[[#This Row],[PrimaComercial Anual]]*Table3[[#This Row],[IT]]</f>
        <v>187.75800000000001</v>
      </c>
      <c r="AD1372" s="8">
        <f>Table3[[#This Row],[PrimaComercial Anual]]*Table3[[#This Row],[IVA]]</f>
        <v>813.61800000000005</v>
      </c>
      <c r="AE1372" s="15">
        <f>Table3[[#This Row],[PrimaComercial Anual Asistencia]]</f>
        <v>6258.6</v>
      </c>
      <c r="AF1372">
        <v>2394</v>
      </c>
      <c r="AG1372">
        <v>6258.6</v>
      </c>
    </row>
    <row r="1373" spans="1:33" x14ac:dyDescent="0.25">
      <c r="A1373" t="s">
        <v>19</v>
      </c>
      <c r="B1373">
        <v>1750000</v>
      </c>
      <c r="C1373">
        <v>35</v>
      </c>
      <c r="D1373" s="2">
        <f>Table3[[#This Row],[PrimaTécnica]]-Table3[[#This Row],[PrimaTécnica]]*SUM(Table3[[#This Row],[Gastos Adm]:[Cobranza]])</f>
        <v>2735.5643711135999</v>
      </c>
      <c r="E1373">
        <v>1077.817104</v>
      </c>
      <c r="F1373">
        <v>0.15</v>
      </c>
      <c r="G1373">
        <v>0.05</v>
      </c>
      <c r="H1373">
        <v>0.01</v>
      </c>
      <c r="I1373">
        <v>0.01</v>
      </c>
      <c r="J1373" s="8">
        <f>Table3[[#This Row],[PrimaTécnica]]*Table3[[#This Row],[Gastos Adm]]</f>
        <v>526.07007136799996</v>
      </c>
      <c r="K1373" s="8">
        <f>Table3[[#This Row],[PrimaTécnica]]*Table3[[#This Row],[Utilidad]]</f>
        <v>175.35669045600002</v>
      </c>
      <c r="L1373" s="8">
        <f>Table3[[#This Row],[PrimaTécnica]]*Table3[[#This Row],[Marketing]]</f>
        <v>35.071338091199998</v>
      </c>
      <c r="M1373" s="8">
        <f>Table3[[#This Row],[PrimaTécnica]]*Table3[[#This Row],[Cobranza]]</f>
        <v>35.071338091199998</v>
      </c>
      <c r="N137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1373">
        <v>21.84</v>
      </c>
      <c r="P1373">
        <v>54.6</v>
      </c>
      <c r="Q1373">
        <v>80.64</v>
      </c>
      <c r="R1373">
        <v>44.377200000000002</v>
      </c>
      <c r="S1373">
        <v>0.2</v>
      </c>
      <c r="T1373">
        <v>0.02</v>
      </c>
      <c r="U1373" s="8">
        <f>Table3[[#This Row],[PrimaNeta]]*Table3[[#This Row],[Comisión]]</f>
        <v>927.14775228000008</v>
      </c>
      <c r="V1373" s="15">
        <f>Table3[[#This Row],[PrimaComercial Anual]]-Table3[[#This Row],[PrimaComercial Anual]]*SUM(Table3[[#This Row],[APS]:[IVA]])</f>
        <v>4635.7387613999999</v>
      </c>
      <c r="W1373" s="2">
        <v>1.4800000000000001E-2</v>
      </c>
      <c r="X1373" s="2">
        <v>8.4501000000000007E-2</v>
      </c>
      <c r="Y1373">
        <v>0.03</v>
      </c>
      <c r="Z1373">
        <v>0.13</v>
      </c>
      <c r="AA1373" s="20">
        <f>Table3[[#This Row],[APS]]*Table3[[#This Row],[PrimaComercial Anual]]</f>
        <v>92.627280000000013</v>
      </c>
      <c r="AB1373" s="8">
        <f>Table3[[#This Row],[PrimaComercial Anual]]*Table3[[#This Row],[Recargo adicional]]</f>
        <v>528.85795860000007</v>
      </c>
      <c r="AC1373" s="8">
        <f>Table3[[#This Row],[PrimaComercial Anual]]*Table3[[#This Row],[IT]]</f>
        <v>187.75800000000001</v>
      </c>
      <c r="AD1373" s="8">
        <f>Table3[[#This Row],[PrimaComercial Anual]]*Table3[[#This Row],[IVA]]</f>
        <v>813.61800000000005</v>
      </c>
      <c r="AE1373" s="15">
        <f>Table3[[#This Row],[PrimaComercial Anual Asistencia]]</f>
        <v>6258.6</v>
      </c>
      <c r="AF1373">
        <v>2394</v>
      </c>
      <c r="AG1373">
        <v>6258.6</v>
      </c>
    </row>
    <row r="1374" spans="1:33" x14ac:dyDescent="0.25">
      <c r="A1374" t="s">
        <v>19</v>
      </c>
      <c r="B1374">
        <v>1750000</v>
      </c>
      <c r="C1374">
        <v>36</v>
      </c>
      <c r="D1374" s="2">
        <f>Table3[[#This Row],[PrimaTécnica]]-Table3[[#This Row],[PrimaTécnica]]*SUM(Table3[[#This Row],[Gastos Adm]:[Cobranza]])</f>
        <v>2735.5643711135999</v>
      </c>
      <c r="E1374">
        <v>1077.817104</v>
      </c>
      <c r="F1374">
        <v>0.15</v>
      </c>
      <c r="G1374">
        <v>0.05</v>
      </c>
      <c r="H1374">
        <v>0.01</v>
      </c>
      <c r="I1374">
        <v>0.01</v>
      </c>
      <c r="J1374" s="8">
        <f>Table3[[#This Row],[PrimaTécnica]]*Table3[[#This Row],[Gastos Adm]]</f>
        <v>526.07007136799996</v>
      </c>
      <c r="K1374" s="8">
        <f>Table3[[#This Row],[PrimaTécnica]]*Table3[[#This Row],[Utilidad]]</f>
        <v>175.35669045600002</v>
      </c>
      <c r="L1374" s="8">
        <f>Table3[[#This Row],[PrimaTécnica]]*Table3[[#This Row],[Marketing]]</f>
        <v>35.071338091199998</v>
      </c>
      <c r="M1374" s="8">
        <f>Table3[[#This Row],[PrimaTécnica]]*Table3[[#This Row],[Cobranza]]</f>
        <v>35.071338091199998</v>
      </c>
      <c r="N137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1374">
        <v>21.84</v>
      </c>
      <c r="P1374">
        <v>54.6</v>
      </c>
      <c r="Q1374">
        <v>80.64</v>
      </c>
      <c r="R1374">
        <v>44.377200000000002</v>
      </c>
      <c r="S1374">
        <v>0.2</v>
      </c>
      <c r="T1374">
        <v>0.02</v>
      </c>
      <c r="U1374" s="8">
        <f>Table3[[#This Row],[PrimaNeta]]*Table3[[#This Row],[Comisión]]</f>
        <v>927.14775228000008</v>
      </c>
      <c r="V1374" s="15">
        <f>Table3[[#This Row],[PrimaComercial Anual]]-Table3[[#This Row],[PrimaComercial Anual]]*SUM(Table3[[#This Row],[APS]:[IVA]])</f>
        <v>4635.7387613999999</v>
      </c>
      <c r="W1374" s="2">
        <v>1.4800000000000001E-2</v>
      </c>
      <c r="X1374" s="2">
        <v>8.4501000000000007E-2</v>
      </c>
      <c r="Y1374">
        <v>0.03</v>
      </c>
      <c r="Z1374">
        <v>0.13</v>
      </c>
      <c r="AA1374" s="20">
        <f>Table3[[#This Row],[APS]]*Table3[[#This Row],[PrimaComercial Anual]]</f>
        <v>92.627280000000013</v>
      </c>
      <c r="AB1374" s="8">
        <f>Table3[[#This Row],[PrimaComercial Anual]]*Table3[[#This Row],[Recargo adicional]]</f>
        <v>528.85795860000007</v>
      </c>
      <c r="AC1374" s="8">
        <f>Table3[[#This Row],[PrimaComercial Anual]]*Table3[[#This Row],[IT]]</f>
        <v>187.75800000000001</v>
      </c>
      <c r="AD1374" s="8">
        <f>Table3[[#This Row],[PrimaComercial Anual]]*Table3[[#This Row],[IVA]]</f>
        <v>813.61800000000005</v>
      </c>
      <c r="AE1374" s="15">
        <f>Table3[[#This Row],[PrimaComercial Anual Asistencia]]</f>
        <v>6258.6</v>
      </c>
      <c r="AF1374">
        <v>2394</v>
      </c>
      <c r="AG1374">
        <v>6258.6</v>
      </c>
    </row>
    <row r="1375" spans="1:33" x14ac:dyDescent="0.25">
      <c r="A1375" t="s">
        <v>19</v>
      </c>
      <c r="B1375">
        <v>1750000</v>
      </c>
      <c r="C1375">
        <v>37</v>
      </c>
      <c r="D1375" s="2">
        <f>Table3[[#This Row],[PrimaTécnica]]-Table3[[#This Row],[PrimaTécnica]]*SUM(Table3[[#This Row],[Gastos Adm]:[Cobranza]])</f>
        <v>2735.5643711135999</v>
      </c>
      <c r="E1375">
        <v>1077.817104</v>
      </c>
      <c r="F1375">
        <v>0.15</v>
      </c>
      <c r="G1375">
        <v>0.05</v>
      </c>
      <c r="H1375">
        <v>0.01</v>
      </c>
      <c r="I1375">
        <v>0.01</v>
      </c>
      <c r="J1375" s="8">
        <f>Table3[[#This Row],[PrimaTécnica]]*Table3[[#This Row],[Gastos Adm]]</f>
        <v>526.07007136799996</v>
      </c>
      <c r="K1375" s="8">
        <f>Table3[[#This Row],[PrimaTécnica]]*Table3[[#This Row],[Utilidad]]</f>
        <v>175.35669045600002</v>
      </c>
      <c r="L1375" s="8">
        <f>Table3[[#This Row],[PrimaTécnica]]*Table3[[#This Row],[Marketing]]</f>
        <v>35.071338091199998</v>
      </c>
      <c r="M1375" s="8">
        <f>Table3[[#This Row],[PrimaTécnica]]*Table3[[#This Row],[Cobranza]]</f>
        <v>35.071338091199998</v>
      </c>
      <c r="N137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1375">
        <v>21.84</v>
      </c>
      <c r="P1375">
        <v>54.6</v>
      </c>
      <c r="Q1375">
        <v>80.64</v>
      </c>
      <c r="R1375">
        <v>44.377200000000002</v>
      </c>
      <c r="S1375">
        <v>0.2</v>
      </c>
      <c r="T1375">
        <v>0.02</v>
      </c>
      <c r="U1375" s="8">
        <f>Table3[[#This Row],[PrimaNeta]]*Table3[[#This Row],[Comisión]]</f>
        <v>927.14775228000008</v>
      </c>
      <c r="V1375" s="15">
        <f>Table3[[#This Row],[PrimaComercial Anual]]-Table3[[#This Row],[PrimaComercial Anual]]*SUM(Table3[[#This Row],[APS]:[IVA]])</f>
        <v>4635.7387613999999</v>
      </c>
      <c r="W1375" s="2">
        <v>1.4800000000000001E-2</v>
      </c>
      <c r="X1375" s="2">
        <v>8.4501000000000007E-2</v>
      </c>
      <c r="Y1375">
        <v>0.03</v>
      </c>
      <c r="Z1375">
        <v>0.13</v>
      </c>
      <c r="AA1375" s="20">
        <f>Table3[[#This Row],[APS]]*Table3[[#This Row],[PrimaComercial Anual]]</f>
        <v>92.627280000000013</v>
      </c>
      <c r="AB1375" s="8">
        <f>Table3[[#This Row],[PrimaComercial Anual]]*Table3[[#This Row],[Recargo adicional]]</f>
        <v>528.85795860000007</v>
      </c>
      <c r="AC1375" s="8">
        <f>Table3[[#This Row],[PrimaComercial Anual]]*Table3[[#This Row],[IT]]</f>
        <v>187.75800000000001</v>
      </c>
      <c r="AD1375" s="8">
        <f>Table3[[#This Row],[PrimaComercial Anual]]*Table3[[#This Row],[IVA]]</f>
        <v>813.61800000000005</v>
      </c>
      <c r="AE1375" s="15">
        <f>Table3[[#This Row],[PrimaComercial Anual Asistencia]]</f>
        <v>6258.6</v>
      </c>
      <c r="AF1375">
        <v>2394</v>
      </c>
      <c r="AG1375">
        <v>6258.6</v>
      </c>
    </row>
    <row r="1376" spans="1:33" x14ac:dyDescent="0.25">
      <c r="A1376" t="s">
        <v>19</v>
      </c>
      <c r="B1376">
        <v>1750000</v>
      </c>
      <c r="C1376">
        <v>38</v>
      </c>
      <c r="D1376" s="2">
        <f>Table3[[#This Row],[PrimaTécnica]]-Table3[[#This Row],[PrimaTécnica]]*SUM(Table3[[#This Row],[Gastos Adm]:[Cobranza]])</f>
        <v>2735.5643711135999</v>
      </c>
      <c r="E1376">
        <v>1077.817104</v>
      </c>
      <c r="F1376">
        <v>0.15</v>
      </c>
      <c r="G1376">
        <v>0.05</v>
      </c>
      <c r="H1376">
        <v>0.01</v>
      </c>
      <c r="I1376">
        <v>0.01</v>
      </c>
      <c r="J1376" s="8">
        <f>Table3[[#This Row],[PrimaTécnica]]*Table3[[#This Row],[Gastos Adm]]</f>
        <v>526.07007136799996</v>
      </c>
      <c r="K1376" s="8">
        <f>Table3[[#This Row],[PrimaTécnica]]*Table3[[#This Row],[Utilidad]]</f>
        <v>175.35669045600002</v>
      </c>
      <c r="L1376" s="8">
        <f>Table3[[#This Row],[PrimaTécnica]]*Table3[[#This Row],[Marketing]]</f>
        <v>35.071338091199998</v>
      </c>
      <c r="M1376" s="8">
        <f>Table3[[#This Row],[PrimaTécnica]]*Table3[[#This Row],[Cobranza]]</f>
        <v>35.071338091199998</v>
      </c>
      <c r="N137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1376">
        <v>21.84</v>
      </c>
      <c r="P1376">
        <v>54.6</v>
      </c>
      <c r="Q1376">
        <v>80.64</v>
      </c>
      <c r="R1376">
        <v>44.377200000000002</v>
      </c>
      <c r="S1376">
        <v>0.2</v>
      </c>
      <c r="T1376">
        <v>0.02</v>
      </c>
      <c r="U1376" s="8">
        <f>Table3[[#This Row],[PrimaNeta]]*Table3[[#This Row],[Comisión]]</f>
        <v>927.14775228000008</v>
      </c>
      <c r="V1376" s="15">
        <f>Table3[[#This Row],[PrimaComercial Anual]]-Table3[[#This Row],[PrimaComercial Anual]]*SUM(Table3[[#This Row],[APS]:[IVA]])</f>
        <v>4635.7387613999999</v>
      </c>
      <c r="W1376" s="2">
        <v>1.4800000000000001E-2</v>
      </c>
      <c r="X1376" s="2">
        <v>8.4501000000000007E-2</v>
      </c>
      <c r="Y1376">
        <v>0.03</v>
      </c>
      <c r="Z1376">
        <v>0.13</v>
      </c>
      <c r="AA1376" s="20">
        <f>Table3[[#This Row],[APS]]*Table3[[#This Row],[PrimaComercial Anual]]</f>
        <v>92.627280000000013</v>
      </c>
      <c r="AB1376" s="8">
        <f>Table3[[#This Row],[PrimaComercial Anual]]*Table3[[#This Row],[Recargo adicional]]</f>
        <v>528.85795860000007</v>
      </c>
      <c r="AC1376" s="8">
        <f>Table3[[#This Row],[PrimaComercial Anual]]*Table3[[#This Row],[IT]]</f>
        <v>187.75800000000001</v>
      </c>
      <c r="AD1376" s="8">
        <f>Table3[[#This Row],[PrimaComercial Anual]]*Table3[[#This Row],[IVA]]</f>
        <v>813.61800000000005</v>
      </c>
      <c r="AE1376" s="15">
        <f>Table3[[#This Row],[PrimaComercial Anual Asistencia]]</f>
        <v>6258.6</v>
      </c>
      <c r="AF1376">
        <v>2394</v>
      </c>
      <c r="AG1376">
        <v>6258.6</v>
      </c>
    </row>
    <row r="1377" spans="1:33" x14ac:dyDescent="0.25">
      <c r="A1377" t="s">
        <v>19</v>
      </c>
      <c r="B1377">
        <v>1750000</v>
      </c>
      <c r="C1377">
        <v>39</v>
      </c>
      <c r="D1377" s="2">
        <f>Table3[[#This Row],[PrimaTécnica]]-Table3[[#This Row],[PrimaTécnica]]*SUM(Table3[[#This Row],[Gastos Adm]:[Cobranza]])</f>
        <v>2735.5643711135999</v>
      </c>
      <c r="E1377">
        <v>1077.817104</v>
      </c>
      <c r="F1377">
        <v>0.15</v>
      </c>
      <c r="G1377">
        <v>0.05</v>
      </c>
      <c r="H1377">
        <v>0.01</v>
      </c>
      <c r="I1377">
        <v>0.01</v>
      </c>
      <c r="J1377" s="8">
        <f>Table3[[#This Row],[PrimaTécnica]]*Table3[[#This Row],[Gastos Adm]]</f>
        <v>526.07007136799996</v>
      </c>
      <c r="K1377" s="8">
        <f>Table3[[#This Row],[PrimaTécnica]]*Table3[[#This Row],[Utilidad]]</f>
        <v>175.35669045600002</v>
      </c>
      <c r="L1377" s="8">
        <f>Table3[[#This Row],[PrimaTécnica]]*Table3[[#This Row],[Marketing]]</f>
        <v>35.071338091199998</v>
      </c>
      <c r="M1377" s="8">
        <f>Table3[[#This Row],[PrimaTécnica]]*Table3[[#This Row],[Cobranza]]</f>
        <v>35.071338091199998</v>
      </c>
      <c r="N137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3507.13380912</v>
      </c>
      <c r="O1377">
        <v>21.84</v>
      </c>
      <c r="P1377">
        <v>54.6</v>
      </c>
      <c r="Q1377">
        <v>80.64</v>
      </c>
      <c r="R1377">
        <v>44.377200000000002</v>
      </c>
      <c r="S1377">
        <v>0.2</v>
      </c>
      <c r="T1377">
        <v>0.02</v>
      </c>
      <c r="U1377" s="8">
        <f>Table3[[#This Row],[PrimaNeta]]*Table3[[#This Row],[Comisión]]</f>
        <v>927.14775228000008</v>
      </c>
      <c r="V1377" s="15">
        <f>Table3[[#This Row],[PrimaComercial Anual]]-Table3[[#This Row],[PrimaComercial Anual]]*SUM(Table3[[#This Row],[APS]:[IVA]])</f>
        <v>4635.7387613999999</v>
      </c>
      <c r="W1377" s="2">
        <v>1.4800000000000001E-2</v>
      </c>
      <c r="X1377" s="2">
        <v>8.4501000000000007E-2</v>
      </c>
      <c r="Y1377">
        <v>0.03</v>
      </c>
      <c r="Z1377">
        <v>0.13</v>
      </c>
      <c r="AA1377" s="20">
        <f>Table3[[#This Row],[APS]]*Table3[[#This Row],[PrimaComercial Anual]]</f>
        <v>92.627280000000013</v>
      </c>
      <c r="AB1377" s="8">
        <f>Table3[[#This Row],[PrimaComercial Anual]]*Table3[[#This Row],[Recargo adicional]]</f>
        <v>528.85795860000007</v>
      </c>
      <c r="AC1377" s="8">
        <f>Table3[[#This Row],[PrimaComercial Anual]]*Table3[[#This Row],[IT]]</f>
        <v>187.75800000000001</v>
      </c>
      <c r="AD1377" s="8">
        <f>Table3[[#This Row],[PrimaComercial Anual]]*Table3[[#This Row],[IVA]]</f>
        <v>813.61800000000005</v>
      </c>
      <c r="AE1377" s="15">
        <f>Table3[[#This Row],[PrimaComercial Anual Asistencia]]</f>
        <v>6258.6</v>
      </c>
      <c r="AF1377">
        <v>2394</v>
      </c>
      <c r="AG1377">
        <v>6258.6</v>
      </c>
    </row>
    <row r="1378" spans="1:33" x14ac:dyDescent="0.25">
      <c r="A1378" t="s">
        <v>19</v>
      </c>
      <c r="B1378">
        <v>1750000</v>
      </c>
      <c r="C1378">
        <v>40</v>
      </c>
      <c r="D1378" s="2">
        <f>Table3[[#This Row],[PrimaTécnica]]-Table3[[#This Row],[PrimaTécnica]]*SUM(Table3[[#This Row],[Gastos Adm]:[Cobranza]])</f>
        <v>3768.2955067679991</v>
      </c>
      <c r="E1378">
        <v>287.41789439999997</v>
      </c>
      <c r="F1378">
        <v>0.15</v>
      </c>
      <c r="G1378">
        <v>0.05</v>
      </c>
      <c r="H1378">
        <v>0.01</v>
      </c>
      <c r="I1378">
        <v>0.01</v>
      </c>
      <c r="J1378" s="8">
        <f>Table3[[#This Row],[PrimaTécnica]]*Table3[[#This Row],[Gastos Adm]]</f>
        <v>724.67221283999982</v>
      </c>
      <c r="K1378" s="8">
        <f>Table3[[#This Row],[PrimaTécnica]]*Table3[[#This Row],[Utilidad]]</f>
        <v>241.55740427999996</v>
      </c>
      <c r="L1378" s="8">
        <f>Table3[[#This Row],[PrimaTécnica]]*Table3[[#This Row],[Marketing]]</f>
        <v>48.311480855999989</v>
      </c>
      <c r="M1378" s="8">
        <f>Table3[[#This Row],[PrimaTécnica]]*Table3[[#This Row],[Cobranza]]</f>
        <v>48.311480855999989</v>
      </c>
      <c r="N1378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4831.1480855999989</v>
      </c>
      <c r="O1378">
        <v>21.84</v>
      </c>
      <c r="P1378">
        <v>54.6</v>
      </c>
      <c r="Q1378">
        <v>80.64</v>
      </c>
      <c r="R1378">
        <v>44.377200000000002</v>
      </c>
      <c r="S1378">
        <v>0.2</v>
      </c>
      <c r="T1378">
        <v>0.02</v>
      </c>
      <c r="U1378" s="8">
        <f>Table3[[#This Row],[PrimaNeta]]*Table3[[#This Row],[Comisión]]</f>
        <v>1258.1513213999999</v>
      </c>
      <c r="V1378" s="15">
        <f>Table3[[#This Row],[PrimaComercial Anual]]-Table3[[#This Row],[PrimaComercial Anual]]*SUM(Table3[[#This Row],[APS]:[IVA]])</f>
        <v>6290.7566069999993</v>
      </c>
      <c r="W1378" s="2">
        <v>1.4800000000000001E-2</v>
      </c>
      <c r="X1378" s="2">
        <v>8.4501000000000007E-2</v>
      </c>
      <c r="Y1378">
        <v>0.03</v>
      </c>
      <c r="Z1378">
        <v>0.13</v>
      </c>
      <c r="AA1378" s="20">
        <f>Table3[[#This Row],[APS]]*Table3[[#This Row],[PrimaComercial Anual]]</f>
        <v>125.69640000000001</v>
      </c>
      <c r="AB1378" s="8">
        <f>Table3[[#This Row],[PrimaComercial Anual]]*Table3[[#This Row],[Recargo adicional]]</f>
        <v>717.66699300000005</v>
      </c>
      <c r="AC1378" s="8">
        <f>Table3[[#This Row],[PrimaComercial Anual]]*Table3[[#This Row],[IT]]</f>
        <v>254.79</v>
      </c>
      <c r="AD1378" s="8">
        <f>Table3[[#This Row],[PrimaComercial Anual]]*Table3[[#This Row],[IVA]]</f>
        <v>1104.0900000000001</v>
      </c>
      <c r="AE1378" s="15">
        <f>Table3[[#This Row],[PrimaComercial Anual Asistencia]]</f>
        <v>8493</v>
      </c>
      <c r="AF1378">
        <v>638.4</v>
      </c>
      <c r="AG1378">
        <v>8493</v>
      </c>
    </row>
    <row r="1379" spans="1:33" x14ac:dyDescent="0.25">
      <c r="A1379" t="s">
        <v>19</v>
      </c>
      <c r="B1379">
        <v>1750000</v>
      </c>
      <c r="C1379">
        <v>41</v>
      </c>
      <c r="D1379" s="2">
        <f>Table3[[#This Row],[PrimaTécnica]]-Table3[[#This Row],[PrimaTécnica]]*SUM(Table3[[#This Row],[Gastos Adm]:[Cobranza]])</f>
        <v>3768.2955067679991</v>
      </c>
      <c r="E1379">
        <v>287.41789439999997</v>
      </c>
      <c r="F1379">
        <v>0.15</v>
      </c>
      <c r="G1379">
        <v>0.05</v>
      </c>
      <c r="H1379">
        <v>0.01</v>
      </c>
      <c r="I1379">
        <v>0.01</v>
      </c>
      <c r="J1379" s="8">
        <f>Table3[[#This Row],[PrimaTécnica]]*Table3[[#This Row],[Gastos Adm]]</f>
        <v>724.67221283999982</v>
      </c>
      <c r="K1379" s="8">
        <f>Table3[[#This Row],[PrimaTécnica]]*Table3[[#This Row],[Utilidad]]</f>
        <v>241.55740427999996</v>
      </c>
      <c r="L1379" s="8">
        <f>Table3[[#This Row],[PrimaTécnica]]*Table3[[#This Row],[Marketing]]</f>
        <v>48.311480855999989</v>
      </c>
      <c r="M1379" s="8">
        <f>Table3[[#This Row],[PrimaTécnica]]*Table3[[#This Row],[Cobranza]]</f>
        <v>48.311480855999989</v>
      </c>
      <c r="N1379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4831.1480855999989</v>
      </c>
      <c r="O1379">
        <v>21.84</v>
      </c>
      <c r="P1379">
        <v>54.6</v>
      </c>
      <c r="Q1379">
        <v>80.64</v>
      </c>
      <c r="R1379">
        <v>44.377200000000002</v>
      </c>
      <c r="S1379">
        <v>0.2</v>
      </c>
      <c r="T1379">
        <v>0.02</v>
      </c>
      <c r="U1379" s="8">
        <f>Table3[[#This Row],[PrimaNeta]]*Table3[[#This Row],[Comisión]]</f>
        <v>1258.1513213999999</v>
      </c>
      <c r="V1379" s="15">
        <f>Table3[[#This Row],[PrimaComercial Anual]]-Table3[[#This Row],[PrimaComercial Anual]]*SUM(Table3[[#This Row],[APS]:[IVA]])</f>
        <v>6290.7566069999993</v>
      </c>
      <c r="W1379" s="2">
        <v>1.4800000000000001E-2</v>
      </c>
      <c r="X1379" s="2">
        <v>8.4501000000000007E-2</v>
      </c>
      <c r="Y1379">
        <v>0.03</v>
      </c>
      <c r="Z1379">
        <v>0.13</v>
      </c>
      <c r="AA1379" s="20">
        <f>Table3[[#This Row],[APS]]*Table3[[#This Row],[PrimaComercial Anual]]</f>
        <v>125.69640000000001</v>
      </c>
      <c r="AB1379" s="8">
        <f>Table3[[#This Row],[PrimaComercial Anual]]*Table3[[#This Row],[Recargo adicional]]</f>
        <v>717.66699300000005</v>
      </c>
      <c r="AC1379" s="8">
        <f>Table3[[#This Row],[PrimaComercial Anual]]*Table3[[#This Row],[IT]]</f>
        <v>254.79</v>
      </c>
      <c r="AD1379" s="8">
        <f>Table3[[#This Row],[PrimaComercial Anual]]*Table3[[#This Row],[IVA]]</f>
        <v>1104.0900000000001</v>
      </c>
      <c r="AE1379" s="15">
        <f>Table3[[#This Row],[PrimaComercial Anual Asistencia]]</f>
        <v>8493</v>
      </c>
      <c r="AF1379">
        <v>638.4</v>
      </c>
      <c r="AG1379">
        <v>8493</v>
      </c>
    </row>
    <row r="1380" spans="1:33" x14ac:dyDescent="0.25">
      <c r="A1380" t="s">
        <v>19</v>
      </c>
      <c r="B1380">
        <v>1750000</v>
      </c>
      <c r="C1380">
        <v>42</v>
      </c>
      <c r="D1380" s="2">
        <f>Table3[[#This Row],[PrimaTécnica]]-Table3[[#This Row],[PrimaTécnica]]*SUM(Table3[[#This Row],[Gastos Adm]:[Cobranza]])</f>
        <v>3768.2955067679991</v>
      </c>
      <c r="E1380">
        <v>287.41789439999997</v>
      </c>
      <c r="F1380">
        <v>0.15</v>
      </c>
      <c r="G1380">
        <v>0.05</v>
      </c>
      <c r="H1380">
        <v>0.01</v>
      </c>
      <c r="I1380">
        <v>0.01</v>
      </c>
      <c r="J1380" s="8">
        <f>Table3[[#This Row],[PrimaTécnica]]*Table3[[#This Row],[Gastos Adm]]</f>
        <v>724.67221283999982</v>
      </c>
      <c r="K1380" s="8">
        <f>Table3[[#This Row],[PrimaTécnica]]*Table3[[#This Row],[Utilidad]]</f>
        <v>241.55740427999996</v>
      </c>
      <c r="L1380" s="8">
        <f>Table3[[#This Row],[PrimaTécnica]]*Table3[[#This Row],[Marketing]]</f>
        <v>48.311480855999989</v>
      </c>
      <c r="M1380" s="8">
        <f>Table3[[#This Row],[PrimaTécnica]]*Table3[[#This Row],[Cobranza]]</f>
        <v>48.311480855999989</v>
      </c>
      <c r="N1380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4831.1480855999989</v>
      </c>
      <c r="O1380">
        <v>21.84</v>
      </c>
      <c r="P1380">
        <v>54.6</v>
      </c>
      <c r="Q1380">
        <v>80.64</v>
      </c>
      <c r="R1380">
        <v>44.377200000000002</v>
      </c>
      <c r="S1380">
        <v>0.2</v>
      </c>
      <c r="T1380">
        <v>0.02</v>
      </c>
      <c r="U1380" s="8">
        <f>Table3[[#This Row],[PrimaNeta]]*Table3[[#This Row],[Comisión]]</f>
        <v>1258.1513213999999</v>
      </c>
      <c r="V1380" s="15">
        <f>Table3[[#This Row],[PrimaComercial Anual]]-Table3[[#This Row],[PrimaComercial Anual]]*SUM(Table3[[#This Row],[APS]:[IVA]])</f>
        <v>6290.7566069999993</v>
      </c>
      <c r="W1380" s="2">
        <v>1.4800000000000001E-2</v>
      </c>
      <c r="X1380" s="2">
        <v>8.4501000000000007E-2</v>
      </c>
      <c r="Y1380">
        <v>0.03</v>
      </c>
      <c r="Z1380">
        <v>0.13</v>
      </c>
      <c r="AA1380" s="20">
        <f>Table3[[#This Row],[APS]]*Table3[[#This Row],[PrimaComercial Anual]]</f>
        <v>125.69640000000001</v>
      </c>
      <c r="AB1380" s="8">
        <f>Table3[[#This Row],[PrimaComercial Anual]]*Table3[[#This Row],[Recargo adicional]]</f>
        <v>717.66699300000005</v>
      </c>
      <c r="AC1380" s="8">
        <f>Table3[[#This Row],[PrimaComercial Anual]]*Table3[[#This Row],[IT]]</f>
        <v>254.79</v>
      </c>
      <c r="AD1380" s="8">
        <f>Table3[[#This Row],[PrimaComercial Anual]]*Table3[[#This Row],[IVA]]</f>
        <v>1104.0900000000001</v>
      </c>
      <c r="AE1380" s="15">
        <f>Table3[[#This Row],[PrimaComercial Anual Asistencia]]</f>
        <v>8493</v>
      </c>
      <c r="AF1380">
        <v>638.4</v>
      </c>
      <c r="AG1380">
        <v>8493</v>
      </c>
    </row>
    <row r="1381" spans="1:33" x14ac:dyDescent="0.25">
      <c r="A1381" t="s">
        <v>19</v>
      </c>
      <c r="B1381">
        <v>1750000</v>
      </c>
      <c r="C1381">
        <v>43</v>
      </c>
      <c r="D1381" s="2">
        <f>Table3[[#This Row],[PrimaTécnica]]-Table3[[#This Row],[PrimaTécnica]]*SUM(Table3[[#This Row],[Gastos Adm]:[Cobranza]])</f>
        <v>3768.2955067679991</v>
      </c>
      <c r="E1381">
        <v>287.41789439999997</v>
      </c>
      <c r="F1381">
        <v>0.15</v>
      </c>
      <c r="G1381">
        <v>0.05</v>
      </c>
      <c r="H1381">
        <v>0.01</v>
      </c>
      <c r="I1381">
        <v>0.01</v>
      </c>
      <c r="J1381" s="8">
        <f>Table3[[#This Row],[PrimaTécnica]]*Table3[[#This Row],[Gastos Adm]]</f>
        <v>724.67221283999982</v>
      </c>
      <c r="K1381" s="8">
        <f>Table3[[#This Row],[PrimaTécnica]]*Table3[[#This Row],[Utilidad]]</f>
        <v>241.55740427999996</v>
      </c>
      <c r="L1381" s="8">
        <f>Table3[[#This Row],[PrimaTécnica]]*Table3[[#This Row],[Marketing]]</f>
        <v>48.311480855999989</v>
      </c>
      <c r="M1381" s="8">
        <f>Table3[[#This Row],[PrimaTécnica]]*Table3[[#This Row],[Cobranza]]</f>
        <v>48.311480855999989</v>
      </c>
      <c r="N1381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4831.1480855999989</v>
      </c>
      <c r="O1381">
        <v>21.84</v>
      </c>
      <c r="P1381">
        <v>54.6</v>
      </c>
      <c r="Q1381">
        <v>80.64</v>
      </c>
      <c r="R1381">
        <v>44.377200000000002</v>
      </c>
      <c r="S1381">
        <v>0.2</v>
      </c>
      <c r="T1381">
        <v>0.02</v>
      </c>
      <c r="U1381" s="8">
        <f>Table3[[#This Row],[PrimaNeta]]*Table3[[#This Row],[Comisión]]</f>
        <v>1258.1513213999999</v>
      </c>
      <c r="V1381" s="15">
        <f>Table3[[#This Row],[PrimaComercial Anual]]-Table3[[#This Row],[PrimaComercial Anual]]*SUM(Table3[[#This Row],[APS]:[IVA]])</f>
        <v>6290.7566069999993</v>
      </c>
      <c r="W1381" s="2">
        <v>1.4800000000000001E-2</v>
      </c>
      <c r="X1381" s="2">
        <v>8.4501000000000007E-2</v>
      </c>
      <c r="Y1381">
        <v>0.03</v>
      </c>
      <c r="Z1381">
        <v>0.13</v>
      </c>
      <c r="AA1381" s="20">
        <f>Table3[[#This Row],[APS]]*Table3[[#This Row],[PrimaComercial Anual]]</f>
        <v>125.69640000000001</v>
      </c>
      <c r="AB1381" s="8">
        <f>Table3[[#This Row],[PrimaComercial Anual]]*Table3[[#This Row],[Recargo adicional]]</f>
        <v>717.66699300000005</v>
      </c>
      <c r="AC1381" s="8">
        <f>Table3[[#This Row],[PrimaComercial Anual]]*Table3[[#This Row],[IT]]</f>
        <v>254.79</v>
      </c>
      <c r="AD1381" s="8">
        <f>Table3[[#This Row],[PrimaComercial Anual]]*Table3[[#This Row],[IVA]]</f>
        <v>1104.0900000000001</v>
      </c>
      <c r="AE1381" s="15">
        <f>Table3[[#This Row],[PrimaComercial Anual Asistencia]]</f>
        <v>8493</v>
      </c>
      <c r="AF1381">
        <v>638.4</v>
      </c>
      <c r="AG1381">
        <v>8493</v>
      </c>
    </row>
    <row r="1382" spans="1:33" x14ac:dyDescent="0.25">
      <c r="A1382" t="s">
        <v>19</v>
      </c>
      <c r="B1382">
        <v>1750000</v>
      </c>
      <c r="C1382">
        <v>44</v>
      </c>
      <c r="D1382" s="2">
        <f>Table3[[#This Row],[PrimaTécnica]]-Table3[[#This Row],[PrimaTécnica]]*SUM(Table3[[#This Row],[Gastos Adm]:[Cobranza]])</f>
        <v>3768.2955067679991</v>
      </c>
      <c r="E1382">
        <v>287.41789439999997</v>
      </c>
      <c r="F1382">
        <v>0.15</v>
      </c>
      <c r="G1382">
        <v>0.05</v>
      </c>
      <c r="H1382">
        <v>0.01</v>
      </c>
      <c r="I1382">
        <v>0.01</v>
      </c>
      <c r="J1382" s="8">
        <f>Table3[[#This Row],[PrimaTécnica]]*Table3[[#This Row],[Gastos Adm]]</f>
        <v>724.67221283999982</v>
      </c>
      <c r="K1382" s="8">
        <f>Table3[[#This Row],[PrimaTécnica]]*Table3[[#This Row],[Utilidad]]</f>
        <v>241.55740427999996</v>
      </c>
      <c r="L1382" s="8">
        <f>Table3[[#This Row],[PrimaTécnica]]*Table3[[#This Row],[Marketing]]</f>
        <v>48.311480855999989</v>
      </c>
      <c r="M1382" s="8">
        <f>Table3[[#This Row],[PrimaTécnica]]*Table3[[#This Row],[Cobranza]]</f>
        <v>48.311480855999989</v>
      </c>
      <c r="N1382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4831.1480855999989</v>
      </c>
      <c r="O1382">
        <v>21.84</v>
      </c>
      <c r="P1382">
        <v>54.6</v>
      </c>
      <c r="Q1382">
        <v>80.64</v>
      </c>
      <c r="R1382">
        <v>44.377200000000002</v>
      </c>
      <c r="S1382">
        <v>0.2</v>
      </c>
      <c r="T1382">
        <v>0.02</v>
      </c>
      <c r="U1382" s="8">
        <f>Table3[[#This Row],[PrimaNeta]]*Table3[[#This Row],[Comisión]]</f>
        <v>1258.1513213999999</v>
      </c>
      <c r="V1382" s="15">
        <f>Table3[[#This Row],[PrimaComercial Anual]]-Table3[[#This Row],[PrimaComercial Anual]]*SUM(Table3[[#This Row],[APS]:[IVA]])</f>
        <v>6290.7566069999993</v>
      </c>
      <c r="W1382" s="2">
        <v>1.4800000000000001E-2</v>
      </c>
      <c r="X1382" s="2">
        <v>8.4501000000000007E-2</v>
      </c>
      <c r="Y1382">
        <v>0.03</v>
      </c>
      <c r="Z1382">
        <v>0.13</v>
      </c>
      <c r="AA1382" s="20">
        <f>Table3[[#This Row],[APS]]*Table3[[#This Row],[PrimaComercial Anual]]</f>
        <v>125.69640000000001</v>
      </c>
      <c r="AB1382" s="8">
        <f>Table3[[#This Row],[PrimaComercial Anual]]*Table3[[#This Row],[Recargo adicional]]</f>
        <v>717.66699300000005</v>
      </c>
      <c r="AC1382" s="8">
        <f>Table3[[#This Row],[PrimaComercial Anual]]*Table3[[#This Row],[IT]]</f>
        <v>254.79</v>
      </c>
      <c r="AD1382" s="8">
        <f>Table3[[#This Row],[PrimaComercial Anual]]*Table3[[#This Row],[IVA]]</f>
        <v>1104.0900000000001</v>
      </c>
      <c r="AE1382" s="15">
        <f>Table3[[#This Row],[PrimaComercial Anual Asistencia]]</f>
        <v>8493</v>
      </c>
      <c r="AF1382">
        <v>638.4</v>
      </c>
      <c r="AG1382">
        <v>8493</v>
      </c>
    </row>
    <row r="1383" spans="1:33" x14ac:dyDescent="0.25">
      <c r="A1383" t="s">
        <v>19</v>
      </c>
      <c r="B1383">
        <v>1750000</v>
      </c>
      <c r="C1383">
        <v>45</v>
      </c>
      <c r="D1383" s="2">
        <f>Table3[[#This Row],[PrimaTécnica]]-Table3[[#This Row],[PrimaTécnica]]*SUM(Table3[[#This Row],[Gastos Adm]:[Cobranza]])</f>
        <v>3768.2955067679991</v>
      </c>
      <c r="E1383">
        <v>287.41789439999997</v>
      </c>
      <c r="F1383">
        <v>0.15</v>
      </c>
      <c r="G1383">
        <v>0.05</v>
      </c>
      <c r="H1383">
        <v>0.01</v>
      </c>
      <c r="I1383">
        <v>0.01</v>
      </c>
      <c r="J1383" s="8">
        <f>Table3[[#This Row],[PrimaTécnica]]*Table3[[#This Row],[Gastos Adm]]</f>
        <v>724.67221283999982</v>
      </c>
      <c r="K1383" s="8">
        <f>Table3[[#This Row],[PrimaTécnica]]*Table3[[#This Row],[Utilidad]]</f>
        <v>241.55740427999996</v>
      </c>
      <c r="L1383" s="8">
        <f>Table3[[#This Row],[PrimaTécnica]]*Table3[[#This Row],[Marketing]]</f>
        <v>48.311480855999989</v>
      </c>
      <c r="M1383" s="8">
        <f>Table3[[#This Row],[PrimaTécnica]]*Table3[[#This Row],[Cobranza]]</f>
        <v>48.311480855999989</v>
      </c>
      <c r="N1383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4831.1480855999989</v>
      </c>
      <c r="O1383">
        <v>21.84</v>
      </c>
      <c r="P1383">
        <v>54.6</v>
      </c>
      <c r="Q1383">
        <v>80.64</v>
      </c>
      <c r="R1383">
        <v>44.377200000000002</v>
      </c>
      <c r="S1383">
        <v>0.2</v>
      </c>
      <c r="T1383">
        <v>0.02</v>
      </c>
      <c r="U1383" s="8">
        <f>Table3[[#This Row],[PrimaNeta]]*Table3[[#This Row],[Comisión]]</f>
        <v>1258.1513213999999</v>
      </c>
      <c r="V1383" s="15">
        <f>Table3[[#This Row],[PrimaComercial Anual]]-Table3[[#This Row],[PrimaComercial Anual]]*SUM(Table3[[#This Row],[APS]:[IVA]])</f>
        <v>6290.7566069999993</v>
      </c>
      <c r="W1383" s="2">
        <v>1.4800000000000001E-2</v>
      </c>
      <c r="X1383" s="2">
        <v>8.4501000000000007E-2</v>
      </c>
      <c r="Y1383">
        <v>0.03</v>
      </c>
      <c r="Z1383">
        <v>0.13</v>
      </c>
      <c r="AA1383" s="20">
        <f>Table3[[#This Row],[APS]]*Table3[[#This Row],[PrimaComercial Anual]]</f>
        <v>125.69640000000001</v>
      </c>
      <c r="AB1383" s="8">
        <f>Table3[[#This Row],[PrimaComercial Anual]]*Table3[[#This Row],[Recargo adicional]]</f>
        <v>717.66699300000005</v>
      </c>
      <c r="AC1383" s="8">
        <f>Table3[[#This Row],[PrimaComercial Anual]]*Table3[[#This Row],[IT]]</f>
        <v>254.79</v>
      </c>
      <c r="AD1383" s="8">
        <f>Table3[[#This Row],[PrimaComercial Anual]]*Table3[[#This Row],[IVA]]</f>
        <v>1104.0900000000001</v>
      </c>
      <c r="AE1383" s="15">
        <f>Table3[[#This Row],[PrimaComercial Anual Asistencia]]</f>
        <v>8493</v>
      </c>
      <c r="AF1383">
        <v>638.4</v>
      </c>
      <c r="AG1383">
        <v>8493</v>
      </c>
    </row>
    <row r="1384" spans="1:33" x14ac:dyDescent="0.25">
      <c r="A1384" t="s">
        <v>19</v>
      </c>
      <c r="B1384">
        <v>1750000</v>
      </c>
      <c r="C1384">
        <v>46</v>
      </c>
      <c r="D1384" s="2">
        <f>Table3[[#This Row],[PrimaTécnica]]-Table3[[#This Row],[PrimaTécnica]]*SUM(Table3[[#This Row],[Gastos Adm]:[Cobranza]])</f>
        <v>3768.2955067679991</v>
      </c>
      <c r="E1384">
        <v>287.41789439999997</v>
      </c>
      <c r="F1384">
        <v>0.15</v>
      </c>
      <c r="G1384">
        <v>0.05</v>
      </c>
      <c r="H1384">
        <v>0.01</v>
      </c>
      <c r="I1384">
        <v>0.01</v>
      </c>
      <c r="J1384" s="8">
        <f>Table3[[#This Row],[PrimaTécnica]]*Table3[[#This Row],[Gastos Adm]]</f>
        <v>724.67221283999982</v>
      </c>
      <c r="K1384" s="8">
        <f>Table3[[#This Row],[PrimaTécnica]]*Table3[[#This Row],[Utilidad]]</f>
        <v>241.55740427999996</v>
      </c>
      <c r="L1384" s="8">
        <f>Table3[[#This Row],[PrimaTécnica]]*Table3[[#This Row],[Marketing]]</f>
        <v>48.311480855999989</v>
      </c>
      <c r="M1384" s="8">
        <f>Table3[[#This Row],[PrimaTécnica]]*Table3[[#This Row],[Cobranza]]</f>
        <v>48.311480855999989</v>
      </c>
      <c r="N1384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4831.1480855999989</v>
      </c>
      <c r="O1384">
        <v>21.84</v>
      </c>
      <c r="P1384">
        <v>54.6</v>
      </c>
      <c r="Q1384">
        <v>80.64</v>
      </c>
      <c r="R1384">
        <v>44.377200000000002</v>
      </c>
      <c r="S1384">
        <v>0.2</v>
      </c>
      <c r="T1384">
        <v>0.02</v>
      </c>
      <c r="U1384" s="8">
        <f>Table3[[#This Row],[PrimaNeta]]*Table3[[#This Row],[Comisión]]</f>
        <v>1258.1513213999999</v>
      </c>
      <c r="V1384" s="15">
        <f>Table3[[#This Row],[PrimaComercial Anual]]-Table3[[#This Row],[PrimaComercial Anual]]*SUM(Table3[[#This Row],[APS]:[IVA]])</f>
        <v>6290.7566069999993</v>
      </c>
      <c r="W1384" s="2">
        <v>1.4800000000000001E-2</v>
      </c>
      <c r="X1384" s="2">
        <v>8.4501000000000007E-2</v>
      </c>
      <c r="Y1384">
        <v>0.03</v>
      </c>
      <c r="Z1384">
        <v>0.13</v>
      </c>
      <c r="AA1384" s="20">
        <f>Table3[[#This Row],[APS]]*Table3[[#This Row],[PrimaComercial Anual]]</f>
        <v>125.69640000000001</v>
      </c>
      <c r="AB1384" s="8">
        <f>Table3[[#This Row],[PrimaComercial Anual]]*Table3[[#This Row],[Recargo adicional]]</f>
        <v>717.66699300000005</v>
      </c>
      <c r="AC1384" s="8">
        <f>Table3[[#This Row],[PrimaComercial Anual]]*Table3[[#This Row],[IT]]</f>
        <v>254.79</v>
      </c>
      <c r="AD1384" s="8">
        <f>Table3[[#This Row],[PrimaComercial Anual]]*Table3[[#This Row],[IVA]]</f>
        <v>1104.0900000000001</v>
      </c>
      <c r="AE1384" s="15">
        <f>Table3[[#This Row],[PrimaComercial Anual Asistencia]]</f>
        <v>8493</v>
      </c>
      <c r="AF1384">
        <v>638.4</v>
      </c>
      <c r="AG1384">
        <v>8493</v>
      </c>
    </row>
    <row r="1385" spans="1:33" x14ac:dyDescent="0.25">
      <c r="A1385" t="s">
        <v>19</v>
      </c>
      <c r="B1385">
        <v>1750000</v>
      </c>
      <c r="C1385">
        <v>47</v>
      </c>
      <c r="D1385" s="2">
        <f>Table3[[#This Row],[PrimaTécnica]]-Table3[[#This Row],[PrimaTécnica]]*SUM(Table3[[#This Row],[Gastos Adm]:[Cobranza]])</f>
        <v>3768.2955067679991</v>
      </c>
      <c r="E1385">
        <v>287.41789439999997</v>
      </c>
      <c r="F1385">
        <v>0.15</v>
      </c>
      <c r="G1385">
        <v>0.05</v>
      </c>
      <c r="H1385">
        <v>0.01</v>
      </c>
      <c r="I1385">
        <v>0.01</v>
      </c>
      <c r="J1385" s="8">
        <f>Table3[[#This Row],[PrimaTécnica]]*Table3[[#This Row],[Gastos Adm]]</f>
        <v>724.67221283999982</v>
      </c>
      <c r="K1385" s="8">
        <f>Table3[[#This Row],[PrimaTécnica]]*Table3[[#This Row],[Utilidad]]</f>
        <v>241.55740427999996</v>
      </c>
      <c r="L1385" s="8">
        <f>Table3[[#This Row],[PrimaTécnica]]*Table3[[#This Row],[Marketing]]</f>
        <v>48.311480855999989</v>
      </c>
      <c r="M1385" s="8">
        <f>Table3[[#This Row],[PrimaTécnica]]*Table3[[#This Row],[Cobranza]]</f>
        <v>48.311480855999989</v>
      </c>
      <c r="N1385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4831.1480855999989</v>
      </c>
      <c r="O1385">
        <v>21.84</v>
      </c>
      <c r="P1385">
        <v>54.6</v>
      </c>
      <c r="Q1385">
        <v>80.64</v>
      </c>
      <c r="R1385">
        <v>44.377200000000002</v>
      </c>
      <c r="S1385">
        <v>0.2</v>
      </c>
      <c r="T1385">
        <v>0.02</v>
      </c>
      <c r="U1385" s="8">
        <f>Table3[[#This Row],[PrimaNeta]]*Table3[[#This Row],[Comisión]]</f>
        <v>1258.1513213999999</v>
      </c>
      <c r="V1385" s="15">
        <f>Table3[[#This Row],[PrimaComercial Anual]]-Table3[[#This Row],[PrimaComercial Anual]]*SUM(Table3[[#This Row],[APS]:[IVA]])</f>
        <v>6290.7566069999993</v>
      </c>
      <c r="W1385" s="2">
        <v>1.4800000000000001E-2</v>
      </c>
      <c r="X1385" s="2">
        <v>8.4501000000000007E-2</v>
      </c>
      <c r="Y1385">
        <v>0.03</v>
      </c>
      <c r="Z1385">
        <v>0.13</v>
      </c>
      <c r="AA1385" s="20">
        <f>Table3[[#This Row],[APS]]*Table3[[#This Row],[PrimaComercial Anual]]</f>
        <v>125.69640000000001</v>
      </c>
      <c r="AB1385" s="8">
        <f>Table3[[#This Row],[PrimaComercial Anual]]*Table3[[#This Row],[Recargo adicional]]</f>
        <v>717.66699300000005</v>
      </c>
      <c r="AC1385" s="8">
        <f>Table3[[#This Row],[PrimaComercial Anual]]*Table3[[#This Row],[IT]]</f>
        <v>254.79</v>
      </c>
      <c r="AD1385" s="8">
        <f>Table3[[#This Row],[PrimaComercial Anual]]*Table3[[#This Row],[IVA]]</f>
        <v>1104.0900000000001</v>
      </c>
      <c r="AE1385" s="15">
        <f>Table3[[#This Row],[PrimaComercial Anual Asistencia]]</f>
        <v>8493</v>
      </c>
      <c r="AF1385">
        <v>638.4</v>
      </c>
      <c r="AG1385">
        <v>8493</v>
      </c>
    </row>
    <row r="1386" spans="1:33" x14ac:dyDescent="0.25">
      <c r="A1386" t="s">
        <v>19</v>
      </c>
      <c r="B1386">
        <v>1750000</v>
      </c>
      <c r="C1386">
        <v>48</v>
      </c>
      <c r="D1386" s="2">
        <f>Table3[[#This Row],[PrimaTécnica]]-Table3[[#This Row],[PrimaTécnica]]*SUM(Table3[[#This Row],[Gastos Adm]:[Cobranza]])</f>
        <v>3768.2955067679991</v>
      </c>
      <c r="E1386">
        <v>287.41789439999997</v>
      </c>
      <c r="F1386">
        <v>0.15</v>
      </c>
      <c r="G1386">
        <v>0.05</v>
      </c>
      <c r="H1386">
        <v>0.01</v>
      </c>
      <c r="I1386">
        <v>0.01</v>
      </c>
      <c r="J1386" s="8">
        <f>Table3[[#This Row],[PrimaTécnica]]*Table3[[#This Row],[Gastos Adm]]</f>
        <v>724.67221283999982</v>
      </c>
      <c r="K1386" s="8">
        <f>Table3[[#This Row],[PrimaTécnica]]*Table3[[#This Row],[Utilidad]]</f>
        <v>241.55740427999996</v>
      </c>
      <c r="L1386" s="8">
        <f>Table3[[#This Row],[PrimaTécnica]]*Table3[[#This Row],[Marketing]]</f>
        <v>48.311480855999989</v>
      </c>
      <c r="M1386" s="8">
        <f>Table3[[#This Row],[PrimaTécnica]]*Table3[[#This Row],[Cobranza]]</f>
        <v>48.311480855999989</v>
      </c>
      <c r="N1386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4831.1480855999989</v>
      </c>
      <c r="O1386">
        <v>21.84</v>
      </c>
      <c r="P1386">
        <v>54.6</v>
      </c>
      <c r="Q1386">
        <v>80.64</v>
      </c>
      <c r="R1386">
        <v>44.377200000000002</v>
      </c>
      <c r="S1386">
        <v>0.2</v>
      </c>
      <c r="T1386">
        <v>0.02</v>
      </c>
      <c r="U1386" s="8">
        <f>Table3[[#This Row],[PrimaNeta]]*Table3[[#This Row],[Comisión]]</f>
        <v>1258.1513213999999</v>
      </c>
      <c r="V1386" s="15">
        <f>Table3[[#This Row],[PrimaComercial Anual]]-Table3[[#This Row],[PrimaComercial Anual]]*SUM(Table3[[#This Row],[APS]:[IVA]])</f>
        <v>6290.7566069999993</v>
      </c>
      <c r="W1386" s="2">
        <v>1.4800000000000001E-2</v>
      </c>
      <c r="X1386" s="2">
        <v>8.4501000000000007E-2</v>
      </c>
      <c r="Y1386">
        <v>0.03</v>
      </c>
      <c r="Z1386">
        <v>0.13</v>
      </c>
      <c r="AA1386" s="20">
        <f>Table3[[#This Row],[APS]]*Table3[[#This Row],[PrimaComercial Anual]]</f>
        <v>125.69640000000001</v>
      </c>
      <c r="AB1386" s="8">
        <f>Table3[[#This Row],[PrimaComercial Anual]]*Table3[[#This Row],[Recargo adicional]]</f>
        <v>717.66699300000005</v>
      </c>
      <c r="AC1386" s="8">
        <f>Table3[[#This Row],[PrimaComercial Anual]]*Table3[[#This Row],[IT]]</f>
        <v>254.79</v>
      </c>
      <c r="AD1386" s="8">
        <f>Table3[[#This Row],[PrimaComercial Anual]]*Table3[[#This Row],[IVA]]</f>
        <v>1104.0900000000001</v>
      </c>
      <c r="AE1386" s="15">
        <f>Table3[[#This Row],[PrimaComercial Anual Asistencia]]</f>
        <v>8493</v>
      </c>
      <c r="AF1386">
        <v>638.4</v>
      </c>
      <c r="AG1386">
        <v>8493</v>
      </c>
    </row>
    <row r="1387" spans="1:33" x14ac:dyDescent="0.25">
      <c r="A1387" t="s">
        <v>19</v>
      </c>
      <c r="B1387">
        <v>1750000</v>
      </c>
      <c r="C1387">
        <v>49</v>
      </c>
      <c r="D1387" s="2">
        <f>Table3[[#This Row],[PrimaTécnica]]-Table3[[#This Row],[PrimaTécnica]]*SUM(Table3[[#This Row],[Gastos Adm]:[Cobranza]])</f>
        <v>3768.2955067679991</v>
      </c>
      <c r="E1387">
        <v>287.41789439999997</v>
      </c>
      <c r="F1387">
        <v>0.15</v>
      </c>
      <c r="G1387">
        <v>0.05</v>
      </c>
      <c r="H1387">
        <v>0.01</v>
      </c>
      <c r="I1387">
        <v>0.01</v>
      </c>
      <c r="J1387" s="8">
        <f>Table3[[#This Row],[PrimaTécnica]]*Table3[[#This Row],[Gastos Adm]]</f>
        <v>724.67221283999982</v>
      </c>
      <c r="K1387" s="8">
        <f>Table3[[#This Row],[PrimaTécnica]]*Table3[[#This Row],[Utilidad]]</f>
        <v>241.55740427999996</v>
      </c>
      <c r="L1387" s="8">
        <f>Table3[[#This Row],[PrimaTécnica]]*Table3[[#This Row],[Marketing]]</f>
        <v>48.311480855999989</v>
      </c>
      <c r="M1387" s="8">
        <f>Table3[[#This Row],[PrimaTécnica]]*Table3[[#This Row],[Cobranza]]</f>
        <v>48.311480855999989</v>
      </c>
      <c r="N1387" s="2">
        <f>(Table3[[#This Row],[PrimaNeta]]-Table3[[#This Row],[PrimaNeta]]*Table3[[#This Row],[Comisión]])-Table3[[#This Row],[Credencial]]-Table3[[#This Row],[Call Center]]-Table3[[#This Row],[Atención Odontológica]]-Table3[[#This Row],[Emergencia Médica]]</f>
        <v>4831.1480855999989</v>
      </c>
      <c r="O1387">
        <v>21.84</v>
      </c>
      <c r="P1387">
        <v>54.6</v>
      </c>
      <c r="Q1387">
        <v>80.64</v>
      </c>
      <c r="R1387">
        <v>44.377200000000002</v>
      </c>
      <c r="S1387">
        <v>0.2</v>
      </c>
      <c r="T1387">
        <v>0.02</v>
      </c>
      <c r="U1387" s="8">
        <f>Table3[[#This Row],[PrimaNeta]]*Table3[[#This Row],[Comisión]]</f>
        <v>1258.1513213999999</v>
      </c>
      <c r="V1387" s="15">
        <f>Table3[[#This Row],[PrimaComercial Anual]]-Table3[[#This Row],[PrimaComercial Anual]]*SUM(Table3[[#This Row],[APS]:[IVA]])</f>
        <v>6290.7566069999993</v>
      </c>
      <c r="W1387" s="2">
        <v>1.4800000000000001E-2</v>
      </c>
      <c r="X1387" s="2">
        <v>8.4501000000000007E-2</v>
      </c>
      <c r="Y1387">
        <v>0.03</v>
      </c>
      <c r="Z1387">
        <v>0.13</v>
      </c>
      <c r="AA1387" s="20">
        <f>Table3[[#This Row],[APS]]*Table3[[#This Row],[PrimaComercial Anual]]</f>
        <v>125.69640000000001</v>
      </c>
      <c r="AB1387" s="8">
        <f>Table3[[#This Row],[PrimaComercial Anual]]*Table3[[#This Row],[Recargo adicional]]</f>
        <v>717.66699300000005</v>
      </c>
      <c r="AC1387" s="8">
        <f>Table3[[#This Row],[PrimaComercial Anual]]*Table3[[#This Row],[IT]]</f>
        <v>254.79</v>
      </c>
      <c r="AD1387" s="8">
        <f>Table3[[#This Row],[PrimaComercial Anual]]*Table3[[#This Row],[IVA]]</f>
        <v>1104.0900000000001</v>
      </c>
      <c r="AE1387" s="15">
        <f>Table3[[#This Row],[PrimaComercial Anual Asistencia]]</f>
        <v>8493</v>
      </c>
      <c r="AF1387">
        <v>638.4</v>
      </c>
      <c r="AG1387">
        <v>8493</v>
      </c>
    </row>
  </sheetData>
  <phoneticPr fontId="5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TablaHorizontal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Diego Zalles Martinez</cp:lastModifiedBy>
  <dcterms:created xsi:type="dcterms:W3CDTF">2026-04-02T16:25:33Z</dcterms:created>
  <dcterms:modified xsi:type="dcterms:W3CDTF">2026-05-04T15:01:31Z</dcterms:modified>
</cp:coreProperties>
</file>