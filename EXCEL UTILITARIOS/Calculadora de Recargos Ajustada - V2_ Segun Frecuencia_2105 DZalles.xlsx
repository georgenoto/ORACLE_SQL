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D\DATOS TRABAJO\NUEVO CORE\ORACLE_SQL\EXCEL UTILITARIOS\"/>
    </mc:Choice>
  </mc:AlternateContent>
  <xr:revisionPtr revIDLastSave="0" documentId="13_ncr:1_{AA32EAA2-76E2-4456-A7CD-8EA3FA82BE73}" xr6:coauthVersionLast="47" xr6:coauthVersionMax="47" xr10:uidLastSave="{00000000-0000-0000-0000-000000000000}"/>
  <bookViews>
    <workbookView xWindow="28680" yWindow="-120" windowWidth="20730" windowHeight="11040" tabRatio="751" activeTab="4" xr2:uid="{00000000-000D-0000-FFFF-FFFF00000000}"/>
  </bookViews>
  <sheets>
    <sheet name="FRECUENCIAS" sheetId="18" r:id="rId1"/>
    <sheet name="INFO" sheetId="23" r:id="rId2"/>
    <sheet name="CALCULO SALUD" sheetId="17" r:id="rId3"/>
    <sheet name="P. RIESGO PARA DISENADOR" sheetId="19" r:id="rId4"/>
    <sheet name="P. DESEADA COMERCIAL" sheetId="24" r:id="rId5"/>
    <sheet name="Hoja1" sheetId="14" state="hidden" r:id="rId6"/>
  </sheets>
  <definedNames>
    <definedName name="calculo"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24" l="1"/>
  <c r="E12" i="18"/>
  <c r="E11" i="18"/>
  <c r="E10" i="18"/>
  <c r="B30" i="24"/>
  <c r="B28" i="24"/>
  <c r="G30" i="24" l="1"/>
  <c r="G28" i="24"/>
  <c r="F23" i="24"/>
  <c r="F19" i="24" l="1"/>
  <c r="F18" i="24" s="1"/>
  <c r="F22" i="24"/>
  <c r="F21" i="24"/>
  <c r="F20" i="24"/>
  <c r="F17" i="24" l="1"/>
  <c r="F16" i="24" l="1"/>
  <c r="F11" i="24" s="1"/>
  <c r="F10" i="24" s="1"/>
  <c r="F7" i="24"/>
  <c r="F8" i="24"/>
  <c r="F9" i="24" l="1"/>
  <c r="F6" i="24"/>
  <c r="F5" i="24" s="1"/>
  <c r="E13" i="24" l="1"/>
  <c r="E14" i="24"/>
  <c r="E15" i="24"/>
  <c r="E12" i="24"/>
  <c r="G3" i="24" l="1"/>
  <c r="M3" i="24"/>
  <c r="E31" i="24" l="1"/>
  <c r="E32" i="24" s="1"/>
  <c r="E23" i="24"/>
  <c r="G23" i="24" s="1"/>
  <c r="F31" i="24"/>
  <c r="F32" i="24" s="1"/>
  <c r="J23" i="24" s="1"/>
  <c r="G15" i="24"/>
  <c r="G14" i="24"/>
  <c r="G13" i="24"/>
  <c r="G12" i="24"/>
  <c r="G5" i="24"/>
  <c r="I23" i="24" l="1"/>
  <c r="K23" i="24" s="1"/>
  <c r="E19" i="24"/>
  <c r="G19" i="24" s="1"/>
  <c r="E24" i="24"/>
  <c r="J19" i="24"/>
  <c r="G31" i="24"/>
  <c r="J20" i="24"/>
  <c r="J21" i="24"/>
  <c r="J22" i="24"/>
  <c r="G32" i="24" l="1"/>
  <c r="I24" i="24"/>
  <c r="I19" i="24"/>
  <c r="K19" i="24" s="1"/>
  <c r="J18" i="24"/>
  <c r="J17" i="24" s="1"/>
  <c r="I20" i="24"/>
  <c r="K20" i="24" s="1"/>
  <c r="I21" i="24"/>
  <c r="K21" i="24" s="1"/>
  <c r="I22" i="24"/>
  <c r="K22" i="24" s="1"/>
  <c r="K18" i="24" l="1"/>
  <c r="K25" i="24" s="1"/>
  <c r="J16" i="24"/>
  <c r="J11" i="24" s="1"/>
  <c r="J7" i="24" s="1"/>
  <c r="I18" i="24"/>
  <c r="I25" i="24" s="1"/>
  <c r="E22" i="24"/>
  <c r="G22" i="24" s="1"/>
  <c r="E21" i="24"/>
  <c r="G21" i="24" s="1"/>
  <c r="E20" i="24"/>
  <c r="H4" i="19"/>
  <c r="I12" i="17"/>
  <c r="I13" i="17"/>
  <c r="I14" i="17"/>
  <c r="I9" i="17"/>
  <c r="I5" i="17"/>
  <c r="I4" i="17"/>
  <c r="F7" i="17"/>
  <c r="I7" i="17" s="1"/>
  <c r="F8" i="17"/>
  <c r="I8" i="17" s="1"/>
  <c r="F9" i="17"/>
  <c r="F10" i="17"/>
  <c r="I10" i="17" s="1"/>
  <c r="F11" i="17"/>
  <c r="I11" i="17" s="1"/>
  <c r="F6" i="17"/>
  <c r="I6" i="17" s="1"/>
  <c r="J8" i="24" l="1"/>
  <c r="J10" i="24"/>
  <c r="J9" i="24"/>
  <c r="K16" i="24"/>
  <c r="I17" i="24"/>
  <c r="G20" i="24"/>
  <c r="G18" i="24" s="1"/>
  <c r="G25" i="24" s="1"/>
  <c r="E18" i="24"/>
  <c r="I14" i="24"/>
  <c r="K14" i="24" s="1"/>
  <c r="J6" i="24" l="1"/>
  <c r="J5" i="24" s="1"/>
  <c r="K5" i="24" s="1"/>
  <c r="E25" i="24"/>
  <c r="G17" i="24"/>
  <c r="G16" i="24"/>
  <c r="G11" i="24" s="1"/>
  <c r="I13" i="24"/>
  <c r="E17" i="24"/>
  <c r="I15" i="24"/>
  <c r="K15" i="24" s="1"/>
  <c r="I12" i="24"/>
  <c r="K12" i="24" s="1"/>
  <c r="G8" i="24" l="1"/>
  <c r="K13" i="24"/>
  <c r="K11" i="24" s="1"/>
  <c r="I6" i="19"/>
  <c r="I7" i="19"/>
  <c r="I8" i="19"/>
  <c r="I9" i="19"/>
  <c r="I10" i="19"/>
  <c r="I11" i="19"/>
  <c r="I12" i="19"/>
  <c r="I13" i="19"/>
  <c r="I14" i="19"/>
  <c r="H16" i="19"/>
  <c r="I24" i="19"/>
  <c r="I25" i="19"/>
  <c r="I26" i="19"/>
  <c r="I27" i="19"/>
  <c r="G10" i="24" l="1"/>
  <c r="G9" i="24"/>
  <c r="G7" i="24"/>
  <c r="I21" i="19"/>
  <c r="I22" i="19" s="1"/>
  <c r="E21" i="19"/>
  <c r="E15" i="19"/>
  <c r="H14" i="19"/>
  <c r="H13" i="19"/>
  <c r="H12" i="19"/>
  <c r="H11" i="19"/>
  <c r="H10" i="19"/>
  <c r="H9" i="19"/>
  <c r="H8" i="19"/>
  <c r="H7" i="19"/>
  <c r="H6" i="19"/>
  <c r="H5" i="19"/>
  <c r="K3" i="17"/>
  <c r="L3" i="17"/>
  <c r="I20" i="17"/>
  <c r="F15" i="17"/>
  <c r="J13" i="17" l="1"/>
  <c r="J14" i="17"/>
  <c r="J4" i="17"/>
  <c r="J7" i="17"/>
  <c r="J10" i="17"/>
  <c r="J11" i="17"/>
  <c r="J12" i="17"/>
  <c r="J8" i="17"/>
  <c r="J6" i="17"/>
  <c r="J5" i="17"/>
  <c r="J9" i="17"/>
  <c r="I15" i="19"/>
  <c r="I4" i="19" s="1"/>
  <c r="H20" i="19"/>
  <c r="H17" i="19"/>
  <c r="H18" i="19"/>
  <c r="H19" i="19"/>
  <c r="H15" i="19"/>
  <c r="H21" i="19" s="1"/>
  <c r="H28" i="19" s="1"/>
  <c r="I19" i="17"/>
  <c r="I18" i="17"/>
  <c r="I17" i="17"/>
  <c r="I16" i="17"/>
  <c r="F21" i="17"/>
  <c r="J17" i="17" l="1"/>
  <c r="J16" i="17"/>
  <c r="J20" i="17"/>
  <c r="J19" i="17"/>
  <c r="J18" i="17"/>
  <c r="I17" i="19"/>
  <c r="I20" i="19"/>
  <c r="I16" i="19"/>
  <c r="I19" i="19"/>
  <c r="I18" i="19"/>
  <c r="H22" i="19"/>
  <c r="I15" i="17"/>
  <c r="H27" i="19" l="1"/>
  <c r="H26" i="19"/>
  <c r="H24" i="19"/>
  <c r="H25" i="19"/>
  <c r="I21" i="17"/>
  <c r="I22" i="17" s="1"/>
  <c r="I28" i="17" l="1"/>
  <c r="I26" i="17" l="1"/>
  <c r="I27" i="17"/>
  <c r="I25" i="17"/>
  <c r="I24" i="17"/>
  <c r="J15" i="17" l="1"/>
  <c r="J21" i="17" s="1"/>
  <c r="J22" i="17" s="1"/>
  <c r="J28" i="17" l="1"/>
  <c r="J25" i="17" l="1"/>
  <c r="J26" i="17"/>
  <c r="J27" i="17"/>
  <c r="J24" i="17"/>
  <c r="E16" i="24" l="1"/>
  <c r="E11" i="24" l="1"/>
  <c r="E7" i="24" s="1"/>
  <c r="E9" i="24" l="1"/>
  <c r="E10" i="24"/>
  <c r="E8" i="24"/>
  <c r="I16" i="24"/>
  <c r="I11" i="24" s="1"/>
  <c r="E6" i="24" l="1"/>
  <c r="I7" i="24"/>
  <c r="I10" i="24"/>
  <c r="I8" i="24"/>
  <c r="I9" i="24"/>
  <c r="E4" i="24" l="1"/>
  <c r="I6" i="24"/>
  <c r="I4" i="24" l="1"/>
  <c r="K4" i="24" s="1"/>
  <c r="K6" i="24" s="1"/>
  <c r="G4" i="24"/>
  <c r="G6" i="24" s="1"/>
  <c r="P4" i="24"/>
  <c r="K17" i="24" l="1"/>
  <c r="K10" i="24" l="1"/>
  <c r="K7" i="24"/>
  <c r="K9" i="24"/>
  <c r="K8" i="24"/>
</calcChain>
</file>

<file path=xl/sharedStrings.xml><?xml version="1.0" encoding="utf-8"?>
<sst xmlns="http://schemas.openxmlformats.org/spreadsheetml/2006/main" count="167" uniqueCount="73">
  <si>
    <t>Coberturas</t>
  </si>
  <si>
    <t>PRIMA RIESGO</t>
  </si>
  <si>
    <t>Gastos Administrativos</t>
  </si>
  <si>
    <t>Impuestos IT</t>
  </si>
  <si>
    <t>Impuestos IVA</t>
  </si>
  <si>
    <t>APS</t>
  </si>
  <si>
    <t>SI</t>
  </si>
  <si>
    <t>NO</t>
  </si>
  <si>
    <t>Cob 1 Riesgo Asistencia Médica</t>
  </si>
  <si>
    <t>Cob 2 riesgo Maternidad</t>
  </si>
  <si>
    <t>Cob 3 no riesgo Emergencia médica</t>
  </si>
  <si>
    <t>Cob 4 (NR)Asistencia al viajero</t>
  </si>
  <si>
    <t>Cobertura odontologica</t>
  </si>
  <si>
    <t>Cob 5 (NR)Atención odontológica</t>
  </si>
  <si>
    <t>Cob 6 (NR) Call center</t>
  </si>
  <si>
    <t>Cob 7 (NR)Credencial</t>
  </si>
  <si>
    <t>PRIMA COBERTURA</t>
  </si>
  <si>
    <t>Utilidad</t>
  </si>
  <si>
    <t>Marketing</t>
  </si>
  <si>
    <t>Cobranza</t>
  </si>
  <si>
    <t>APLICA % ADMIN</t>
  </si>
  <si>
    <t>RECARGO/ DESC</t>
  </si>
  <si>
    <t xml:space="preserve">PRIMA NETA </t>
  </si>
  <si>
    <t>Costo de Intermediacion</t>
  </si>
  <si>
    <t xml:space="preserve"> % ADMIN</t>
  </si>
  <si>
    <t>%</t>
  </si>
  <si>
    <t>Recargo Adicional</t>
  </si>
  <si>
    <t>PRIMA TOTAL CONTADO</t>
  </si>
  <si>
    <t>POLIZA</t>
  </si>
  <si>
    <t>PRIMA ANUAL</t>
  </si>
  <si>
    <t>COD FREQ</t>
  </si>
  <si>
    <t>FRECUENCIA</t>
  </si>
  <si>
    <t>CUOTA</t>
  </si>
  <si>
    <t>FACTOR</t>
  </si>
  <si>
    <t>ANUAL</t>
  </si>
  <si>
    <t>SEMESTRAL</t>
  </si>
  <si>
    <t>TRIMESTRAL</t>
  </si>
  <si>
    <t>MENSUAL</t>
  </si>
  <si>
    <t>CUOTAS</t>
  </si>
  <si>
    <t>CALULO DESEADO</t>
  </si>
  <si>
    <t>INGRESAR PRIMA DESEADA</t>
  </si>
  <si>
    <t>COBERTURAS</t>
  </si>
  <si>
    <t>CANT. ASEGURADOS</t>
  </si>
  <si>
    <t>APLICA COB</t>
  </si>
  <si>
    <t>MONTOS FIJOS</t>
  </si>
  <si>
    <t>CALCULO SALUD</t>
  </si>
  <si>
    <t>DATOS GENERALES</t>
  </si>
  <si>
    <t>Campos que rara vez se editaran, ya que se actualizaran en caso de que la parametrización del producto cambie algun porcentaje o forma de optener la prima de riesgo de la cobertura</t>
  </si>
  <si>
    <t>Campos que se editan de forma constante, para optener los calculos de primas.</t>
  </si>
  <si>
    <t>PRIMA COBERTURA QUE SE TIENEN QUE CONFIGURAR PARA EL PRODUCTO</t>
  </si>
  <si>
    <t>FRECUENCIAS</t>
  </si>
  <si>
    <t>Hoja de calculo que sirve como base de datos, para guardar el factor dependiendo de la frecuencia de pago. Se debe editar en caso de que alguno de los factores cambie.</t>
  </si>
  <si>
    <t>Hoja de calculo de primas, que siempre te calculará la prima anual basado en las primas de las coberturas de una poliza emitida ( consulta general del sistestema--&gt; pestaña coberturas). Pero tambien te permite ver las primas para cada frecuencia de pago, segun se seleccione la frecuencia deseada.</t>
  </si>
  <si>
    <t>P DESEADA COBERTURA</t>
  </si>
  <si>
    <t>Hoja de calculo, que a partir de la prima deseada anual realiza el calculo hacia atrás, para lograr optener la prima de la cobertura que se debe configurar en el diseñador de productos.</t>
  </si>
  <si>
    <t>CALCULO BASE</t>
  </si>
  <si>
    <t>CALCULO DESEADO</t>
  </si>
  <si>
    <t>MONTO</t>
  </si>
  <si>
    <t>PORCENTAJE</t>
  </si>
  <si>
    <t>P.R. DESEADA - P.R. ORIGINAL</t>
  </si>
  <si>
    <t>PRIMA TECNICA</t>
  </si>
  <si>
    <t>PRIMA DE RIESGO</t>
  </si>
  <si>
    <t>Prima anual con descuento:</t>
  </si>
  <si>
    <t>Prima anual:</t>
  </si>
  <si>
    <t>Atención odontológica</t>
  </si>
  <si>
    <t>Call center</t>
  </si>
  <si>
    <t>Credencial</t>
  </si>
  <si>
    <t>Emergencia médica</t>
  </si>
  <si>
    <t>Asistencia</t>
  </si>
  <si>
    <t>Maternidad</t>
  </si>
  <si>
    <t>-</t>
  </si>
  <si>
    <t>CANT. ASEGURADOS: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</si>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</sst>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00"/>
    <numFmt numFmtId="165" formatCode="0.0000%"/>
    <numFmt numFmtId="166" formatCode="#,##0.000000"/>
    <numFmt numFmtId="167" formatCode="0.000000"/>
  </numFmts>
  <fonts count="21" x14ac:knownFonts="1">
    <font>
      <sz val="11"/>
      <color theme="1"/>
      <name val="Calibri"/>
      <family val="2"/>
      <scheme val="minor"/>
    </font>
    <font>
      <sz val="11"/>
      <color theme="1"/>
      <name val="Calibri"/>
      <family val="2"/>
      <scheme val="minor"/>
    </font>
    <font>
      <sz val="10"/>
      <color theme="1"/>
      <name val="Calibri"/>
      <family val="2"/>
      <scheme val="minor"/>
    </font>
    <font>
      <b/>
      <sz val="10"/>
      <name val="Arial"/>
      <family val="2"/>
    </font>
    <font>
      <b/>
      <sz val="10"/>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b/>
      <sz val="12"/>
      <color theme="1"/>
      <name val="Arial"/>
      <family val="2"/>
    </font>
    <font>
      <b/>
      <sz val="14"/>
      <name val="Calibri"/>
      <family val="2"/>
      <scheme val="minor"/>
    </font>
    <font>
      <b/>
      <sz val="11"/>
      <color rgb="FF000000"/>
      <name val="Calibri"/>
      <family val="2"/>
    </font>
    <font>
      <sz val="11"/>
      <color rgb="FF000000"/>
      <name val="Calibri"/>
      <family val="2"/>
    </font>
    <font>
      <b/>
      <sz val="16"/>
      <name val="Calibri"/>
      <family val="2"/>
      <scheme val="minor"/>
    </font>
    <font>
      <b/>
      <sz val="20"/>
      <color theme="0"/>
      <name val="Calibri"/>
      <family val="2"/>
      <scheme val="minor"/>
    </font>
    <font>
      <b/>
      <sz val="20"/>
      <name val="Calibri"/>
      <family val="2"/>
      <scheme val="minor"/>
    </font>
    <font>
      <b/>
      <sz val="11"/>
      <color theme="1"/>
      <name val="Calibri"/>
      <family val="2"/>
      <scheme val="minor"/>
    </font>
    <font>
      <sz val="12"/>
      <color theme="1"/>
      <name val="Arial"/>
      <family val="2"/>
    </font>
    <font>
      <sz val="14"/>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249977111117893"/>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style="medium">
        <color indexed="64"/>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5">
    <xf numFmtId="0" fontId="0"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11">
    <xf numFmtId="0" fontId="0" fillId="0" borderId="0" xfId="0"/>
    <xf numFmtId="0" fontId="2" fillId="0" borderId="0" xfId="1" applyFont="1"/>
    <xf numFmtId="0" fontId="3" fillId="0" borderId="0" xfId="1" applyFont="1" applyFill="1" applyBorder="1"/>
    <xf numFmtId="0" fontId="2" fillId="0" borderId="0" xfId="1" applyFont="1" applyAlignment="1">
      <alignment wrapText="1"/>
    </xf>
    <xf numFmtId="164" fontId="5" fillId="5" borderId="31" xfId="1" applyNumberFormat="1" applyFont="1" applyFill="1" applyBorder="1" applyAlignment="1">
      <alignment horizontal="left"/>
    </xf>
    <xf numFmtId="0" fontId="5" fillId="5" borderId="31" xfId="1" applyFont="1" applyFill="1" applyBorder="1" applyAlignment="1">
      <alignment horizontal="left"/>
    </xf>
    <xf numFmtId="164" fontId="5" fillId="0" borderId="31" xfId="1" applyNumberFormat="1" applyFont="1" applyFill="1" applyBorder="1" applyAlignment="1">
      <alignment horizontal="left"/>
    </xf>
    <xf numFmtId="0" fontId="5" fillId="0" borderId="29" xfId="1" applyFont="1" applyFill="1" applyBorder="1" applyAlignment="1">
      <alignment horizontal="left"/>
    </xf>
    <xf numFmtId="0" fontId="5" fillId="0" borderId="39" xfId="1" applyFont="1" applyFill="1" applyBorder="1" applyAlignment="1"/>
    <xf numFmtId="0" fontId="5" fillId="0" borderId="21" xfId="1" applyFont="1" applyFill="1" applyBorder="1" applyAlignment="1"/>
    <xf numFmtId="164" fontId="2" fillId="0" borderId="0" xfId="1" applyNumberFormat="1" applyFont="1"/>
    <xf numFmtId="164" fontId="6" fillId="0" borderId="18" xfId="1" applyNumberFormat="1" applyFont="1" applyFill="1" applyBorder="1" applyAlignment="1">
      <alignment horizontal="right" vertical="center"/>
    </xf>
    <xf numFmtId="0" fontId="7" fillId="2" borderId="6" xfId="1" applyFont="1" applyFill="1" applyBorder="1" applyAlignment="1">
      <alignment vertical="center"/>
    </xf>
    <xf numFmtId="0" fontId="7" fillId="2" borderId="7" xfId="1" applyFont="1" applyFill="1" applyBorder="1" applyAlignment="1">
      <alignment vertical="center"/>
    </xf>
    <xf numFmtId="14" fontId="6" fillId="3" borderId="13" xfId="1" applyNumberFormat="1" applyFont="1" applyFill="1" applyBorder="1" applyAlignment="1">
      <alignment horizontal="center"/>
    </xf>
    <xf numFmtId="0" fontId="5" fillId="0" borderId="15" xfId="1" applyFont="1" applyFill="1" applyBorder="1" applyAlignment="1"/>
    <xf numFmtId="0" fontId="5" fillId="0" borderId="23" xfId="1" applyFont="1" applyFill="1" applyBorder="1" applyAlignment="1"/>
    <xf numFmtId="0" fontId="7" fillId="2" borderId="2" xfId="1" applyFont="1" applyFill="1" applyBorder="1" applyAlignment="1">
      <alignment vertical="center"/>
    </xf>
    <xf numFmtId="0" fontId="7" fillId="2" borderId="16"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5" fillId="0" borderId="19" xfId="1" applyFont="1" applyFill="1" applyBorder="1" applyAlignment="1">
      <alignment horizontal="left"/>
    </xf>
    <xf numFmtId="0" fontId="5" fillId="0" borderId="32" xfId="1" applyFont="1" applyFill="1" applyBorder="1" applyAlignment="1">
      <alignment horizontal="left"/>
    </xf>
    <xf numFmtId="164" fontId="6" fillId="0" borderId="18" xfId="1" applyNumberFormat="1" applyFont="1" applyFill="1" applyBorder="1" applyAlignment="1">
      <alignment horizontal="right" vertical="center" indent="1"/>
    </xf>
    <xf numFmtId="164" fontId="7" fillId="2" borderId="16" xfId="2" applyNumberFormat="1" applyFont="1" applyFill="1" applyBorder="1" applyAlignment="1">
      <alignment horizontal="right" vertical="center" indent="1"/>
    </xf>
    <xf numFmtId="164" fontId="6" fillId="0" borderId="13" xfId="1" applyNumberFormat="1" applyFont="1" applyFill="1" applyBorder="1" applyAlignment="1">
      <alignment horizontal="right" vertical="center" indent="1"/>
    </xf>
    <xf numFmtId="0" fontId="5" fillId="0" borderId="22" xfId="1" applyFont="1" applyFill="1" applyBorder="1" applyAlignment="1">
      <alignment horizontal="left"/>
    </xf>
    <xf numFmtId="9" fontId="5" fillId="0" borderId="21" xfId="1" applyNumberFormat="1" applyFont="1" applyFill="1" applyBorder="1" applyAlignment="1">
      <alignment horizontal="center" vertical="center"/>
    </xf>
    <xf numFmtId="164" fontId="5" fillId="6" borderId="33" xfId="1" applyNumberFormat="1" applyFont="1" applyFill="1" applyBorder="1" applyAlignment="1">
      <alignment horizontal="left"/>
    </xf>
    <xf numFmtId="0" fontId="11" fillId="6" borderId="11" xfId="1" applyFont="1" applyFill="1" applyBorder="1" applyAlignment="1">
      <alignment horizontal="center" vertical="center"/>
    </xf>
    <xf numFmtId="0" fontId="11" fillId="6" borderId="13" xfId="1" applyFont="1" applyFill="1" applyBorder="1" applyAlignment="1">
      <alignment horizontal="center" vertical="center"/>
    </xf>
    <xf numFmtId="0" fontId="11" fillId="6" borderId="25"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27" xfId="1" applyFont="1" applyFill="1" applyBorder="1" applyAlignment="1">
      <alignment horizontal="center" vertical="center"/>
    </xf>
    <xf numFmtId="0" fontId="4" fillId="0" borderId="0" xfId="1" applyFont="1" applyAlignment="1">
      <alignment horizontal="center"/>
    </xf>
    <xf numFmtId="0" fontId="8" fillId="0" borderId="23" xfId="1" applyFont="1" applyFill="1" applyBorder="1" applyAlignment="1">
      <alignment horizontal="center"/>
    </xf>
    <xf numFmtId="10" fontId="8" fillId="6" borderId="13" xfId="1" applyNumberFormat="1" applyFont="1" applyFill="1" applyBorder="1" applyAlignment="1">
      <alignment horizontal="center" vertical="center"/>
    </xf>
    <xf numFmtId="10" fontId="7" fillId="6" borderId="11" xfId="2" applyNumberFormat="1" applyFont="1" applyFill="1" applyBorder="1" applyAlignment="1">
      <alignment horizontal="center"/>
    </xf>
    <xf numFmtId="10" fontId="8" fillId="6" borderId="14" xfId="1" applyNumberFormat="1" applyFont="1" applyFill="1" applyBorder="1" applyAlignment="1">
      <alignment horizontal="center" vertical="center"/>
    </xf>
    <xf numFmtId="0" fontId="7" fillId="2" borderId="40" xfId="1" applyFont="1" applyFill="1" applyBorder="1" applyAlignment="1">
      <alignment vertical="center"/>
    </xf>
    <xf numFmtId="164" fontId="7" fillId="2" borderId="27" xfId="2" applyNumberFormat="1" applyFont="1" applyFill="1" applyBorder="1" applyAlignment="1">
      <alignment horizontal="right" vertical="center" indent="1"/>
    </xf>
    <xf numFmtId="0" fontId="5" fillId="0" borderId="21" xfId="1" applyFont="1" applyFill="1" applyBorder="1" applyAlignment="1">
      <alignment horizontal="left"/>
    </xf>
    <xf numFmtId="0" fontId="7" fillId="2" borderId="2" xfId="1" applyFont="1" applyFill="1" applyBorder="1" applyAlignment="1">
      <alignment horizontal="center" vertical="center"/>
    </xf>
    <xf numFmtId="10" fontId="8" fillId="6" borderId="9" xfId="1" applyNumberFormat="1" applyFont="1" applyFill="1" applyBorder="1" applyAlignment="1">
      <alignment horizontal="center" vertical="center"/>
    </xf>
    <xf numFmtId="10" fontId="8" fillId="6" borderId="15" xfId="1" applyNumberFormat="1" applyFont="1" applyFill="1" applyBorder="1" applyAlignment="1">
      <alignment horizontal="center" vertical="center"/>
    </xf>
    <xf numFmtId="164" fontId="6" fillId="0" borderId="11" xfId="1" applyNumberFormat="1" applyFont="1" applyFill="1" applyBorder="1" applyAlignment="1">
      <alignment horizontal="right" vertical="center" indent="1"/>
    </xf>
    <xf numFmtId="0" fontId="7" fillId="2" borderId="16" xfId="1" applyFont="1" applyFill="1" applyBorder="1"/>
    <xf numFmtId="0" fontId="9" fillId="0" borderId="30" xfId="1" applyFont="1" applyFill="1" applyBorder="1" applyAlignment="1"/>
    <xf numFmtId="0" fontId="9" fillId="0" borderId="30" xfId="1" applyFont="1" applyFill="1" applyBorder="1" applyAlignment="1">
      <alignment horizontal="left"/>
    </xf>
    <xf numFmtId="0" fontId="12" fillId="4" borderId="1" xfId="1" applyFont="1" applyFill="1" applyBorder="1" applyAlignment="1">
      <alignment vertical="center"/>
    </xf>
    <xf numFmtId="0" fontId="10" fillId="4" borderId="3" xfId="1" applyFont="1" applyFill="1" applyBorder="1" applyAlignment="1">
      <alignment vertical="center"/>
    </xf>
    <xf numFmtId="0" fontId="12" fillId="2" borderId="1" xfId="1" applyFont="1" applyFill="1" applyBorder="1" applyAlignment="1">
      <alignment vertical="center"/>
    </xf>
    <xf numFmtId="0" fontId="9" fillId="0" borderId="26" xfId="1" applyFont="1" applyFill="1" applyBorder="1" applyAlignment="1">
      <alignment horizontal="left"/>
    </xf>
    <xf numFmtId="0" fontId="9" fillId="0" borderId="17" xfId="1" applyFont="1" applyFill="1" applyBorder="1" applyAlignment="1">
      <alignment horizontal="left"/>
    </xf>
    <xf numFmtId="0" fontId="9" fillId="0" borderId="24" xfId="1" applyFont="1" applyFill="1" applyBorder="1" applyAlignment="1">
      <alignment horizontal="left"/>
    </xf>
    <xf numFmtId="0" fontId="9" fillId="0" borderId="12" xfId="1" applyFont="1" applyFill="1" applyBorder="1" applyAlignment="1"/>
    <xf numFmtId="0" fontId="11" fillId="6" borderId="20" xfId="1" applyFont="1" applyFill="1" applyBorder="1" applyAlignment="1">
      <alignment horizontal="center" vertical="center"/>
    </xf>
    <xf numFmtId="0" fontId="5" fillId="5" borderId="37" xfId="1" applyFont="1" applyFill="1" applyBorder="1" applyAlignment="1">
      <alignment horizontal="left"/>
    </xf>
    <xf numFmtId="0" fontId="5" fillId="5" borderId="29" xfId="1" applyFont="1" applyFill="1" applyBorder="1" applyAlignment="1">
      <alignment horizontal="left"/>
    </xf>
    <xf numFmtId="164" fontId="12" fillId="4" borderId="34" xfId="1" applyNumberFormat="1" applyFont="1" applyFill="1" applyBorder="1" applyAlignment="1">
      <alignment vertical="center"/>
    </xf>
    <xf numFmtId="0" fontId="12" fillId="4" borderId="34" xfId="1" applyFont="1" applyFill="1" applyBorder="1" applyAlignment="1">
      <alignment vertical="center"/>
    </xf>
    <xf numFmtId="164" fontId="12" fillId="4" borderId="27" xfId="1" applyNumberFormat="1" applyFont="1" applyFill="1" applyBorder="1" applyAlignment="1">
      <alignment horizontal="right" vertical="center" indent="1"/>
    </xf>
    <xf numFmtId="0" fontId="10" fillId="4" borderId="4" xfId="1" applyFont="1" applyFill="1" applyBorder="1" applyAlignment="1">
      <alignment horizontal="center" vertical="center"/>
    </xf>
    <xf numFmtId="9" fontId="10" fillId="4" borderId="36" xfId="1" applyNumberFormat="1" applyFont="1" applyFill="1" applyBorder="1" applyAlignment="1">
      <alignment vertical="center"/>
    </xf>
    <xf numFmtId="164" fontId="10" fillId="4" borderId="28" xfId="1" applyNumberFormat="1" applyFont="1" applyFill="1" applyBorder="1" applyAlignment="1">
      <alignment horizontal="right" vertical="center" indent="1"/>
    </xf>
    <xf numFmtId="0" fontId="12" fillId="4" borderId="27" xfId="1" applyFont="1" applyFill="1" applyBorder="1" applyAlignment="1">
      <alignment horizontal="center" vertical="center"/>
    </xf>
    <xf numFmtId="0" fontId="14" fillId="0" borderId="28" xfId="0" applyFont="1" applyBorder="1" applyAlignment="1">
      <alignment horizontal="center" vertical="center"/>
    </xf>
    <xf numFmtId="0" fontId="14" fillId="0" borderId="5" xfId="0" applyFont="1" applyBorder="1" applyAlignment="1">
      <alignment horizontal="center" vertical="center"/>
    </xf>
    <xf numFmtId="0" fontId="5" fillId="0" borderId="31" xfId="1" applyFont="1" applyFill="1" applyBorder="1" applyAlignment="1">
      <alignment horizontal="left"/>
    </xf>
    <xf numFmtId="0" fontId="5" fillId="0" borderId="37" xfId="1" applyFont="1" applyFill="1" applyBorder="1" applyAlignment="1">
      <alignment horizontal="left"/>
    </xf>
    <xf numFmtId="0" fontId="14" fillId="0" borderId="0" xfId="0" applyFont="1" applyBorder="1" applyAlignment="1">
      <alignment horizontal="center" vertical="center"/>
    </xf>
    <xf numFmtId="0" fontId="7" fillId="2" borderId="6" xfId="1" applyFont="1" applyFill="1" applyBorder="1" applyAlignment="1">
      <alignment horizontal="center" vertical="center"/>
    </xf>
    <xf numFmtId="0" fontId="14" fillId="0" borderId="5" xfId="0" applyFont="1" applyBorder="1" applyAlignment="1">
      <alignment horizontal="left" vertical="center"/>
    </xf>
    <xf numFmtId="0" fontId="13" fillId="0" borderId="5" xfId="0" applyFont="1" applyBorder="1" applyAlignment="1">
      <alignment horizontal="center" vertical="center"/>
    </xf>
    <xf numFmtId="0" fontId="13" fillId="0" borderId="28" xfId="0" applyFont="1" applyBorder="1" applyAlignment="1">
      <alignment horizontal="center" vertical="center" wrapText="1"/>
    </xf>
    <xf numFmtId="0" fontId="13" fillId="0" borderId="4" xfId="0" applyFont="1" applyBorder="1" applyAlignment="1">
      <alignment horizontal="center" vertical="center"/>
    </xf>
    <xf numFmtId="0" fontId="14" fillId="0" borderId="38" xfId="0" applyFont="1" applyBorder="1" applyAlignment="1">
      <alignment horizontal="left" vertical="center"/>
    </xf>
    <xf numFmtId="0" fontId="14" fillId="0" borderId="35" xfId="0" applyFont="1" applyBorder="1" applyAlignment="1">
      <alignment horizontal="center" vertical="center"/>
    </xf>
    <xf numFmtId="0" fontId="14" fillId="0" borderId="38" xfId="0" applyFont="1" applyBorder="1" applyAlignment="1">
      <alignment horizontal="center" vertical="center"/>
    </xf>
    <xf numFmtId="0" fontId="14" fillId="7" borderId="4" xfId="0" applyFont="1" applyFill="1" applyBorder="1" applyAlignment="1">
      <alignment horizontal="center" vertical="center"/>
    </xf>
    <xf numFmtId="0" fontId="14" fillId="7" borderId="0" xfId="0" applyFont="1" applyFill="1" applyBorder="1" applyAlignment="1">
      <alignment horizontal="center" vertical="center"/>
    </xf>
    <xf numFmtId="164" fontId="9" fillId="2" borderId="16" xfId="1" applyNumberFormat="1" applyFont="1" applyFill="1" applyBorder="1" applyAlignment="1">
      <alignment horizontal="center" vertical="center"/>
    </xf>
    <xf numFmtId="0" fontId="9" fillId="2" borderId="16" xfId="1" applyFont="1" applyFill="1" applyBorder="1" applyAlignment="1">
      <alignment horizontal="center" vertical="center"/>
    </xf>
    <xf numFmtId="164" fontId="12" fillId="7" borderId="28" xfId="1" applyNumberFormat="1" applyFont="1" applyFill="1" applyBorder="1" applyAlignment="1">
      <alignment horizontal="right" vertical="center" indent="1"/>
    </xf>
    <xf numFmtId="0" fontId="10" fillId="0" borderId="0" xfId="1" applyFont="1"/>
    <xf numFmtId="164" fontId="12" fillId="4" borderId="27" xfId="1" applyNumberFormat="1" applyFont="1" applyFill="1" applyBorder="1" applyAlignment="1">
      <alignment horizontal="right" vertical="center"/>
    </xf>
    <xf numFmtId="10" fontId="2" fillId="0" borderId="0" xfId="1" applyNumberFormat="1" applyFont="1"/>
    <xf numFmtId="164" fontId="15" fillId="8" borderId="18" xfId="1" applyNumberFormat="1" applyFont="1" applyFill="1" applyBorder="1" applyAlignment="1">
      <alignment horizontal="right" vertical="center"/>
    </xf>
    <xf numFmtId="0" fontId="9" fillId="0" borderId="19" xfId="1" applyFont="1" applyFill="1" applyBorder="1" applyAlignment="1"/>
    <xf numFmtId="0" fontId="11" fillId="7" borderId="9" xfId="1" applyFont="1" applyFill="1" applyBorder="1" applyAlignment="1">
      <alignment horizontal="center" vertical="center"/>
    </xf>
    <xf numFmtId="0" fontId="11" fillId="7" borderId="14" xfId="1" applyFont="1" applyFill="1" applyBorder="1" applyAlignment="1">
      <alignment horizontal="center" vertical="center"/>
    </xf>
    <xf numFmtId="0" fontId="11" fillId="7" borderId="42" xfId="1" applyFont="1" applyFill="1" applyBorder="1" applyAlignment="1">
      <alignment horizontal="center" vertical="center"/>
    </xf>
    <xf numFmtId="0" fontId="11" fillId="7" borderId="15" xfId="1" applyFont="1" applyFill="1" applyBorder="1" applyAlignment="1">
      <alignment horizontal="center" vertical="center"/>
    </xf>
    <xf numFmtId="0" fontId="11" fillId="0" borderId="12" xfId="1" applyFont="1" applyFill="1" applyBorder="1" applyAlignment="1">
      <alignment horizontal="right" vertical="center" indent="1"/>
    </xf>
    <xf numFmtId="9" fontId="5" fillId="0" borderId="32" xfId="1" applyNumberFormat="1" applyFont="1" applyFill="1" applyBorder="1" applyAlignment="1">
      <alignment horizontal="center" vertical="center"/>
    </xf>
    <xf numFmtId="164" fontId="6" fillId="0" borderId="11" xfId="1" applyNumberFormat="1" applyFont="1" applyFill="1" applyBorder="1" applyAlignment="1">
      <alignment horizontal="right" vertical="center"/>
    </xf>
    <xf numFmtId="0" fontId="5" fillId="0" borderId="25" xfId="1" applyFont="1" applyFill="1" applyBorder="1" applyAlignment="1">
      <alignment horizontal="left"/>
    </xf>
    <xf numFmtId="0" fontId="7" fillId="9" borderId="27" xfId="1" applyFont="1" applyFill="1" applyBorder="1" applyAlignment="1">
      <alignment horizontal="center" vertical="center"/>
    </xf>
    <xf numFmtId="14" fontId="6" fillId="0" borderId="13" xfId="1" applyNumberFormat="1" applyFont="1" applyFill="1" applyBorder="1" applyAlignment="1">
      <alignment horizontal="center"/>
    </xf>
    <xf numFmtId="164" fontId="5" fillId="7" borderId="11" xfId="1" applyNumberFormat="1" applyFont="1" applyFill="1" applyBorder="1" applyAlignment="1">
      <alignment horizontal="right" indent="1"/>
    </xf>
    <xf numFmtId="164" fontId="5" fillId="7" borderId="43" xfId="1" applyNumberFormat="1" applyFont="1" applyFill="1" applyBorder="1" applyAlignment="1">
      <alignment horizontal="right"/>
    </xf>
    <xf numFmtId="164" fontId="5" fillId="7" borderId="13" xfId="1" applyNumberFormat="1" applyFont="1" applyFill="1" applyBorder="1" applyAlignment="1">
      <alignment horizontal="right" indent="1"/>
    </xf>
    <xf numFmtId="164" fontId="5" fillId="0" borderId="31" xfId="1" applyNumberFormat="1" applyFont="1" applyFill="1" applyBorder="1" applyAlignment="1">
      <alignment horizontal="right"/>
    </xf>
    <xf numFmtId="164" fontId="5" fillId="0" borderId="13" xfId="1" applyNumberFormat="1" applyFont="1" applyFill="1" applyBorder="1" applyAlignment="1">
      <alignment horizontal="right" indent="1"/>
    </xf>
    <xf numFmtId="0" fontId="5" fillId="0" borderId="31" xfId="1" applyFont="1" applyFill="1" applyBorder="1" applyAlignment="1">
      <alignment horizontal="right"/>
    </xf>
    <xf numFmtId="0" fontId="5" fillId="0" borderId="13" xfId="1" applyFont="1" applyFill="1" applyBorder="1" applyAlignment="1">
      <alignment horizontal="right"/>
    </xf>
    <xf numFmtId="0" fontId="5" fillId="0" borderId="37" xfId="1" applyFont="1" applyFill="1" applyBorder="1" applyAlignment="1">
      <alignment horizontal="right"/>
    </xf>
    <xf numFmtId="0" fontId="9" fillId="0" borderId="9" xfId="1" applyFont="1" applyFill="1" applyBorder="1" applyAlignment="1">
      <alignment horizontal="left"/>
    </xf>
    <xf numFmtId="0" fontId="9" fillId="0" borderId="15" xfId="1" applyFont="1" applyFill="1" applyBorder="1" applyAlignment="1">
      <alignment horizontal="left"/>
    </xf>
    <xf numFmtId="0" fontId="11" fillId="0" borderId="10" xfId="1" applyFont="1" applyFill="1" applyBorder="1" applyAlignment="1">
      <alignment horizontal="right" vertical="center" indent="1"/>
    </xf>
    <xf numFmtId="0" fontId="4" fillId="0" borderId="0" xfId="1" applyFont="1" applyBorder="1" applyAlignment="1">
      <alignment horizontal="right" vertical="center"/>
    </xf>
    <xf numFmtId="0" fontId="11" fillId="0" borderId="41" xfId="1" applyFont="1" applyFill="1" applyBorder="1" applyAlignment="1">
      <alignment horizontal="left" vertical="center" indent="1"/>
    </xf>
    <xf numFmtId="10" fontId="8" fillId="6" borderId="11" xfId="1" applyNumberFormat="1" applyFont="1" applyFill="1" applyBorder="1" applyAlignment="1">
      <alignment horizontal="center" vertical="center"/>
    </xf>
    <xf numFmtId="10" fontId="8" fillId="6" borderId="25" xfId="1" applyNumberFormat="1" applyFont="1" applyFill="1" applyBorder="1" applyAlignment="1">
      <alignment horizontal="center" vertical="center"/>
    </xf>
    <xf numFmtId="0" fontId="5" fillId="0" borderId="6" xfId="1" applyFont="1" applyFill="1" applyBorder="1" applyAlignment="1"/>
    <xf numFmtId="0" fontId="4" fillId="0" borderId="7" xfId="1" applyFont="1" applyBorder="1" applyAlignment="1">
      <alignment horizontal="center"/>
    </xf>
    <xf numFmtId="0" fontId="10" fillId="7" borderId="44" xfId="1" applyFont="1" applyFill="1" applyBorder="1" applyAlignment="1">
      <alignment horizontal="center"/>
    </xf>
    <xf numFmtId="0" fontId="5" fillId="0" borderId="7" xfId="1" applyFont="1" applyFill="1" applyBorder="1" applyAlignment="1"/>
    <xf numFmtId="0" fontId="5" fillId="0" borderId="8" xfId="1" applyFont="1" applyFill="1" applyBorder="1" applyAlignment="1"/>
    <xf numFmtId="0" fontId="10" fillId="0" borderId="7" xfId="1" applyFont="1" applyFill="1" applyBorder="1" applyAlignment="1">
      <alignment horizontal="right" vertical="center"/>
    </xf>
    <xf numFmtId="164" fontId="6" fillId="0" borderId="14" xfId="1" applyNumberFormat="1" applyFont="1" applyFill="1" applyBorder="1" applyAlignment="1">
      <alignment horizontal="right" vertical="center" indent="1"/>
    </xf>
    <xf numFmtId="164" fontId="6" fillId="0" borderId="30" xfId="1" applyNumberFormat="1" applyFont="1" applyFill="1" applyBorder="1" applyAlignment="1">
      <alignment horizontal="right" vertical="center" indent="1"/>
    </xf>
    <xf numFmtId="164" fontId="7" fillId="2" borderId="1" xfId="2" applyNumberFormat="1" applyFont="1" applyFill="1" applyBorder="1" applyAlignment="1">
      <alignment horizontal="right" vertical="center" indent="1"/>
    </xf>
    <xf numFmtId="164" fontId="6" fillId="0" borderId="9" xfId="1" applyNumberFormat="1" applyFont="1" applyFill="1" applyBorder="1" applyAlignment="1">
      <alignment horizontal="right" vertical="center" indent="1"/>
    </xf>
    <xf numFmtId="164" fontId="6" fillId="0" borderId="13" xfId="1" applyNumberFormat="1" applyFont="1" applyFill="1" applyBorder="1" applyAlignment="1">
      <alignment horizontal="right" vertical="center"/>
    </xf>
    <xf numFmtId="164" fontId="12" fillId="4" borderId="16" xfId="1" applyNumberFormat="1" applyFont="1" applyFill="1" applyBorder="1" applyAlignment="1">
      <alignment horizontal="right" vertical="center" indent="1"/>
    </xf>
    <xf numFmtId="164" fontId="10" fillId="4" borderId="16" xfId="1" applyNumberFormat="1" applyFont="1" applyFill="1" applyBorder="1" applyAlignment="1">
      <alignment horizontal="right" vertical="center" indent="1"/>
    </xf>
    <xf numFmtId="164" fontId="6" fillId="0" borderId="20" xfId="1" applyNumberFormat="1" applyFont="1" applyFill="1" applyBorder="1" applyAlignment="1">
      <alignment horizontal="right" vertical="center" indent="1"/>
    </xf>
    <xf numFmtId="164" fontId="6" fillId="0" borderId="35" xfId="1" applyNumberFormat="1" applyFont="1" applyFill="1" applyBorder="1" applyAlignment="1">
      <alignment horizontal="right" vertical="center" indent="1"/>
    </xf>
    <xf numFmtId="0" fontId="9" fillId="0" borderId="23" xfId="1" applyFont="1" applyFill="1" applyBorder="1" applyAlignment="1"/>
    <xf numFmtId="0" fontId="8" fillId="0" borderId="20" xfId="1" applyFont="1" applyFill="1" applyBorder="1" applyAlignment="1">
      <alignment horizontal="center"/>
    </xf>
    <xf numFmtId="9" fontId="5" fillId="0" borderId="45" xfId="1" applyNumberFormat="1" applyFont="1" applyFill="1" applyBorder="1" applyAlignment="1">
      <alignment horizontal="center" vertical="center"/>
    </xf>
    <xf numFmtId="164" fontId="6" fillId="0" borderId="42" xfId="1" applyNumberFormat="1" applyFont="1" applyFill="1" applyBorder="1" applyAlignment="1">
      <alignment horizontal="right" vertical="center" indent="1"/>
    </xf>
    <xf numFmtId="0" fontId="10" fillId="4" borderId="6" xfId="1" applyFont="1" applyFill="1" applyBorder="1" applyAlignment="1">
      <alignment vertical="center"/>
    </xf>
    <xf numFmtId="0" fontId="10" fillId="4" borderId="16" xfId="1" applyFont="1" applyFill="1" applyBorder="1" applyAlignment="1">
      <alignment horizontal="center" vertical="center"/>
    </xf>
    <xf numFmtId="0" fontId="10" fillId="4" borderId="7" xfId="1" applyFont="1" applyFill="1" applyBorder="1" applyAlignment="1">
      <alignment horizontal="center" vertical="center"/>
    </xf>
    <xf numFmtId="9" fontId="10" fillId="4" borderId="44" xfId="1" applyNumberFormat="1" applyFont="1" applyFill="1" applyBorder="1" applyAlignment="1">
      <alignment vertical="center"/>
    </xf>
    <xf numFmtId="164" fontId="10" fillId="4" borderId="6" xfId="1" applyNumberFormat="1" applyFont="1" applyFill="1" applyBorder="1" applyAlignment="1">
      <alignment horizontal="right" vertical="center" indent="1"/>
    </xf>
    <xf numFmtId="10" fontId="8" fillId="6" borderId="18" xfId="1" applyNumberFormat="1" applyFont="1" applyFill="1" applyBorder="1" applyAlignment="1">
      <alignment horizontal="center" vertical="center"/>
    </xf>
    <xf numFmtId="0" fontId="12" fillId="4" borderId="6" xfId="1" applyFont="1" applyFill="1" applyBorder="1" applyAlignment="1">
      <alignment vertical="center"/>
    </xf>
    <xf numFmtId="0" fontId="12" fillId="4" borderId="16" xfId="1" applyFont="1" applyFill="1" applyBorder="1" applyAlignment="1">
      <alignment horizontal="center" vertical="center"/>
    </xf>
    <xf numFmtId="0" fontId="12" fillId="4" borderId="7" xfId="1" applyFont="1" applyFill="1" applyBorder="1" applyAlignment="1">
      <alignment horizontal="center" vertical="center"/>
    </xf>
    <xf numFmtId="164" fontId="12" fillId="4" borderId="16" xfId="1" applyNumberFormat="1" applyFont="1" applyFill="1" applyBorder="1" applyAlignment="1">
      <alignment vertical="center"/>
    </xf>
    <xf numFmtId="0" fontId="12" fillId="4" borderId="7" xfId="1" applyFont="1" applyFill="1" applyBorder="1" applyAlignment="1">
      <alignment vertical="center"/>
    </xf>
    <xf numFmtId="164" fontId="5" fillId="7" borderId="10" xfId="1" applyNumberFormat="1" applyFont="1" applyFill="1" applyBorder="1" applyAlignment="1">
      <alignment horizontal="right"/>
    </xf>
    <xf numFmtId="164" fontId="5" fillId="0" borderId="12" xfId="1" applyNumberFormat="1" applyFont="1" applyFill="1" applyBorder="1" applyAlignment="1">
      <alignment horizontal="right"/>
    </xf>
    <xf numFmtId="0" fontId="5" fillId="0" borderId="12" xfId="1" applyFont="1" applyFill="1" applyBorder="1" applyAlignment="1">
      <alignment horizontal="right"/>
    </xf>
    <xf numFmtId="0" fontId="5" fillId="0" borderId="23" xfId="1" applyFont="1" applyFill="1" applyBorder="1" applyAlignment="1">
      <alignment horizontal="right"/>
    </xf>
    <xf numFmtId="0" fontId="5" fillId="0" borderId="41" xfId="1" applyFont="1" applyFill="1" applyBorder="1" applyAlignment="1">
      <alignment horizontal="left"/>
    </xf>
    <xf numFmtId="164" fontId="6" fillId="0" borderId="43" xfId="1" applyNumberFormat="1" applyFont="1" applyFill="1" applyBorder="1" applyAlignment="1">
      <alignment horizontal="right" vertical="center"/>
    </xf>
    <xf numFmtId="164" fontId="6" fillId="0" borderId="31" xfId="1" applyNumberFormat="1" applyFont="1" applyFill="1" applyBorder="1" applyAlignment="1">
      <alignment horizontal="right" vertical="center"/>
    </xf>
    <xf numFmtId="164" fontId="6" fillId="0" borderId="29" xfId="1" applyNumberFormat="1" applyFont="1" applyFill="1" applyBorder="1" applyAlignment="1">
      <alignment horizontal="right" vertical="center"/>
    </xf>
    <xf numFmtId="164" fontId="12" fillId="4" borderId="3" xfId="1" applyNumberFormat="1" applyFont="1" applyFill="1" applyBorder="1" applyAlignment="1">
      <alignment horizontal="right" vertical="center" indent="1"/>
    </xf>
    <xf numFmtId="1" fontId="16" fillId="3" borderId="13" xfId="1" applyNumberFormat="1" applyFont="1" applyFill="1" applyBorder="1" applyAlignment="1">
      <alignment horizontal="center"/>
    </xf>
    <xf numFmtId="0" fontId="17" fillId="2" borderId="1" xfId="1" applyFont="1" applyFill="1" applyBorder="1" applyAlignment="1">
      <alignment vertical="center"/>
    </xf>
    <xf numFmtId="0" fontId="7" fillId="2" borderId="27" xfId="1" applyFont="1" applyFill="1" applyBorder="1" applyAlignment="1">
      <alignment horizontal="center" vertical="top" wrapText="1"/>
    </xf>
    <xf numFmtId="0" fontId="7" fillId="2" borderId="35" xfId="1" applyFont="1" applyFill="1" applyBorder="1" applyAlignment="1">
      <alignment horizontal="center" vertical="top" wrapText="1"/>
    </xf>
    <xf numFmtId="0" fontId="7" fillId="2" borderId="0" xfId="1" applyFont="1" applyFill="1" applyBorder="1" applyAlignment="1">
      <alignment horizontal="center" vertical="top" wrapText="1"/>
    </xf>
    <xf numFmtId="0" fontId="7" fillId="2" borderId="38" xfId="1" applyFont="1" applyFill="1" applyBorder="1" applyAlignment="1">
      <alignment horizontal="center" vertical="top" wrapText="1"/>
    </xf>
    <xf numFmtId="0" fontId="7" fillId="2" borderId="1" xfId="1" applyFont="1" applyFill="1" applyBorder="1" applyAlignment="1">
      <alignment horizontal="center" vertical="top"/>
    </xf>
    <xf numFmtId="0" fontId="7" fillId="7" borderId="1" xfId="1" applyFont="1" applyFill="1" applyBorder="1" applyAlignment="1">
      <alignment horizontal="center" vertical="top"/>
    </xf>
    <xf numFmtId="0" fontId="7" fillId="2" borderId="3" xfId="1" applyFont="1" applyFill="1" applyBorder="1" applyAlignment="1">
      <alignment horizontal="center" vertical="top"/>
    </xf>
    <xf numFmtId="164" fontId="12" fillId="4" borderId="28" xfId="1" applyNumberFormat="1" applyFont="1" applyFill="1" applyBorder="1" applyAlignment="1">
      <alignment horizontal="right" vertical="center" indent="1"/>
    </xf>
    <xf numFmtId="0" fontId="18" fillId="0" borderId="0" xfId="0" applyFont="1"/>
    <xf numFmtId="0" fontId="7" fillId="2" borderId="6" xfId="1" applyFont="1" applyFill="1" applyBorder="1" applyAlignment="1">
      <alignment horizontal="center" vertical="center" wrapText="1"/>
    </xf>
    <xf numFmtId="10" fontId="8" fillId="0" borderId="19" xfId="1" applyNumberFormat="1" applyFont="1" applyFill="1" applyBorder="1" applyAlignment="1">
      <alignment horizontal="center" vertical="center"/>
    </xf>
    <xf numFmtId="10" fontId="8" fillId="0" borderId="12" xfId="1" applyNumberFormat="1" applyFont="1" applyFill="1" applyBorder="1" applyAlignment="1">
      <alignment horizontal="center" vertical="center"/>
    </xf>
    <xf numFmtId="10" fontId="7" fillId="0" borderId="19" xfId="2" applyNumberFormat="1" applyFont="1" applyFill="1" applyBorder="1" applyAlignment="1">
      <alignment horizontal="center"/>
    </xf>
    <xf numFmtId="10" fontId="8" fillId="0" borderId="10" xfId="1" applyNumberFormat="1" applyFont="1" applyFill="1" applyBorder="1" applyAlignment="1">
      <alignment horizontal="center" vertical="center"/>
    </xf>
    <xf numFmtId="10" fontId="8" fillId="0" borderId="41" xfId="1" applyNumberFormat="1" applyFont="1" applyFill="1" applyBorder="1" applyAlignment="1">
      <alignment horizontal="center" vertical="center"/>
    </xf>
    <xf numFmtId="10" fontId="8" fillId="0" borderId="0" xfId="1" applyNumberFormat="1" applyFont="1" applyFill="1" applyBorder="1" applyAlignment="1">
      <alignment horizontal="center" vertical="center"/>
    </xf>
    <xf numFmtId="0" fontId="0" fillId="0" borderId="0" xfId="0" applyAlignment="1">
      <alignment wrapText="1"/>
    </xf>
    <xf numFmtId="10" fontId="8" fillId="6" borderId="21" xfId="1" applyNumberFormat="1" applyFont="1" applyFill="1" applyBorder="1" applyAlignment="1">
      <alignment horizontal="center" vertical="center"/>
    </xf>
    <xf numFmtId="0" fontId="10" fillId="7" borderId="21" xfId="1" applyFont="1" applyFill="1" applyBorder="1" applyAlignment="1">
      <alignment horizontal="center"/>
    </xf>
    <xf numFmtId="0" fontId="12" fillId="4" borderId="3" xfId="1" applyFont="1" applyFill="1" applyBorder="1" applyAlignment="1">
      <alignment vertical="center"/>
    </xf>
    <xf numFmtId="0" fontId="12" fillId="4" borderId="4" xfId="1" applyFont="1" applyFill="1" applyBorder="1" applyAlignment="1">
      <alignment horizontal="center" vertical="center"/>
    </xf>
    <xf numFmtId="164" fontId="12" fillId="4" borderId="36" xfId="1" applyNumberFormat="1" applyFont="1" applyFill="1" applyBorder="1" applyAlignment="1">
      <alignment vertical="center"/>
    </xf>
    <xf numFmtId="0" fontId="12" fillId="4" borderId="4" xfId="1" applyFont="1" applyFill="1" applyBorder="1" applyAlignment="1">
      <alignment vertical="center"/>
    </xf>
    <xf numFmtId="164" fontId="12" fillId="4" borderId="25" xfId="1" applyNumberFormat="1" applyFont="1" applyFill="1" applyBorder="1" applyAlignment="1">
      <alignment horizontal="right" vertical="center" indent="1"/>
    </xf>
    <xf numFmtId="0" fontId="11" fillId="7" borderId="11" xfId="1" applyFont="1" applyFill="1" applyBorder="1" applyAlignment="1">
      <alignment horizontal="center" vertical="center"/>
    </xf>
    <xf numFmtId="0" fontId="11" fillId="6" borderId="12" xfId="1" applyFont="1" applyFill="1" applyBorder="1" applyAlignment="1">
      <alignment horizontal="right" vertical="center" indent="1"/>
    </xf>
    <xf numFmtId="9" fontId="2" fillId="0" borderId="0" xfId="1" applyNumberFormat="1" applyFont="1"/>
    <xf numFmtId="4" fontId="2" fillId="0" borderId="0" xfId="1" applyNumberFormat="1" applyFont="1"/>
    <xf numFmtId="4" fontId="6" fillId="0" borderId="13" xfId="1" applyNumberFormat="1" applyFont="1" applyFill="1" applyBorder="1" applyAlignment="1">
      <alignment horizontal="right" vertical="center" indent="1"/>
    </xf>
    <xf numFmtId="4" fontId="6" fillId="0" borderId="11" xfId="1" applyNumberFormat="1" applyFont="1" applyFill="1" applyBorder="1" applyAlignment="1">
      <alignment horizontal="right" vertical="center" indent="1"/>
    </xf>
    <xf numFmtId="4" fontId="6" fillId="0" borderId="14" xfId="1" applyNumberFormat="1" applyFont="1" applyFill="1" applyBorder="1" applyAlignment="1">
      <alignment horizontal="right" vertical="center" indent="1"/>
    </xf>
    <xf numFmtId="4" fontId="6" fillId="0" borderId="9" xfId="1" applyNumberFormat="1" applyFont="1" applyFill="1" applyBorder="1" applyAlignment="1">
      <alignment horizontal="right" vertical="center" indent="1"/>
    </xf>
    <xf numFmtId="0" fontId="2" fillId="0" borderId="0" xfId="1" applyFont="1" applyBorder="1"/>
    <xf numFmtId="0" fontId="17" fillId="0" borderId="0" xfId="1" applyFont="1" applyFill="1" applyBorder="1" applyAlignment="1">
      <alignment vertical="center"/>
    </xf>
    <xf numFmtId="0" fontId="7" fillId="0" borderId="0" xfId="1" applyFont="1" applyFill="1" applyBorder="1" applyAlignment="1">
      <alignment horizontal="center" vertical="center"/>
    </xf>
    <xf numFmtId="4" fontId="16" fillId="0" borderId="0" xfId="1" applyNumberFormat="1" applyFont="1" applyFill="1" applyBorder="1" applyAlignment="1">
      <alignment horizontal="center"/>
    </xf>
    <xf numFmtId="0" fontId="7" fillId="2" borderId="16" xfId="1" applyFont="1" applyFill="1" applyBorder="1" applyAlignment="1">
      <alignment horizontal="center" vertical="center"/>
    </xf>
    <xf numFmtId="4" fontId="12" fillId="4" borderId="35" xfId="1" applyNumberFormat="1" applyFont="1" applyFill="1" applyBorder="1" applyAlignment="1">
      <alignment horizontal="right" vertical="center" indent="1"/>
    </xf>
    <xf numFmtId="4" fontId="10" fillId="4" borderId="28" xfId="1" applyNumberFormat="1" applyFont="1" applyFill="1" applyBorder="1" applyAlignment="1">
      <alignment horizontal="right" vertical="center" indent="1"/>
    </xf>
    <xf numFmtId="4" fontId="6" fillId="0" borderId="25" xfId="1" applyNumberFormat="1" applyFont="1" applyFill="1" applyBorder="1" applyAlignment="1">
      <alignment horizontal="right" vertical="center" indent="1"/>
    </xf>
    <xf numFmtId="0" fontId="9" fillId="0" borderId="9" xfId="1" applyFont="1" applyFill="1" applyBorder="1" applyAlignment="1"/>
    <xf numFmtId="0" fontId="9" fillId="0" borderId="14" xfId="1" applyFont="1" applyFill="1" applyBorder="1" applyAlignment="1"/>
    <xf numFmtId="0" fontId="9" fillId="0" borderId="14" xfId="1" applyFont="1" applyFill="1" applyBorder="1" applyAlignment="1">
      <alignment horizontal="left"/>
    </xf>
    <xf numFmtId="4" fontId="6" fillId="0" borderId="30" xfId="1" applyNumberFormat="1" applyFont="1" applyFill="1" applyBorder="1" applyAlignment="1">
      <alignment horizontal="right" vertical="center" indent="1"/>
    </xf>
    <xf numFmtId="4" fontId="12" fillId="4" borderId="34" xfId="1" applyNumberFormat="1" applyFont="1" applyFill="1" applyBorder="1" applyAlignment="1">
      <alignment horizontal="right" vertical="center" indent="1"/>
    </xf>
    <xf numFmtId="4" fontId="6" fillId="0" borderId="15" xfId="1" applyNumberFormat="1" applyFont="1" applyFill="1" applyBorder="1" applyAlignment="1">
      <alignment horizontal="right" vertical="center" indent="1"/>
    </xf>
    <xf numFmtId="4" fontId="10" fillId="4" borderId="3" xfId="1" applyNumberFormat="1" applyFont="1" applyFill="1" applyBorder="1" applyAlignment="1">
      <alignment horizontal="right" vertical="center" indent="1"/>
    </xf>
    <xf numFmtId="4" fontId="6" fillId="0" borderId="11" xfId="1" applyNumberFormat="1" applyFont="1" applyBorder="1" applyAlignment="1">
      <alignment horizontal="right" vertical="center" indent="1"/>
    </xf>
    <xf numFmtId="4" fontId="6" fillId="0" borderId="13" xfId="1" applyNumberFormat="1" applyFont="1" applyBorder="1" applyAlignment="1">
      <alignment horizontal="right" vertical="center" indent="1"/>
    </xf>
    <xf numFmtId="4" fontId="6" fillId="0" borderId="25" xfId="1" applyNumberFormat="1" applyFont="1" applyBorder="1" applyAlignment="1">
      <alignment horizontal="right" vertical="center" indent="1"/>
    </xf>
    <xf numFmtId="4" fontId="12" fillId="4" borderId="16" xfId="1" applyNumberFormat="1" applyFont="1" applyFill="1" applyBorder="1" applyAlignment="1">
      <alignment horizontal="right" vertical="center" indent="1"/>
    </xf>
    <xf numFmtId="4" fontId="7" fillId="2" borderId="1" xfId="1" applyNumberFormat="1" applyFont="1" applyFill="1" applyBorder="1" applyAlignment="1">
      <alignment horizontal="center" vertical="center" wrapText="1"/>
    </xf>
    <xf numFmtId="4" fontId="7" fillId="2" borderId="27" xfId="1" applyNumberFormat="1" applyFont="1" applyFill="1" applyBorder="1" applyAlignment="1">
      <alignment horizontal="center" vertical="center" wrapText="1"/>
    </xf>
    <xf numFmtId="0" fontId="14" fillId="0" borderId="0" xfId="0" applyFont="1" applyAlignment="1">
      <alignment horizontal="center" vertical="center"/>
    </xf>
    <xf numFmtId="0" fontId="11" fillId="0" borderId="0" xfId="1" applyFont="1" applyFill="1" applyBorder="1" applyAlignment="1">
      <alignment horizontal="center" vertical="center"/>
    </xf>
    <xf numFmtId="0" fontId="9" fillId="0" borderId="11" xfId="1" applyFont="1" applyFill="1" applyBorder="1" applyAlignment="1"/>
    <xf numFmtId="0" fontId="9" fillId="0" borderId="18" xfId="1" applyFont="1" applyFill="1" applyBorder="1" applyAlignment="1"/>
    <xf numFmtId="0" fontId="9" fillId="0" borderId="13" xfId="1" applyFont="1" applyFill="1" applyBorder="1" applyAlignment="1"/>
    <xf numFmtId="0" fontId="9" fillId="0" borderId="25" xfId="1" applyFont="1" applyFill="1" applyBorder="1" applyAlignment="1"/>
    <xf numFmtId="0" fontId="11" fillId="7" borderId="25" xfId="1" applyFont="1" applyFill="1" applyBorder="1" applyAlignment="1">
      <alignment horizontal="center" vertical="center"/>
    </xf>
    <xf numFmtId="4" fontId="6" fillId="0" borderId="43" xfId="1" applyNumberFormat="1" applyFont="1" applyFill="1" applyBorder="1" applyAlignment="1">
      <alignment horizontal="right" vertical="center" indent="1"/>
    </xf>
    <xf numFmtId="0" fontId="12" fillId="4" borderId="8" xfId="1" applyFont="1" applyFill="1" applyBorder="1" applyAlignment="1">
      <alignment horizontal="center" vertical="center"/>
    </xf>
    <xf numFmtId="0" fontId="11" fillId="0" borderId="11" xfId="1" applyFont="1" applyFill="1" applyBorder="1" applyAlignment="1">
      <alignment horizontal="right" vertical="center" indent="1"/>
    </xf>
    <xf numFmtId="0" fontId="11" fillId="0" borderId="25" xfId="1" applyFont="1" applyFill="1" applyBorder="1" applyAlignment="1">
      <alignment horizontal="right" vertical="center" indent="1"/>
    </xf>
    <xf numFmtId="0" fontId="19" fillId="6" borderId="11" xfId="1" applyFont="1" applyFill="1" applyBorder="1" applyAlignment="1">
      <alignment horizontal="center" vertical="center"/>
    </xf>
    <xf numFmtId="0" fontId="19" fillId="6" borderId="13" xfId="1" applyFont="1" applyFill="1" applyBorder="1" applyAlignment="1">
      <alignment horizontal="center" vertical="center"/>
    </xf>
    <xf numFmtId="0" fontId="2" fillId="0" borderId="0" xfId="1" applyFont="1" applyAlignment="1">
      <alignment vertical="center"/>
    </xf>
    <xf numFmtId="0" fontId="7" fillId="2" borderId="27" xfId="1" applyFont="1" applyFill="1" applyBorder="1" applyAlignment="1">
      <alignment horizontal="center" vertical="center" wrapText="1"/>
    </xf>
    <xf numFmtId="0" fontId="7" fillId="2" borderId="34" xfId="1" applyFont="1" applyFill="1" applyBorder="1" applyAlignment="1">
      <alignment horizontal="center" vertical="center"/>
    </xf>
    <xf numFmtId="0" fontId="7" fillId="2" borderId="35" xfId="1" applyFont="1" applyFill="1" applyBorder="1" applyAlignment="1">
      <alignment horizontal="center" vertical="center" wrapText="1"/>
    </xf>
    <xf numFmtId="0" fontId="7" fillId="2" borderId="0" xfId="1" applyFont="1" applyFill="1" applyBorder="1" applyAlignment="1">
      <alignment horizontal="center" vertical="center" wrapText="1"/>
    </xf>
    <xf numFmtId="4" fontId="7" fillId="7" borderId="16" xfId="1" applyNumberFormat="1" applyFont="1" applyFill="1" applyBorder="1" applyAlignment="1">
      <alignment horizontal="center" vertical="center"/>
    </xf>
    <xf numFmtId="9" fontId="5" fillId="6" borderId="18" xfId="4" applyFont="1" applyFill="1" applyBorder="1" applyAlignment="1">
      <alignment horizontal="center" vertical="center"/>
    </xf>
    <xf numFmtId="9" fontId="5" fillId="6" borderId="13" xfId="4" applyFont="1" applyFill="1" applyBorder="1" applyAlignment="1">
      <alignment horizontal="center" vertical="center"/>
    </xf>
    <xf numFmtId="0" fontId="20" fillId="4" borderId="27" xfId="1" applyFont="1" applyFill="1" applyBorder="1" applyAlignment="1">
      <alignment horizontal="center" vertical="center"/>
    </xf>
    <xf numFmtId="9" fontId="5" fillId="6" borderId="25" xfId="4" applyFont="1" applyFill="1" applyBorder="1" applyAlignment="1">
      <alignment horizontal="center" vertical="center"/>
    </xf>
    <xf numFmtId="0" fontId="9" fillId="4" borderId="28" xfId="1" applyFont="1" applyFill="1" applyBorder="1" applyAlignment="1">
      <alignment horizontal="center" vertical="center"/>
    </xf>
    <xf numFmtId="0" fontId="12" fillId="4" borderId="16" xfId="1" applyFont="1" applyFill="1" applyBorder="1" applyAlignment="1">
      <alignment vertical="center"/>
    </xf>
    <xf numFmtId="0" fontId="8" fillId="2" borderId="32" xfId="1" applyFont="1" applyFill="1" applyBorder="1" applyAlignment="1">
      <alignment horizontal="center" vertical="center"/>
    </xf>
    <xf numFmtId="43" fontId="6" fillId="0" borderId="20" xfId="3" applyFont="1" applyFill="1" applyBorder="1" applyAlignment="1">
      <alignment horizontal="right" vertical="center" indent="1"/>
    </xf>
    <xf numFmtId="43" fontId="6" fillId="0" borderId="20" xfId="3" applyFont="1" applyBorder="1" applyAlignment="1">
      <alignment horizontal="right" vertical="center" indent="1"/>
    </xf>
    <xf numFmtId="4" fontId="6" fillId="0" borderId="3" xfId="1" applyNumberFormat="1" applyFont="1" applyFill="1" applyBorder="1" applyAlignment="1">
      <alignment horizontal="right" vertical="center" indent="1"/>
    </xf>
    <xf numFmtId="4" fontId="12" fillId="4" borderId="27" xfId="1" applyNumberFormat="1" applyFont="1" applyFill="1" applyBorder="1" applyAlignment="1">
      <alignment horizontal="right" vertical="center" indent="1"/>
    </xf>
    <xf numFmtId="9" fontId="6" fillId="6" borderId="14" xfId="4" applyFont="1" applyFill="1" applyBorder="1" applyAlignment="1">
      <alignment horizontal="center"/>
    </xf>
    <xf numFmtId="9" fontId="5" fillId="6" borderId="15" xfId="4" applyFont="1" applyFill="1" applyBorder="1" applyAlignment="1">
      <alignment horizontal="center" vertical="center"/>
    </xf>
    <xf numFmtId="0" fontId="19" fillId="0" borderId="9" xfId="1" applyFont="1" applyFill="1" applyBorder="1" applyAlignment="1">
      <alignment horizontal="center" vertical="center"/>
    </xf>
    <xf numFmtId="0" fontId="19" fillId="0" borderId="14" xfId="1" applyFont="1" applyFill="1" applyBorder="1" applyAlignment="1">
      <alignment horizontal="center" vertical="center"/>
    </xf>
    <xf numFmtId="0" fontId="10" fillId="0" borderId="0" xfId="1" applyFont="1" applyBorder="1" applyAlignment="1">
      <alignment horizontal="center" vertical="center" wrapText="1"/>
    </xf>
    <xf numFmtId="4" fontId="12" fillId="11" borderId="16" xfId="1" applyNumberFormat="1" applyFont="1" applyFill="1" applyBorder="1" applyAlignment="1">
      <alignment horizontal="right" vertical="center" indent="1"/>
    </xf>
    <xf numFmtId="4" fontId="12" fillId="4" borderId="8" xfId="1" applyNumberFormat="1" applyFont="1" applyFill="1" applyBorder="1" applyAlignment="1">
      <alignment horizontal="right" vertical="center" indent="1"/>
    </xf>
    <xf numFmtId="4" fontId="12" fillId="7" borderId="27" xfId="1" applyNumberFormat="1" applyFont="1" applyFill="1" applyBorder="1" applyAlignment="1">
      <alignment horizontal="right" vertical="center" indent="1"/>
    </xf>
    <xf numFmtId="4" fontId="12" fillId="7" borderId="28" xfId="1" applyNumberFormat="1" applyFont="1" applyFill="1" applyBorder="1" applyAlignment="1">
      <alignment horizontal="right" vertical="center" indent="1"/>
    </xf>
    <xf numFmtId="0" fontId="2" fillId="12" borderId="6" xfId="1" applyFont="1" applyFill="1" applyBorder="1"/>
    <xf numFmtId="0" fontId="4" fillId="12" borderId="7" xfId="1" applyFont="1" applyFill="1" applyBorder="1" applyAlignment="1">
      <alignment horizontal="center"/>
    </xf>
    <xf numFmtId="4" fontId="2" fillId="12" borderId="8" xfId="1" applyNumberFormat="1" applyFont="1" applyFill="1" applyBorder="1"/>
    <xf numFmtId="0" fontId="10" fillId="0" borderId="46" xfId="1" applyFont="1" applyFill="1" applyBorder="1" applyAlignment="1">
      <alignment horizontal="left"/>
    </xf>
    <xf numFmtId="0" fontId="9" fillId="0" borderId="46" xfId="1" applyFont="1" applyFill="1" applyBorder="1" applyAlignment="1">
      <alignment horizontal="left"/>
    </xf>
    <xf numFmtId="43" fontId="5" fillId="6" borderId="9" xfId="3" applyFont="1" applyFill="1" applyBorder="1" applyAlignment="1">
      <alignment horizontal="center" vertical="center"/>
    </xf>
    <xf numFmtId="43" fontId="5" fillId="6" borderId="14" xfId="3" applyFont="1" applyFill="1" applyBorder="1" applyAlignment="1">
      <alignment horizontal="center" vertical="center"/>
    </xf>
    <xf numFmtId="4" fontId="6" fillId="0" borderId="43" xfId="1" applyNumberFormat="1" applyFont="1" applyBorder="1" applyAlignment="1">
      <alignment horizontal="right" vertical="center" indent="1"/>
    </xf>
    <xf numFmtId="4" fontId="6" fillId="0" borderId="31" xfId="1" applyNumberFormat="1" applyFont="1" applyBorder="1" applyAlignment="1">
      <alignment horizontal="right" vertical="center" indent="1"/>
    </xf>
    <xf numFmtId="4" fontId="6" fillId="0" borderId="29" xfId="1" applyNumberFormat="1" applyFont="1" applyBorder="1" applyAlignment="1">
      <alignment horizontal="right" vertical="center" indent="1"/>
    </xf>
    <xf numFmtId="4" fontId="12" fillId="7" borderId="16" xfId="1" applyNumberFormat="1" applyFont="1" applyFill="1" applyBorder="1" applyAlignment="1">
      <alignment horizontal="right" vertical="center" indent="1"/>
    </xf>
    <xf numFmtId="4" fontId="2" fillId="12" borderId="16" xfId="1" applyNumberFormat="1" applyFont="1" applyFill="1" applyBorder="1"/>
    <xf numFmtId="4" fontId="12" fillId="11" borderId="28" xfId="1" applyNumberFormat="1" applyFont="1" applyFill="1" applyBorder="1" applyAlignment="1">
      <alignment horizontal="right" vertical="center" indent="1"/>
    </xf>
    <xf numFmtId="4" fontId="12" fillId="0" borderId="0" xfId="1" applyNumberFormat="1" applyFont="1" applyFill="1" applyBorder="1" applyAlignment="1">
      <alignment horizontal="right" vertical="center" indent="1"/>
    </xf>
    <xf numFmtId="0" fontId="2" fillId="0" borderId="0" xfId="1" applyFont="1" applyFill="1"/>
    <xf numFmtId="0" fontId="12" fillId="0" borderId="0" xfId="1" applyFont="1" applyFill="1" applyBorder="1" applyAlignment="1">
      <alignment vertical="center"/>
    </xf>
    <xf numFmtId="0" fontId="12" fillId="0" borderId="0" xfId="1" applyFont="1" applyFill="1" applyBorder="1" applyAlignment="1">
      <alignment horizontal="center" vertical="center"/>
    </xf>
    <xf numFmtId="0" fontId="10" fillId="0" borderId="0" xfId="1" applyFont="1" applyFill="1"/>
    <xf numFmtId="164" fontId="2" fillId="0" borderId="0" xfId="1" applyNumberFormat="1" applyFont="1" applyFill="1"/>
    <xf numFmtId="43" fontId="6" fillId="0" borderId="43" xfId="3" applyFont="1" applyFill="1" applyBorder="1" applyAlignment="1">
      <alignment horizontal="right" vertical="center" indent="1"/>
    </xf>
    <xf numFmtId="4" fontId="6" fillId="0" borderId="34" xfId="1" applyNumberFormat="1" applyFont="1" applyFill="1" applyBorder="1" applyAlignment="1">
      <alignment horizontal="right" vertical="center" indent="1"/>
    </xf>
    <xf numFmtId="4" fontId="6" fillId="0" borderId="33" xfId="1" applyNumberFormat="1" applyFont="1" applyBorder="1" applyAlignment="1">
      <alignment horizontal="right" vertical="center" indent="1"/>
    </xf>
    <xf numFmtId="4" fontId="6" fillId="0" borderId="37" xfId="1" applyNumberFormat="1" applyFont="1" applyBorder="1" applyAlignment="1">
      <alignment horizontal="right" vertical="center" indent="1"/>
    </xf>
    <xf numFmtId="4" fontId="6" fillId="13" borderId="16" xfId="1" applyNumberFormat="1" applyFont="1" applyFill="1" applyBorder="1" applyAlignment="1">
      <alignment horizontal="center"/>
    </xf>
    <xf numFmtId="4" fontId="7" fillId="13" borderId="1" xfId="1" applyNumberFormat="1" applyFont="1" applyFill="1" applyBorder="1" applyAlignment="1">
      <alignment horizontal="center" vertical="center" wrapText="1"/>
    </xf>
    <xf numFmtId="4" fontId="6" fillId="13" borderId="11" xfId="1" applyNumberFormat="1" applyFont="1" applyFill="1" applyBorder="1" applyAlignment="1">
      <alignment horizontal="right" vertical="center" indent="1"/>
    </xf>
    <xf numFmtId="4" fontId="6" fillId="13" borderId="20" xfId="1" applyNumberFormat="1" applyFont="1" applyFill="1" applyBorder="1" applyAlignment="1">
      <alignment horizontal="right" vertical="center" indent="1"/>
    </xf>
    <xf numFmtId="4" fontId="12" fillId="13" borderId="16" xfId="1" applyNumberFormat="1" applyFont="1" applyFill="1" applyBorder="1" applyAlignment="1">
      <alignment horizontal="right" vertical="center" indent="1"/>
    </xf>
    <xf numFmtId="4" fontId="6" fillId="13" borderId="33" xfId="1" applyNumberFormat="1" applyFont="1" applyFill="1" applyBorder="1" applyAlignment="1">
      <alignment horizontal="right" vertical="center" indent="1"/>
    </xf>
    <xf numFmtId="4" fontId="6" fillId="13" borderId="38" xfId="1" applyNumberFormat="1" applyFont="1" applyFill="1" applyBorder="1" applyAlignment="1">
      <alignment horizontal="right" vertical="center" indent="1"/>
    </xf>
    <xf numFmtId="4" fontId="6" fillId="13" borderId="43" xfId="1" applyNumberFormat="1" applyFont="1" applyFill="1" applyBorder="1" applyAlignment="1">
      <alignment horizontal="right" vertical="center" indent="1"/>
    </xf>
    <xf numFmtId="4" fontId="6" fillId="13" borderId="31" xfId="1" applyNumberFormat="1" applyFont="1" applyFill="1" applyBorder="1" applyAlignment="1">
      <alignment horizontal="right" vertical="center" indent="1"/>
    </xf>
    <xf numFmtId="4" fontId="6" fillId="13" borderId="29" xfId="1" applyNumberFormat="1" applyFont="1" applyFill="1" applyBorder="1" applyAlignment="1">
      <alignment horizontal="right" vertical="center" indent="1"/>
    </xf>
    <xf numFmtId="4" fontId="10" fillId="13" borderId="28" xfId="1" applyNumberFormat="1" applyFont="1" applyFill="1" applyBorder="1" applyAlignment="1">
      <alignment horizontal="right" vertical="center" indent="1"/>
    </xf>
    <xf numFmtId="4" fontId="6" fillId="13" borderId="18" xfId="1" applyNumberFormat="1" applyFont="1" applyFill="1" applyBorder="1" applyAlignment="1">
      <alignment horizontal="right" vertical="center" indent="1"/>
    </xf>
    <xf numFmtId="4" fontId="6" fillId="13" borderId="28" xfId="1" applyNumberFormat="1" applyFont="1" applyFill="1" applyBorder="1" applyAlignment="1">
      <alignment horizontal="right" vertical="center" indent="1"/>
    </xf>
    <xf numFmtId="4" fontId="10" fillId="4" borderId="34" xfId="1" applyNumberFormat="1" applyFont="1" applyFill="1" applyBorder="1" applyAlignment="1">
      <alignment horizontal="right" vertical="center" indent="1"/>
    </xf>
    <xf numFmtId="10" fontId="5" fillId="6" borderId="18" xfId="4" applyNumberFormat="1" applyFont="1" applyFill="1" applyBorder="1" applyAlignment="1">
      <alignment horizontal="center" vertical="center"/>
    </xf>
    <xf numFmtId="165" fontId="5" fillId="6" borderId="18" xfId="4" applyNumberFormat="1" applyFont="1" applyFill="1" applyBorder="1" applyAlignment="1">
      <alignment horizontal="center" vertical="center"/>
    </xf>
    <xf numFmtId="166" fontId="2" fillId="0" borderId="0" xfId="1" applyNumberFormat="1" applyFont="1"/>
    <xf numFmtId="0" fontId="14" fillId="7" borderId="16" xfId="0" applyFont="1" applyFill="1" applyBorder="1" applyAlignment="1">
      <alignment horizontal="center" vertical="center"/>
    </xf>
    <xf numFmtId="167" fontId="0" fillId="0" borderId="0" xfId="0" applyNumberFormat="1"/>
    <xf numFmtId="166" fontId="9" fillId="2" borderId="16" xfId="1" applyNumberFormat="1" applyFont="1" applyFill="1" applyBorder="1" applyAlignment="1">
      <alignment horizontal="center" vertical="center"/>
    </xf>
    <xf numFmtId="166" fontId="9" fillId="10" borderId="21" xfId="1" applyNumberFormat="1" applyFont="1" applyFill="1" applyBorder="1" applyAlignment="1">
      <alignment horizontal="center"/>
    </xf>
    <xf numFmtId="0" fontId="10" fillId="0" borderId="27" xfId="1" applyFont="1" applyBorder="1" applyAlignment="1">
      <alignment horizontal="center" vertical="center" wrapText="1"/>
    </xf>
    <xf numFmtId="0" fontId="10" fillId="0" borderId="35" xfId="1" applyFont="1" applyBorder="1" applyAlignment="1">
      <alignment horizontal="center" vertical="center" wrapText="1"/>
    </xf>
    <xf numFmtId="0" fontId="10" fillId="0" borderId="28" xfId="1" applyFont="1" applyBorder="1" applyAlignment="1">
      <alignment horizontal="center" vertical="center" wrapText="1"/>
    </xf>
    <xf numFmtId="0" fontId="9" fillId="0" borderId="27" xfId="1" applyFont="1" applyBorder="1" applyAlignment="1">
      <alignment horizontal="center" vertical="center" wrapText="1"/>
    </xf>
    <xf numFmtId="0" fontId="9" fillId="0" borderId="35" xfId="1" applyFont="1" applyBorder="1" applyAlignment="1">
      <alignment horizontal="center" vertical="center" wrapText="1"/>
    </xf>
    <xf numFmtId="0" fontId="9" fillId="0" borderId="28" xfId="1" applyFont="1" applyBorder="1" applyAlignment="1">
      <alignment horizontal="center" vertical="center" wrapText="1"/>
    </xf>
    <xf numFmtId="0" fontId="8" fillId="2" borderId="46" xfId="1" applyFont="1" applyFill="1" applyBorder="1" applyAlignment="1">
      <alignment horizontal="center" vertical="center" wrapText="1"/>
    </xf>
    <xf numFmtId="0" fontId="8" fillId="2" borderId="47" xfId="1" applyFont="1" applyFill="1" applyBorder="1" applyAlignment="1">
      <alignment horizontal="center" vertical="center" wrapText="1"/>
    </xf>
    <xf numFmtId="0" fontId="9" fillId="0" borderId="48" xfId="1" applyFont="1" applyFill="1" applyBorder="1" applyAlignment="1">
      <alignment horizontal="center"/>
    </xf>
    <xf numFmtId="0" fontId="9" fillId="0" borderId="8" xfId="1" applyFont="1" applyFill="1" applyBorder="1" applyAlignment="1">
      <alignment horizontal="center"/>
    </xf>
    <xf numFmtId="9" fontId="9" fillId="0" borderId="48" xfId="1" applyNumberFormat="1" applyFont="1" applyFill="1" applyBorder="1" applyAlignment="1">
      <alignment horizontal="center"/>
    </xf>
    <xf numFmtId="4" fontId="7" fillId="2" borderId="6" xfId="1" applyNumberFormat="1" applyFont="1" applyFill="1" applyBorder="1" applyAlignment="1">
      <alignment horizontal="center" vertical="center" wrapText="1"/>
    </xf>
    <xf numFmtId="4" fontId="7" fillId="2" borderId="8" xfId="1" applyNumberFormat="1" applyFont="1" applyFill="1" applyBorder="1" applyAlignment="1">
      <alignment horizontal="center" vertical="center" wrapText="1"/>
    </xf>
    <xf numFmtId="3" fontId="7" fillId="7" borderId="6" xfId="1" applyNumberFormat="1" applyFont="1" applyFill="1" applyBorder="1" applyAlignment="1">
      <alignment horizontal="center" vertical="center"/>
    </xf>
    <xf numFmtId="3" fontId="7" fillId="7" borderId="8" xfId="1" applyNumberFormat="1" applyFont="1" applyFill="1" applyBorder="1" applyAlignment="1">
      <alignment horizontal="center" vertical="center"/>
    </xf>
    <xf numFmtId="0" fontId="10" fillId="0" borderId="7" xfId="1" applyFont="1" applyFill="1" applyBorder="1" applyAlignment="1">
      <alignment horizontal="center" vertical="center"/>
    </xf>
    <xf numFmtId="0" fontId="10" fillId="0" borderId="8" xfId="1" applyFont="1" applyFill="1" applyBorder="1" applyAlignment="1">
      <alignment horizontal="center" vertical="center"/>
    </xf>
    <xf numFmtId="4" fontId="12" fillId="11" borderId="6" xfId="1" applyNumberFormat="1" applyFont="1" applyFill="1" applyBorder="1" applyAlignment="1">
      <alignment horizontal="center" vertical="center"/>
    </xf>
    <xf numFmtId="4" fontId="12" fillId="11" borderId="8" xfId="1" applyNumberFormat="1" applyFont="1" applyFill="1" applyBorder="1" applyAlignment="1">
      <alignment horizontal="center" vertical="center"/>
    </xf>
    <xf numFmtId="4" fontId="6" fillId="0" borderId="6" xfId="1" applyNumberFormat="1" applyFont="1" applyFill="1" applyBorder="1" applyAlignment="1">
      <alignment horizontal="center"/>
    </xf>
    <xf numFmtId="4" fontId="6" fillId="0" borderId="8" xfId="1" applyNumberFormat="1" applyFont="1" applyFill="1" applyBorder="1" applyAlignment="1">
      <alignment horizontal="center"/>
    </xf>
  </cellXfs>
  <cellStyles count="5">
    <cellStyle name="Millares" xfId="3" builtinId="3"/>
    <cellStyle name="Normal" xfId="0" builtinId="0"/>
    <cellStyle name="Normal 2" xfId="1" xr:uid="{00000000-0005-0000-0000-000001000000}"/>
    <cellStyle name="Porcentaje" xfId="4" builtinId="5"/>
    <cellStyle name="Porcentaje 2" xfId="2" xr:uid="{00000000-0005-0000-0000-000002000000}"/>
  </cellStyles>
  <dxfs count="7">
    <dxf>
      <font>
        <b val="0"/>
        <i val="0"/>
        <strike val="0"/>
        <condense val="0"/>
        <extend val="0"/>
        <outline val="0"/>
        <shadow val="0"/>
        <u val="none"/>
        <vertAlign val="baseline"/>
        <sz val="11"/>
        <color rgb="FF000000"/>
        <name val="Calibri"/>
        <family val="2"/>
        <scheme val="none"/>
      </font>
      <fill>
        <patternFill patternType="solid">
          <fgColor indexed="64"/>
          <bgColor theme="9" tint="0.39997558519241921"/>
        </patternFill>
      </fill>
      <alignment horizontal="center"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4FB41-CBE8-4B16-8547-ECC8E65A93E6}" name="Tabla1" displayName="Tabla1" ref="A2:D7" totalsRowShown="0" headerRowDxfId="6" headerRowBorderDxfId="5" tableBorderDxfId="4">
  <autoFilter ref="A2:D7" xr:uid="{9A14FB41-CBE8-4B16-8547-ECC8E65A93E6}"/>
  <tableColumns count="4">
    <tableColumn id="1" xr3:uid="{894795E5-E65B-45AE-97D0-419D90E47FD0}" name="FRECUENCIA" dataDxfId="3"/>
    <tableColumn id="2" xr3:uid="{D72D51EB-49F8-4D43-A006-F96A446DE14C}" name="COD FREQ" dataDxfId="2"/>
    <tableColumn id="3" xr3:uid="{BD555AF1-158B-41A0-BCA0-F4C39B190C50}" name="CUOTA" dataDxfId="1"/>
    <tableColumn id="4" xr3:uid="{715BD981-DAB2-49A1-A655-AFA7BAC13314}" name="FACTOR" dataDxfId="0"/>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9C8C-D74B-4132-A9A2-CA5684E86E82}">
  <sheetPr>
    <tabColor rgb="FF00B050"/>
  </sheetPr>
  <dimension ref="A2:F13"/>
  <sheetViews>
    <sheetView workbookViewId="0">
      <selection activeCell="D4" sqref="D4"/>
    </sheetView>
  </sheetViews>
  <sheetFormatPr baseColWidth="10" defaultColWidth="11.44140625" defaultRowHeight="14.4" x14ac:dyDescent="0.3"/>
  <cols>
    <col min="1" max="1" width="16.44140625" customWidth="1"/>
    <col min="5" max="5" width="12.5546875" bestFit="1" customWidth="1"/>
  </cols>
  <sheetData>
    <row r="2" spans="1:6" ht="15" thickBot="1" x14ac:dyDescent="0.35">
      <c r="A2" s="72" t="s">
        <v>31</v>
      </c>
      <c r="B2" s="73" t="s">
        <v>30</v>
      </c>
      <c r="C2" s="72" t="s">
        <v>32</v>
      </c>
      <c r="D2" s="74" t="s">
        <v>33</v>
      </c>
    </row>
    <row r="3" spans="1:6" ht="15" thickBot="1" x14ac:dyDescent="0.35">
      <c r="A3" s="71" t="s">
        <v>34</v>
      </c>
      <c r="B3" s="65">
        <v>1</v>
      </c>
      <c r="C3" s="66">
        <v>1</v>
      </c>
      <c r="D3" s="78">
        <v>1</v>
      </c>
    </row>
    <row r="4" spans="1:6" ht="15" thickBot="1" x14ac:dyDescent="0.35">
      <c r="A4" s="71" t="s">
        <v>35</v>
      </c>
      <c r="B4" s="65">
        <v>2</v>
      </c>
      <c r="C4" s="66">
        <v>2</v>
      </c>
      <c r="D4" s="78">
        <v>0.52631578947368396</v>
      </c>
      <c r="F4" s="286">
        <v>0.51578900000000005</v>
      </c>
    </row>
    <row r="5" spans="1:6" ht="15" thickBot="1" x14ac:dyDescent="0.35">
      <c r="A5" s="71" t="s">
        <v>36</v>
      </c>
      <c r="B5" s="65">
        <v>3</v>
      </c>
      <c r="C5" s="66">
        <v>4</v>
      </c>
      <c r="D5" s="78">
        <v>0.263158</v>
      </c>
    </row>
    <row r="6" spans="1:6" ht="15" thickBot="1" x14ac:dyDescent="0.35">
      <c r="A6" s="71" t="s">
        <v>37</v>
      </c>
      <c r="B6" s="65">
        <v>5</v>
      </c>
      <c r="C6" s="66">
        <v>12</v>
      </c>
      <c r="D6" s="78">
        <v>8.7719000000000005E-2</v>
      </c>
    </row>
    <row r="7" spans="1:6" ht="15" thickBot="1" x14ac:dyDescent="0.35">
      <c r="A7" s="75" t="s">
        <v>38</v>
      </c>
      <c r="B7" s="76">
        <v>8</v>
      </c>
      <c r="C7" s="77">
        <v>4</v>
      </c>
      <c r="D7" s="79">
        <v>1.052632</v>
      </c>
      <c r="F7" s="286">
        <v>1.0526279999999999</v>
      </c>
    </row>
    <row r="10" spans="1:6" x14ac:dyDescent="0.3">
      <c r="E10" s="287">
        <f>D4*C4</f>
        <v>1.0526315789473679</v>
      </c>
    </row>
    <row r="11" spans="1:6" x14ac:dyDescent="0.3">
      <c r="E11" s="287">
        <f>D5*C5</f>
        <v>1.052632</v>
      </c>
    </row>
    <row r="12" spans="1:6" x14ac:dyDescent="0.3">
      <c r="E12">
        <f>D6*C6</f>
        <v>1.0526280000000001</v>
      </c>
    </row>
    <row r="13" spans="1:6" x14ac:dyDescent="0.3">
      <c r="B13" s="1"/>
      <c r="C1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DC18-AF42-4C50-800C-017673161407}">
  <sheetPr>
    <tabColor theme="5" tint="-0.499984740745262"/>
  </sheetPr>
  <dimension ref="B2:E17"/>
  <sheetViews>
    <sheetView workbookViewId="0">
      <selection activeCell="E18" sqref="E18"/>
    </sheetView>
  </sheetViews>
  <sheetFormatPr baseColWidth="10" defaultColWidth="11.44140625" defaultRowHeight="14.4" x14ac:dyDescent="0.3"/>
  <cols>
    <col min="2" max="2" width="4.33203125" customWidth="1"/>
    <col min="3" max="3" width="6" customWidth="1"/>
    <col min="4" max="4" width="1.6640625" customWidth="1"/>
    <col min="5" max="5" width="92.33203125" style="170" customWidth="1"/>
  </cols>
  <sheetData>
    <row r="2" spans="2:5" x14ac:dyDescent="0.3">
      <c r="B2" s="162" t="s">
        <v>46</v>
      </c>
    </row>
    <row r="3" spans="2:5" x14ac:dyDescent="0.3">
      <c r="B3" s="162"/>
    </row>
    <row r="4" spans="2:5" ht="28.8" x14ac:dyDescent="0.3">
      <c r="B4" s="162"/>
      <c r="C4" s="171"/>
      <c r="E4" s="170" t="s">
        <v>47</v>
      </c>
    </row>
    <row r="5" spans="2:5" ht="18" customHeight="1" x14ac:dyDescent="0.35">
      <c r="C5" s="172"/>
      <c r="E5" s="170" t="s">
        <v>48</v>
      </c>
    </row>
    <row r="7" spans="2:5" ht="15.6" x14ac:dyDescent="0.3">
      <c r="C7" s="169"/>
    </row>
    <row r="8" spans="2:5" ht="15.6" x14ac:dyDescent="0.3">
      <c r="B8" s="162" t="s">
        <v>50</v>
      </c>
      <c r="C8" s="169"/>
    </row>
    <row r="9" spans="2:5" ht="28.8" x14ac:dyDescent="0.3">
      <c r="C9" s="169"/>
      <c r="E9" s="170" t="s">
        <v>51</v>
      </c>
    </row>
    <row r="10" spans="2:5" ht="15.6" x14ac:dyDescent="0.3">
      <c r="C10" s="169"/>
    </row>
    <row r="11" spans="2:5" ht="15.6" x14ac:dyDescent="0.3">
      <c r="C11" s="169"/>
    </row>
    <row r="12" spans="2:5" x14ac:dyDescent="0.3">
      <c r="B12" s="162" t="s">
        <v>45</v>
      </c>
    </row>
    <row r="13" spans="2:5" ht="43.2" x14ac:dyDescent="0.3">
      <c r="E13" s="170" t="s">
        <v>52</v>
      </c>
    </row>
    <row r="16" spans="2:5" x14ac:dyDescent="0.3">
      <c r="B16" s="162" t="s">
        <v>53</v>
      </c>
    </row>
    <row r="17" spans="5:5" ht="28.8" x14ac:dyDescent="0.3">
      <c r="E17" s="170" t="s">
        <v>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1:N28"/>
  <sheetViews>
    <sheetView topLeftCell="A7" zoomScale="80" zoomScaleNormal="80" workbookViewId="0">
      <selection activeCell="F5" sqref="F5"/>
    </sheetView>
  </sheetViews>
  <sheetFormatPr baseColWidth="10" defaultColWidth="11.44140625" defaultRowHeight="13.8" x14ac:dyDescent="0.3"/>
  <cols>
    <col min="1" max="1" width="4.88671875" style="1" customWidth="1"/>
    <col min="2" max="2" width="10.44140625" style="1" customWidth="1"/>
    <col min="3" max="3" width="41.6640625" style="1" customWidth="1"/>
    <col min="4" max="4" width="9.88671875" style="33" customWidth="1"/>
    <col min="5" max="5" width="11.109375" style="33" customWidth="1"/>
    <col min="6" max="6" width="15.88671875" style="1" customWidth="1"/>
    <col min="7" max="8" width="13.33203125" style="1" customWidth="1"/>
    <col min="9" max="9" width="20.109375" style="1" customWidth="1"/>
    <col min="10" max="10" width="16.6640625" style="1" bestFit="1" customWidth="1"/>
    <col min="11" max="16384" width="11.44140625" style="1"/>
  </cols>
  <sheetData>
    <row r="1" spans="2:14" ht="26.25" customHeight="1" thickBot="1" x14ac:dyDescent="0.55000000000000004">
      <c r="C1" s="153" t="s">
        <v>28</v>
      </c>
      <c r="D1" s="41"/>
      <c r="E1" s="41"/>
      <c r="F1" s="17"/>
      <c r="G1" s="17"/>
      <c r="H1" s="17"/>
      <c r="I1" s="152">
        <v>1123</v>
      </c>
      <c r="J1" s="2"/>
      <c r="K1" s="69"/>
      <c r="L1" s="69"/>
      <c r="M1" s="69"/>
      <c r="N1" s="69"/>
    </row>
    <row r="2" spans="2:14" ht="27.6" customHeight="1" thickBot="1" x14ac:dyDescent="0.4">
      <c r="C2" s="113"/>
      <c r="D2" s="114"/>
      <c r="E2" s="118" t="s">
        <v>42</v>
      </c>
      <c r="F2" s="115">
        <v>1</v>
      </c>
      <c r="G2" s="116"/>
      <c r="H2" s="117"/>
      <c r="I2" s="97"/>
      <c r="J2" s="96" t="s">
        <v>31</v>
      </c>
      <c r="K2" s="32" t="s">
        <v>33</v>
      </c>
      <c r="L2" s="32" t="s">
        <v>38</v>
      </c>
    </row>
    <row r="3" spans="2:14" ht="30" customHeight="1" thickBot="1" x14ac:dyDescent="0.35">
      <c r="B3" s="154" t="s">
        <v>43</v>
      </c>
      <c r="C3" s="160" t="s">
        <v>41</v>
      </c>
      <c r="D3" s="155" t="s">
        <v>20</v>
      </c>
      <c r="E3" s="156" t="s">
        <v>44</v>
      </c>
      <c r="F3" s="155" t="s">
        <v>16</v>
      </c>
      <c r="G3" s="157" t="s">
        <v>21</v>
      </c>
      <c r="H3" s="157" t="s">
        <v>21</v>
      </c>
      <c r="I3" s="158" t="s">
        <v>29</v>
      </c>
      <c r="J3" s="159" t="s">
        <v>37</v>
      </c>
      <c r="K3" s="80">
        <f>VLOOKUP($J$3,Tabla1[],4,FALSE)</f>
        <v>8.7719000000000005E-2</v>
      </c>
      <c r="L3" s="81">
        <f>VLOOKUP($J$3,Tabla1[],3,FALSE)</f>
        <v>12</v>
      </c>
    </row>
    <row r="4" spans="2:14" ht="19.95" customHeight="1" x14ac:dyDescent="0.35">
      <c r="B4" s="88" t="s">
        <v>6</v>
      </c>
      <c r="C4" s="46" t="s">
        <v>8</v>
      </c>
      <c r="D4" s="28" t="s">
        <v>6</v>
      </c>
      <c r="E4" s="108"/>
      <c r="F4" s="98">
        <v>2049.8222000000001</v>
      </c>
      <c r="G4" s="99">
        <v>0</v>
      </c>
      <c r="H4" s="143">
        <v>0</v>
      </c>
      <c r="I4" s="94">
        <f>IF(B4="SI",IF($D4="SI",($F4+$G4+$H4) / (1- SUM($D$16:$D$20)),$F4),0)</f>
        <v>2627.9771794871795</v>
      </c>
      <c r="J4" s="148">
        <f>$K$3*$I4</f>
        <v>230.5235302074359</v>
      </c>
      <c r="L4" s="10"/>
    </row>
    <row r="5" spans="2:14" ht="19.95" customHeight="1" x14ac:dyDescent="0.35">
      <c r="B5" s="89" t="s">
        <v>6</v>
      </c>
      <c r="C5" s="46" t="s">
        <v>9</v>
      </c>
      <c r="D5" s="29" t="s">
        <v>6</v>
      </c>
      <c r="E5" s="92"/>
      <c r="F5" s="100">
        <v>0</v>
      </c>
      <c r="G5" s="101"/>
      <c r="H5" s="144"/>
      <c r="I5" s="123">
        <f>IF(B5="SI",IF($D5="SI",($F5+$G5+$H5) / (1- SUM($D$16:$D$20)),$F5),0)</f>
        <v>0</v>
      </c>
      <c r="J5" s="149">
        <f t="shared" ref="J5:J14" si="0">$K$3*$I5</f>
        <v>0</v>
      </c>
    </row>
    <row r="6" spans="2:14" ht="19.95" customHeight="1" x14ac:dyDescent="0.35">
      <c r="B6" s="89" t="s">
        <v>6</v>
      </c>
      <c r="C6" s="46" t="s">
        <v>10</v>
      </c>
      <c r="D6" s="29" t="s">
        <v>7</v>
      </c>
      <c r="E6" s="179">
        <v>21.84</v>
      </c>
      <c r="F6" s="102">
        <f>E6*$F$2</f>
        <v>21.84</v>
      </c>
      <c r="G6" s="101"/>
      <c r="H6" s="144"/>
      <c r="I6" s="123">
        <f t="shared" ref="I6:I14" si="1">IF(B6="SI",IF($D6="SI",($F6+$G6+$H6) / (1- SUM($D$16:$D$20)),$F6),0)</f>
        <v>21.84</v>
      </c>
      <c r="J6" s="149">
        <f t="shared" si="0"/>
        <v>1.91578296</v>
      </c>
    </row>
    <row r="7" spans="2:14" ht="19.95" customHeight="1" x14ac:dyDescent="0.35">
      <c r="B7" s="89" t="s">
        <v>7</v>
      </c>
      <c r="C7" s="46" t="s">
        <v>11</v>
      </c>
      <c r="D7" s="29" t="s">
        <v>7</v>
      </c>
      <c r="E7" s="179">
        <v>0</v>
      </c>
      <c r="F7" s="102">
        <f t="shared" ref="F7:F11" si="2">E7*$F$2</f>
        <v>0</v>
      </c>
      <c r="G7" s="103"/>
      <c r="H7" s="145"/>
      <c r="I7" s="123">
        <f t="shared" si="1"/>
        <v>0</v>
      </c>
      <c r="J7" s="149">
        <f t="shared" si="0"/>
        <v>0</v>
      </c>
    </row>
    <row r="8" spans="2:14" ht="19.95" customHeight="1" x14ac:dyDescent="0.35">
      <c r="B8" s="89" t="s">
        <v>6</v>
      </c>
      <c r="C8" s="46" t="s">
        <v>12</v>
      </c>
      <c r="D8" s="29" t="s">
        <v>7</v>
      </c>
      <c r="E8" s="179">
        <v>0</v>
      </c>
      <c r="F8" s="102">
        <f t="shared" si="2"/>
        <v>0</v>
      </c>
      <c r="G8" s="103"/>
      <c r="H8" s="145"/>
      <c r="I8" s="123">
        <f t="shared" si="1"/>
        <v>0</v>
      </c>
      <c r="J8" s="149">
        <f t="shared" si="0"/>
        <v>0</v>
      </c>
    </row>
    <row r="9" spans="2:14" ht="19.95" customHeight="1" x14ac:dyDescent="0.35">
      <c r="B9" s="89" t="s">
        <v>6</v>
      </c>
      <c r="C9" s="47" t="s">
        <v>13</v>
      </c>
      <c r="D9" s="29" t="s">
        <v>7</v>
      </c>
      <c r="E9" s="179">
        <v>54.6</v>
      </c>
      <c r="F9" s="102">
        <f t="shared" si="2"/>
        <v>54.6</v>
      </c>
      <c r="G9" s="103"/>
      <c r="H9" s="145"/>
      <c r="I9" s="123">
        <f t="shared" si="1"/>
        <v>54.6</v>
      </c>
      <c r="J9" s="149">
        <f t="shared" si="0"/>
        <v>4.7894574000000008</v>
      </c>
    </row>
    <row r="10" spans="2:14" ht="19.95" customHeight="1" x14ac:dyDescent="0.35">
      <c r="B10" s="89" t="s">
        <v>6</v>
      </c>
      <c r="C10" s="47" t="s">
        <v>14</v>
      </c>
      <c r="D10" s="29" t="s">
        <v>7</v>
      </c>
      <c r="E10" s="179">
        <v>80.64</v>
      </c>
      <c r="F10" s="102">
        <f t="shared" si="2"/>
        <v>80.64</v>
      </c>
      <c r="G10" s="103"/>
      <c r="H10" s="145"/>
      <c r="I10" s="123">
        <f t="shared" si="1"/>
        <v>80.64</v>
      </c>
      <c r="J10" s="149">
        <f t="shared" si="0"/>
        <v>7.0736601600000002</v>
      </c>
    </row>
    <row r="11" spans="2:14" ht="19.95" customHeight="1" x14ac:dyDescent="0.35">
      <c r="B11" s="89" t="s">
        <v>6</v>
      </c>
      <c r="C11" s="46" t="s">
        <v>15</v>
      </c>
      <c r="D11" s="29" t="s">
        <v>7</v>
      </c>
      <c r="E11" s="179">
        <v>44.377200000000002</v>
      </c>
      <c r="F11" s="102">
        <f t="shared" si="2"/>
        <v>44.377200000000002</v>
      </c>
      <c r="G11" s="103"/>
      <c r="H11" s="145"/>
      <c r="I11" s="123">
        <f t="shared" si="1"/>
        <v>44.377200000000002</v>
      </c>
      <c r="J11" s="149">
        <f t="shared" si="0"/>
        <v>3.8927236068000006</v>
      </c>
    </row>
    <row r="12" spans="2:14" ht="19.95" customHeight="1" x14ac:dyDescent="0.35">
      <c r="B12" s="90" t="s">
        <v>7</v>
      </c>
      <c r="C12" s="46"/>
      <c r="D12" s="55" t="s">
        <v>7</v>
      </c>
      <c r="E12" s="109"/>
      <c r="F12" s="104"/>
      <c r="G12" s="105"/>
      <c r="H12" s="146"/>
      <c r="I12" s="123">
        <f t="shared" si="1"/>
        <v>0</v>
      </c>
      <c r="J12" s="149">
        <f t="shared" si="0"/>
        <v>0</v>
      </c>
    </row>
    <row r="13" spans="2:14" ht="19.95" customHeight="1" x14ac:dyDescent="0.35">
      <c r="B13" s="90" t="s">
        <v>7</v>
      </c>
      <c r="C13" s="46"/>
      <c r="D13" s="55" t="s">
        <v>7</v>
      </c>
      <c r="E13" s="92"/>
      <c r="F13" s="104"/>
      <c r="G13" s="105"/>
      <c r="H13" s="146"/>
      <c r="I13" s="123">
        <f t="shared" si="1"/>
        <v>0</v>
      </c>
      <c r="J13" s="149">
        <f t="shared" si="0"/>
        <v>0</v>
      </c>
    </row>
    <row r="14" spans="2:14" ht="18.600000000000001" thickBot="1" x14ac:dyDescent="0.4">
      <c r="B14" s="91" t="s">
        <v>7</v>
      </c>
      <c r="C14" s="46"/>
      <c r="D14" s="30" t="s">
        <v>7</v>
      </c>
      <c r="E14" s="110"/>
      <c r="F14" s="95"/>
      <c r="G14" s="7"/>
      <c r="H14" s="147"/>
      <c r="I14" s="123">
        <f t="shared" si="1"/>
        <v>0</v>
      </c>
      <c r="J14" s="150">
        <f t="shared" si="0"/>
        <v>0</v>
      </c>
    </row>
    <row r="15" spans="2:14" ht="18.600000000000001" thickBot="1" x14ac:dyDescent="0.35">
      <c r="C15" s="138" t="s">
        <v>1</v>
      </c>
      <c r="D15" s="139" t="s">
        <v>25</v>
      </c>
      <c r="E15" s="140"/>
      <c r="F15" s="141">
        <f>SUM(F4:F14)</f>
        <v>2251.2793999999999</v>
      </c>
      <c r="G15" s="142"/>
      <c r="H15" s="138"/>
      <c r="I15" s="151">
        <f>SUM(I4:I14)</f>
        <v>2829.4343794871793</v>
      </c>
      <c r="J15" s="124">
        <f>SUM(J4:J14)</f>
        <v>248.19515433423589</v>
      </c>
    </row>
    <row r="16" spans="2:14" ht="18" x14ac:dyDescent="0.35">
      <c r="B16" s="290" t="s">
        <v>24</v>
      </c>
      <c r="C16" s="87" t="s">
        <v>2</v>
      </c>
      <c r="D16" s="137">
        <v>0.15</v>
      </c>
      <c r="E16" s="164"/>
      <c r="F16" s="93"/>
      <c r="G16" s="93"/>
      <c r="H16" s="93"/>
      <c r="I16" s="120">
        <f>$I$4*$D16</f>
        <v>394.19657692307692</v>
      </c>
      <c r="J16" s="22">
        <f>$J$4*$D16</f>
        <v>34.578529531115386</v>
      </c>
    </row>
    <row r="17" spans="2:10" ht="18" x14ac:dyDescent="0.35">
      <c r="B17" s="291"/>
      <c r="C17" s="54" t="s">
        <v>17</v>
      </c>
      <c r="D17" s="35">
        <v>0.05</v>
      </c>
      <c r="E17" s="165"/>
      <c r="F17" s="26"/>
      <c r="G17" s="26"/>
      <c r="H17" s="26"/>
      <c r="I17" s="119">
        <f>$I$4*$D17</f>
        <v>131.39885897435897</v>
      </c>
      <c r="J17" s="24">
        <f t="shared" ref="J17:J20" si="3">$J$4*$D17</f>
        <v>11.526176510371796</v>
      </c>
    </row>
    <row r="18" spans="2:10" ht="18" x14ac:dyDescent="0.35">
      <c r="B18" s="291"/>
      <c r="C18" s="54" t="s">
        <v>18</v>
      </c>
      <c r="D18" s="35">
        <v>0.01</v>
      </c>
      <c r="E18" s="165"/>
      <c r="F18" s="26"/>
      <c r="G18" s="26"/>
      <c r="H18" s="26"/>
      <c r="I18" s="119">
        <f>$I$4*$D18</f>
        <v>26.279771794871795</v>
      </c>
      <c r="J18" s="24">
        <f t="shared" si="3"/>
        <v>2.305235302074359</v>
      </c>
    </row>
    <row r="19" spans="2:10" ht="18" x14ac:dyDescent="0.35">
      <c r="B19" s="291"/>
      <c r="C19" s="54" t="s">
        <v>19</v>
      </c>
      <c r="D19" s="35">
        <v>0.01</v>
      </c>
      <c r="E19" s="165"/>
      <c r="F19" s="26"/>
      <c r="G19" s="26"/>
      <c r="H19" s="26"/>
      <c r="I19" s="119">
        <f>$I$4*$D19</f>
        <v>26.279771794871795</v>
      </c>
      <c r="J19" s="24">
        <f t="shared" si="3"/>
        <v>2.305235302074359</v>
      </c>
    </row>
    <row r="20" spans="2:10" ht="18.600000000000001" thickBot="1" x14ac:dyDescent="0.4">
      <c r="B20" s="292"/>
      <c r="C20" s="128"/>
      <c r="D20" s="129"/>
      <c r="E20" s="34"/>
      <c r="F20" s="130"/>
      <c r="G20" s="130"/>
      <c r="H20" s="130"/>
      <c r="I20" s="131">
        <f>$I$4*$D20</f>
        <v>0</v>
      </c>
      <c r="J20" s="126">
        <f t="shared" si="3"/>
        <v>0</v>
      </c>
    </row>
    <row r="21" spans="2:10" ht="18.600000000000001" thickBot="1" x14ac:dyDescent="0.35">
      <c r="C21" s="132" t="s">
        <v>22</v>
      </c>
      <c r="D21" s="133"/>
      <c r="E21" s="134"/>
      <c r="F21" s="135">
        <f>SUM(F16:F18)</f>
        <v>0</v>
      </c>
      <c r="G21" s="135"/>
      <c r="H21" s="135"/>
      <c r="I21" s="136">
        <f>I15/(1-$D$22)</f>
        <v>3536.7929743589739</v>
      </c>
      <c r="J21" s="125">
        <f>J15/(1-$D$22)</f>
        <v>310.24394291779487</v>
      </c>
    </row>
    <row r="22" spans="2:10" ht="18.600000000000001" thickBot="1" x14ac:dyDescent="0.4">
      <c r="C22" s="47" t="s">
        <v>23</v>
      </c>
      <c r="D22" s="36">
        <v>0.2</v>
      </c>
      <c r="E22" s="166"/>
      <c r="F22" s="21"/>
      <c r="G22" s="20"/>
      <c r="H22" s="20"/>
      <c r="I22" s="120">
        <f>$I$21*$D22</f>
        <v>707.35859487179482</v>
      </c>
      <c r="J22" s="127">
        <f>$J$21*$D22</f>
        <v>62.048788583558974</v>
      </c>
    </row>
    <row r="23" spans="2:10" ht="18.600000000000001" thickBot="1" x14ac:dyDescent="0.35">
      <c r="C23" s="50"/>
      <c r="D23" s="32"/>
      <c r="E23" s="41"/>
      <c r="F23" s="38"/>
      <c r="G23" s="17"/>
      <c r="H23" s="17"/>
      <c r="I23" s="121"/>
      <c r="J23" s="23"/>
    </row>
    <row r="24" spans="2:10" ht="18" x14ac:dyDescent="0.35">
      <c r="C24" s="106" t="s">
        <v>5</v>
      </c>
      <c r="D24" s="111">
        <v>0.02</v>
      </c>
      <c r="E24" s="167"/>
      <c r="F24" s="8"/>
      <c r="G24" s="8"/>
      <c r="H24" s="8"/>
      <c r="I24" s="122">
        <f>$I$28*$D24</f>
        <v>88.419824358974353</v>
      </c>
      <c r="J24" s="22">
        <f>$J$28*$D24</f>
        <v>7.7560985729448717</v>
      </c>
    </row>
    <row r="25" spans="2:10" ht="18" x14ac:dyDescent="0.35">
      <c r="C25" s="47" t="s">
        <v>26</v>
      </c>
      <c r="D25" s="35">
        <v>0.02</v>
      </c>
      <c r="E25" s="165"/>
      <c r="F25" s="9"/>
      <c r="G25" s="9"/>
      <c r="H25" s="9"/>
      <c r="I25" s="119">
        <f>$I$28*$D25</f>
        <v>88.419824358974353</v>
      </c>
      <c r="J25" s="24">
        <f t="shared" ref="J25:J27" si="4">$J$28*$D25</f>
        <v>7.7560985729448717</v>
      </c>
    </row>
    <row r="26" spans="2:10" ht="18" x14ac:dyDescent="0.35">
      <c r="C26" s="47" t="s">
        <v>3</v>
      </c>
      <c r="D26" s="35">
        <v>0.03</v>
      </c>
      <c r="E26" s="165"/>
      <c r="F26" s="40"/>
      <c r="G26" s="40"/>
      <c r="H26" s="40"/>
      <c r="I26" s="119">
        <f>$I$28*$D26</f>
        <v>132.62973653846151</v>
      </c>
      <c r="J26" s="24">
        <f t="shared" si="4"/>
        <v>11.634147859417308</v>
      </c>
    </row>
    <row r="27" spans="2:10" ht="18.600000000000001" thickBot="1" x14ac:dyDescent="0.4">
      <c r="C27" s="107" t="s">
        <v>4</v>
      </c>
      <c r="D27" s="112">
        <v>0.13</v>
      </c>
      <c r="E27" s="168"/>
      <c r="F27" s="25"/>
      <c r="G27" s="25"/>
      <c r="H27" s="25"/>
      <c r="I27" s="119">
        <f>$I$28*$D27</f>
        <v>574.72885833333328</v>
      </c>
      <c r="J27" s="24">
        <f t="shared" si="4"/>
        <v>50.414640724141663</v>
      </c>
    </row>
    <row r="28" spans="2:10" ht="18.600000000000001" thickBot="1" x14ac:dyDescent="0.35">
      <c r="C28" s="173" t="s">
        <v>27</v>
      </c>
      <c r="D28" s="174"/>
      <c r="E28" s="174"/>
      <c r="F28" s="175"/>
      <c r="G28" s="176"/>
      <c r="H28" s="176"/>
      <c r="I28" s="151">
        <f>I21/(1-SUM($D$24:$D$27))</f>
        <v>4420.9912179487173</v>
      </c>
      <c r="J28" s="177">
        <f>J21/(1-SUM($D$24:$D$27))</f>
        <v>387.80492864724357</v>
      </c>
    </row>
  </sheetData>
  <mergeCells count="1">
    <mergeCell ref="B16:B20"/>
  </mergeCells>
  <dataValidations count="1">
    <dataValidation showInputMessage="1" showErrorMessage="1" sqref="E13:E14 E4:E11" xr:uid="{C8B3771A-FAFF-40D0-9D0E-305FD46EDA0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Hoja1!$B$2:$B$3</xm:f>
          </x14:formula1>
          <xm:sqref>D4:D14 B4:B14</xm:sqref>
        </x14:dataValidation>
        <x14:dataValidation type="list" allowBlank="1" showInputMessage="1" showErrorMessage="1" xr:uid="{D4F34478-944B-4B6F-8837-74E6078BFA95}">
          <x14:formula1>
            <xm:f>FRECUENCIAS!$A$3:$A$7</xm:f>
          </x14:formula1>
          <xm:sqref>J3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1390-81E5-4915-BD9C-2F28730C0E19}">
  <sheetPr>
    <tabColor theme="8" tint="0.39997558519241921"/>
  </sheetPr>
  <dimension ref="B1:M28"/>
  <sheetViews>
    <sheetView zoomScale="80" zoomScaleNormal="80" workbookViewId="0">
      <selection activeCell="I4" sqref="I4"/>
    </sheetView>
  </sheetViews>
  <sheetFormatPr baseColWidth="10" defaultColWidth="11.44140625" defaultRowHeight="13.8" x14ac:dyDescent="0.3"/>
  <cols>
    <col min="1" max="1" width="4.88671875" style="1" customWidth="1"/>
    <col min="2" max="2" width="11.109375" style="1" customWidth="1"/>
    <col min="3" max="3" width="41.6640625" style="1" customWidth="1"/>
    <col min="4" max="4" width="15.6640625" style="33" customWidth="1"/>
    <col min="5" max="5" width="15.88671875" style="1" customWidth="1"/>
    <col min="6" max="7" width="13.33203125" style="1" customWidth="1"/>
    <col min="8" max="8" width="20.109375" style="1" customWidth="1"/>
    <col min="9" max="9" width="19.44140625" style="1" bestFit="1" customWidth="1"/>
    <col min="10" max="16384" width="11.44140625" style="1"/>
  </cols>
  <sheetData>
    <row r="1" spans="2:13" ht="26.25" customHeight="1" thickBot="1" x14ac:dyDescent="0.35">
      <c r="C1" s="12" t="s">
        <v>28</v>
      </c>
      <c r="D1" s="31"/>
      <c r="E1" s="13"/>
      <c r="F1" s="13"/>
      <c r="G1" s="13"/>
      <c r="H1" s="45"/>
      <c r="I1" s="2"/>
      <c r="J1" s="69"/>
      <c r="K1" s="69"/>
    </row>
    <row r="2" spans="2:13" ht="16.2" thickBot="1" x14ac:dyDescent="0.35">
      <c r="C2" s="15"/>
      <c r="D2" s="34"/>
      <c r="E2" s="16"/>
      <c r="F2" s="16"/>
      <c r="G2" s="16"/>
      <c r="H2" s="14"/>
      <c r="I2" s="32"/>
    </row>
    <row r="3" spans="2:13" ht="30" customHeight="1" thickBot="1" x14ac:dyDescent="0.35">
      <c r="B3" s="3"/>
      <c r="C3" s="12" t="s">
        <v>0</v>
      </c>
      <c r="D3" s="32" t="s">
        <v>20</v>
      </c>
      <c r="E3" s="18" t="s">
        <v>16</v>
      </c>
      <c r="F3" s="19" t="s">
        <v>21</v>
      </c>
      <c r="G3" s="19" t="s">
        <v>21</v>
      </c>
      <c r="H3" s="70" t="s">
        <v>29</v>
      </c>
      <c r="I3" s="163" t="s">
        <v>39</v>
      </c>
    </row>
    <row r="4" spans="2:13" ht="19.95" customHeight="1" x14ac:dyDescent="0.35">
      <c r="C4" s="46" t="s">
        <v>8</v>
      </c>
      <c r="D4" s="178" t="s">
        <v>6</v>
      </c>
      <c r="E4" s="4">
        <v>65.894400000000005</v>
      </c>
      <c r="F4" s="27">
        <v>0</v>
      </c>
      <c r="G4" s="27">
        <v>0</v>
      </c>
      <c r="H4" s="11">
        <f>IF($D4="SI",($E4+$F4+$G4) / (1- SUM($D$16:$D$20)),$E4)</f>
        <v>84.48</v>
      </c>
      <c r="I4" s="86">
        <f>IF($D4="SI",($I$15) * (1- SUM($D$16:$D$20)),$I$15)</f>
        <v>68.530175999999997</v>
      </c>
      <c r="J4" s="83" t="s">
        <v>49</v>
      </c>
      <c r="M4" s="85"/>
    </row>
    <row r="5" spans="2:13" ht="19.95" hidden="1" customHeight="1" x14ac:dyDescent="0.35">
      <c r="C5" s="46" t="s">
        <v>9</v>
      </c>
      <c r="D5" s="29" t="s">
        <v>6</v>
      </c>
      <c r="E5" s="4">
        <v>0</v>
      </c>
      <c r="F5" s="6"/>
      <c r="G5" s="6"/>
      <c r="H5" s="11">
        <f t="shared" ref="H5:H14" si="0">IF($D5="SI",($E5+$F5+$G5) / (1- SUM($D$16:$D$19)),$E5)</f>
        <v>0</v>
      </c>
      <c r="I5" s="11">
        <v>0</v>
      </c>
    </row>
    <row r="6" spans="2:13" ht="19.95" hidden="1" customHeight="1" x14ac:dyDescent="0.35">
      <c r="C6" s="46" t="s">
        <v>10</v>
      </c>
      <c r="D6" s="29" t="s">
        <v>7</v>
      </c>
      <c r="E6" s="4">
        <v>0</v>
      </c>
      <c r="F6" s="6"/>
      <c r="G6" s="6"/>
      <c r="H6" s="11">
        <f t="shared" si="0"/>
        <v>0</v>
      </c>
      <c r="I6" s="11">
        <f>IF($D6="SI",($I$15) / (1+ SUM($D$16:$D$19)),$E6)</f>
        <v>0</v>
      </c>
    </row>
    <row r="7" spans="2:13" ht="19.95" hidden="1" customHeight="1" x14ac:dyDescent="0.35">
      <c r="C7" s="46" t="s">
        <v>11</v>
      </c>
      <c r="D7" s="29" t="s">
        <v>7</v>
      </c>
      <c r="E7" s="5">
        <v>0</v>
      </c>
      <c r="F7" s="67"/>
      <c r="G7" s="67"/>
      <c r="H7" s="11">
        <f t="shared" si="0"/>
        <v>0</v>
      </c>
      <c r="I7" s="11">
        <f t="shared" ref="I7:I14" si="1">IF($D7="SI",($I$15) / (1+ SUM($D$16:$D$19)),$E7)</f>
        <v>0</v>
      </c>
    </row>
    <row r="8" spans="2:13" ht="19.95" hidden="1" customHeight="1" x14ac:dyDescent="0.35">
      <c r="C8" s="46" t="s">
        <v>12</v>
      </c>
      <c r="D8" s="29" t="s">
        <v>7</v>
      </c>
      <c r="E8" s="5">
        <v>0</v>
      </c>
      <c r="F8" s="67"/>
      <c r="G8" s="67"/>
      <c r="H8" s="11">
        <f t="shared" si="0"/>
        <v>0</v>
      </c>
      <c r="I8" s="11">
        <f t="shared" si="1"/>
        <v>0</v>
      </c>
    </row>
    <row r="9" spans="2:13" ht="19.95" hidden="1" customHeight="1" x14ac:dyDescent="0.35">
      <c r="C9" s="47" t="s">
        <v>13</v>
      </c>
      <c r="D9" s="29" t="s">
        <v>7</v>
      </c>
      <c r="E9" s="5">
        <v>0</v>
      </c>
      <c r="F9" s="67"/>
      <c r="G9" s="67"/>
      <c r="H9" s="11">
        <f t="shared" si="0"/>
        <v>0</v>
      </c>
      <c r="I9" s="11">
        <f t="shared" si="1"/>
        <v>0</v>
      </c>
    </row>
    <row r="10" spans="2:13" ht="19.95" hidden="1" customHeight="1" x14ac:dyDescent="0.35">
      <c r="C10" s="47" t="s">
        <v>14</v>
      </c>
      <c r="D10" s="29" t="s">
        <v>7</v>
      </c>
      <c r="E10" s="5">
        <v>0</v>
      </c>
      <c r="F10" s="67"/>
      <c r="G10" s="67"/>
      <c r="H10" s="11">
        <f t="shared" si="0"/>
        <v>0</v>
      </c>
      <c r="I10" s="11">
        <f t="shared" si="1"/>
        <v>0</v>
      </c>
    </row>
    <row r="11" spans="2:13" ht="19.95" hidden="1" customHeight="1" x14ac:dyDescent="0.35">
      <c r="C11" s="46" t="s">
        <v>15</v>
      </c>
      <c r="D11" s="29" t="s">
        <v>7</v>
      </c>
      <c r="E11" s="5">
        <v>0</v>
      </c>
      <c r="F11" s="67"/>
      <c r="G11" s="67"/>
      <c r="H11" s="11">
        <f t="shared" si="0"/>
        <v>0</v>
      </c>
      <c r="I11" s="11">
        <f t="shared" si="1"/>
        <v>0</v>
      </c>
    </row>
    <row r="12" spans="2:13" ht="19.95" hidden="1" customHeight="1" x14ac:dyDescent="0.35">
      <c r="C12" s="46"/>
      <c r="D12" s="55" t="s">
        <v>7</v>
      </c>
      <c r="E12" s="56"/>
      <c r="F12" s="68"/>
      <c r="G12" s="68"/>
      <c r="H12" s="11">
        <f t="shared" si="0"/>
        <v>0</v>
      </c>
      <c r="I12" s="11">
        <f t="shared" si="1"/>
        <v>0</v>
      </c>
    </row>
    <row r="13" spans="2:13" ht="19.95" hidden="1" customHeight="1" x14ac:dyDescent="0.35">
      <c r="C13" s="46"/>
      <c r="D13" s="55" t="s">
        <v>7</v>
      </c>
      <c r="E13" s="56"/>
      <c r="F13" s="68"/>
      <c r="G13" s="68"/>
      <c r="H13" s="11">
        <f t="shared" si="0"/>
        <v>0</v>
      </c>
      <c r="I13" s="11">
        <f t="shared" si="1"/>
        <v>0</v>
      </c>
    </row>
    <row r="14" spans="2:13" ht="18.600000000000001" thickBot="1" x14ac:dyDescent="0.4">
      <c r="C14" s="46"/>
      <c r="D14" s="30" t="s">
        <v>7</v>
      </c>
      <c r="E14" s="57"/>
      <c r="F14" s="7"/>
      <c r="G14" s="7"/>
      <c r="H14" s="11">
        <f t="shared" si="0"/>
        <v>0</v>
      </c>
      <c r="I14" s="11">
        <f t="shared" si="1"/>
        <v>0</v>
      </c>
    </row>
    <row r="15" spans="2:13" ht="18.600000000000001" thickBot="1" x14ac:dyDescent="0.35">
      <c r="C15" s="48" t="s">
        <v>1</v>
      </c>
      <c r="D15" s="64" t="s">
        <v>25</v>
      </c>
      <c r="E15" s="58">
        <f>SUM(E4:E14)</f>
        <v>65.894400000000005</v>
      </c>
      <c r="F15" s="59"/>
      <c r="G15" s="59"/>
      <c r="H15" s="84">
        <f>SUM(H4:H14)</f>
        <v>84.48</v>
      </c>
      <c r="I15" s="60">
        <f>I21-I22</f>
        <v>87.859200000000001</v>
      </c>
      <c r="K15" s="10"/>
    </row>
    <row r="16" spans="2:13" ht="18" x14ac:dyDescent="0.35">
      <c r="B16" s="293" t="s">
        <v>24</v>
      </c>
      <c r="C16" s="54" t="s">
        <v>2</v>
      </c>
      <c r="D16" s="35">
        <v>0.15</v>
      </c>
      <c r="E16" s="26"/>
      <c r="F16" s="26"/>
      <c r="G16" s="26"/>
      <c r="H16" s="24">
        <f>$H$4*$D16</f>
        <v>12.672000000000001</v>
      </c>
      <c r="I16" s="24">
        <f>$I$15*$D16</f>
        <v>13.178879999999999</v>
      </c>
    </row>
    <row r="17" spans="2:11" ht="18" x14ac:dyDescent="0.35">
      <c r="B17" s="294"/>
      <c r="C17" s="54" t="s">
        <v>17</v>
      </c>
      <c r="D17" s="35">
        <v>0.05</v>
      </c>
      <c r="E17" s="26"/>
      <c r="F17" s="26"/>
      <c r="G17" s="26"/>
      <c r="H17" s="24">
        <f>$H$4*$D17</f>
        <v>4.2240000000000002</v>
      </c>
      <c r="I17" s="24">
        <f>$I$15*$D17</f>
        <v>4.3929600000000004</v>
      </c>
    </row>
    <row r="18" spans="2:11" ht="18" x14ac:dyDescent="0.35">
      <c r="B18" s="294"/>
      <c r="C18" s="54" t="s">
        <v>18</v>
      </c>
      <c r="D18" s="35">
        <v>0.01</v>
      </c>
      <c r="E18" s="26"/>
      <c r="F18" s="26"/>
      <c r="G18" s="26"/>
      <c r="H18" s="24">
        <f>$H$4*$D18</f>
        <v>0.84480000000000011</v>
      </c>
      <c r="I18" s="24">
        <f>$I$15*$D18</f>
        <v>0.87859200000000004</v>
      </c>
    </row>
    <row r="19" spans="2:11" ht="18" x14ac:dyDescent="0.35">
      <c r="B19" s="294"/>
      <c r="C19" s="54" t="s">
        <v>19</v>
      </c>
      <c r="D19" s="35">
        <v>0.01</v>
      </c>
      <c r="E19" s="26"/>
      <c r="F19" s="26"/>
      <c r="G19" s="26"/>
      <c r="H19" s="24">
        <f>$H$4*$D19</f>
        <v>0.84480000000000011</v>
      </c>
      <c r="I19" s="24">
        <f>$I$15*$D19</f>
        <v>0.87859200000000004</v>
      </c>
    </row>
    <row r="20" spans="2:11" ht="18.600000000000001" thickBot="1" x14ac:dyDescent="0.4">
      <c r="B20" s="295"/>
      <c r="C20" s="54"/>
      <c r="D20" s="35"/>
      <c r="E20" s="26"/>
      <c r="F20" s="26"/>
      <c r="G20" s="26"/>
      <c r="H20" s="24">
        <f>$H$4*$D20</f>
        <v>0</v>
      </c>
      <c r="I20" s="24">
        <f>$I$15*$D20</f>
        <v>0</v>
      </c>
    </row>
    <row r="21" spans="2:11" ht="18.600000000000001" thickBot="1" x14ac:dyDescent="0.35">
      <c r="C21" s="49" t="s">
        <v>22</v>
      </c>
      <c r="D21" s="61"/>
      <c r="E21" s="62">
        <f>SUM(E16:E18)</f>
        <v>0</v>
      </c>
      <c r="F21" s="62"/>
      <c r="G21" s="62"/>
      <c r="H21" s="63">
        <f>H15/(1-$D$22)</f>
        <v>105.6</v>
      </c>
      <c r="I21" s="63">
        <f>I28- SUM(I24:I27)</f>
        <v>109.824</v>
      </c>
      <c r="K21" s="10"/>
    </row>
    <row r="22" spans="2:11" ht="18.600000000000001" thickBot="1" x14ac:dyDescent="0.4">
      <c r="C22" s="47" t="s">
        <v>23</v>
      </c>
      <c r="D22" s="36">
        <v>0.2</v>
      </c>
      <c r="E22" s="21"/>
      <c r="F22" s="20"/>
      <c r="G22" s="20"/>
      <c r="H22" s="22">
        <f>$H$21*$D22</f>
        <v>21.12</v>
      </c>
      <c r="I22" s="22">
        <f>$I$21*$D22</f>
        <v>21.9648</v>
      </c>
    </row>
    <row r="23" spans="2:11" ht="18.600000000000001" thickBot="1" x14ac:dyDescent="0.35">
      <c r="C23" s="50"/>
      <c r="D23" s="41"/>
      <c r="E23" s="38"/>
      <c r="F23" s="17"/>
      <c r="G23" s="17"/>
      <c r="H23" s="39"/>
      <c r="I23" s="23"/>
    </row>
    <row r="24" spans="2:11" ht="18" x14ac:dyDescent="0.35">
      <c r="C24" s="51" t="s">
        <v>5</v>
      </c>
      <c r="D24" s="42">
        <v>0.02</v>
      </c>
      <c r="E24" s="8"/>
      <c r="F24" s="8"/>
      <c r="G24" s="8"/>
      <c r="H24" s="44">
        <f>$H$28*$D24</f>
        <v>2.6399999999999997</v>
      </c>
      <c r="I24" s="11">
        <f>$I$28*$D24</f>
        <v>2.7456</v>
      </c>
    </row>
    <row r="25" spans="2:11" ht="18" x14ac:dyDescent="0.35">
      <c r="C25" s="52" t="s">
        <v>26</v>
      </c>
      <c r="D25" s="37">
        <v>0.02</v>
      </c>
      <c r="E25" s="9"/>
      <c r="F25" s="9"/>
      <c r="G25" s="9"/>
      <c r="H25" s="24">
        <f>$H$28*$D25</f>
        <v>2.6399999999999997</v>
      </c>
      <c r="I25" s="11">
        <f>$I$28*$D25</f>
        <v>2.7456</v>
      </c>
    </row>
    <row r="26" spans="2:11" ht="18" x14ac:dyDescent="0.35">
      <c r="C26" s="52" t="s">
        <v>3</v>
      </c>
      <c r="D26" s="37">
        <v>0.03</v>
      </c>
      <c r="E26" s="40"/>
      <c r="F26" s="40"/>
      <c r="G26" s="40"/>
      <c r="H26" s="24">
        <f>$H$28*$D26</f>
        <v>3.9599999999999991</v>
      </c>
      <c r="I26" s="11">
        <f>$I$28*$D26</f>
        <v>4.1184000000000003</v>
      </c>
    </row>
    <row r="27" spans="2:11" ht="18.600000000000001" thickBot="1" x14ac:dyDescent="0.4">
      <c r="C27" s="53" t="s">
        <v>4</v>
      </c>
      <c r="D27" s="43">
        <v>0.13</v>
      </c>
      <c r="E27" s="25"/>
      <c r="F27" s="25"/>
      <c r="G27" s="25"/>
      <c r="H27" s="24">
        <f>$H$28*$D27</f>
        <v>17.159999999999997</v>
      </c>
      <c r="I27" s="11">
        <f>$I$28*$D27</f>
        <v>17.846399999999999</v>
      </c>
    </row>
    <row r="28" spans="2:11" ht="18.600000000000001" thickBot="1" x14ac:dyDescent="0.4">
      <c r="C28" s="173" t="s">
        <v>27</v>
      </c>
      <c r="D28" s="174"/>
      <c r="E28" s="175"/>
      <c r="F28" s="176"/>
      <c r="G28" s="176"/>
      <c r="H28" s="161">
        <f>H21/(1-SUM($D$24:$D$27))</f>
        <v>131.99999999999997</v>
      </c>
      <c r="I28" s="82">
        <v>137.28</v>
      </c>
      <c r="J28" s="83" t="s">
        <v>40</v>
      </c>
    </row>
  </sheetData>
  <mergeCells count="1">
    <mergeCell ref="B16:B2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AC3F7493-6698-46A0-9EFA-D2CDF03CC6F0}">
          <x14:formula1>
            <xm:f>Hoja1!$B$2:$B$3</xm:f>
          </x14:formula1>
          <xm:sqref>D4:D14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A20B-9B58-4AE9-A88E-07B1B69BAE90}">
  <sheetPr>
    <tabColor rgb="FFFFC000"/>
  </sheetPr>
  <dimension ref="A1:U32"/>
  <sheetViews>
    <sheetView tabSelected="1" zoomScale="70" zoomScaleNormal="70" workbookViewId="0">
      <selection activeCell="D14" sqref="D14"/>
    </sheetView>
  </sheetViews>
  <sheetFormatPr baseColWidth="10" defaultColWidth="11.44140625" defaultRowHeight="13.8" x14ac:dyDescent="0.3"/>
  <cols>
    <col min="1" max="1" width="10.44140625" style="1" customWidth="1"/>
    <col min="2" max="2" width="39.6640625" style="1" customWidth="1"/>
    <col min="3" max="3" width="11.6640625" style="33" customWidth="1"/>
    <col min="4" max="4" width="15" style="33" customWidth="1"/>
    <col min="5" max="7" width="17" style="181" customWidth="1"/>
    <col min="8" max="8" width="1.44140625" style="181" customWidth="1"/>
    <col min="9" max="10" width="19.5546875" style="181" customWidth="1"/>
    <col min="11" max="11" width="18.5546875" style="181" customWidth="1"/>
    <col min="12" max="12" width="15.44140625" style="1" customWidth="1"/>
    <col min="13" max="13" width="11.44140625" style="1" customWidth="1"/>
    <col min="14" max="14" width="3.33203125" style="1" customWidth="1"/>
    <col min="15" max="15" width="17.5546875" style="1" customWidth="1"/>
    <col min="16" max="17" width="14.6640625" style="1" customWidth="1"/>
    <col min="18" max="19" width="18.5546875" style="1" customWidth="1"/>
    <col min="20" max="16384" width="11.44140625" style="1"/>
  </cols>
  <sheetData>
    <row r="1" spans="1:20" s="186" customFormat="1" ht="10.199999999999999" customHeight="1" thickBot="1" x14ac:dyDescent="0.55000000000000004">
      <c r="B1" s="187"/>
      <c r="C1" s="188"/>
      <c r="D1" s="188"/>
      <c r="E1" s="189"/>
      <c r="F1" s="189"/>
      <c r="G1" s="189"/>
      <c r="H1" s="189"/>
      <c r="I1" s="189"/>
      <c r="J1" s="189"/>
      <c r="K1" s="189"/>
      <c r="L1" s="207"/>
      <c r="M1" s="207"/>
      <c r="N1" s="69"/>
      <c r="O1" s="69"/>
      <c r="P1" s="69"/>
      <c r="Q1" s="69"/>
    </row>
    <row r="2" spans="1:20" ht="27.6" customHeight="1" thickBot="1" x14ac:dyDescent="0.35">
      <c r="B2" s="113"/>
      <c r="C2" s="305" t="s">
        <v>71</v>
      </c>
      <c r="D2" s="306"/>
      <c r="E2" s="303">
        <v>1</v>
      </c>
      <c r="F2" s="304"/>
      <c r="G2" s="190" t="s">
        <v>31</v>
      </c>
      <c r="H2" s="269"/>
      <c r="I2" s="309"/>
      <c r="J2" s="310"/>
      <c r="K2" s="190" t="s">
        <v>31</v>
      </c>
      <c r="L2" s="190" t="s">
        <v>33</v>
      </c>
      <c r="M2" s="190" t="s">
        <v>38</v>
      </c>
      <c r="O2" s="296" t="s">
        <v>59</v>
      </c>
      <c r="P2" s="297"/>
    </row>
    <row r="3" spans="1:20" s="220" customFormat="1" ht="36.75" customHeight="1" thickBot="1" x14ac:dyDescent="0.35">
      <c r="A3" s="221" t="s">
        <v>43</v>
      </c>
      <c r="B3" s="222" t="s">
        <v>41</v>
      </c>
      <c r="C3" s="223" t="s">
        <v>20</v>
      </c>
      <c r="D3" s="224" t="s">
        <v>44</v>
      </c>
      <c r="E3" s="301" t="s">
        <v>55</v>
      </c>
      <c r="F3" s="302"/>
      <c r="G3" s="205" t="str">
        <f>K3</f>
        <v>MENSUAL</v>
      </c>
      <c r="H3" s="270"/>
      <c r="I3" s="301" t="s">
        <v>56</v>
      </c>
      <c r="J3" s="302"/>
      <c r="K3" s="225" t="s">
        <v>37</v>
      </c>
      <c r="L3" s="288">
        <f>VLOOKUP($K$3,Tabla1[#Data],4,FALSE)</f>
        <v>8.7719000000000005E-2</v>
      </c>
      <c r="M3" s="81">
        <f>VLOOKUP($K$3,Tabla1[#Data],3,FALSE)</f>
        <v>12</v>
      </c>
      <c r="O3" s="232" t="s">
        <v>57</v>
      </c>
      <c r="P3" s="232" t="s">
        <v>58</v>
      </c>
    </row>
    <row r="4" spans="1:20" ht="19.95" customHeight="1" x14ac:dyDescent="0.35">
      <c r="A4" s="178" t="s">
        <v>6</v>
      </c>
      <c r="B4" s="209" t="s">
        <v>8</v>
      </c>
      <c r="C4" s="218" t="s">
        <v>6</v>
      </c>
      <c r="D4" s="216"/>
      <c r="E4" s="214">
        <f>E6</f>
        <v>2182.3155484415997</v>
      </c>
      <c r="F4" s="214" t="s">
        <v>70</v>
      </c>
      <c r="G4" s="265">
        <f>E4*L3</f>
        <v>191.43053759374871</v>
      </c>
      <c r="H4" s="271"/>
      <c r="I4" s="183">
        <f>I6</f>
        <v>2350.9247134463994</v>
      </c>
      <c r="J4" s="183" t="s">
        <v>70</v>
      </c>
      <c r="K4" s="201">
        <f>$L$3*$I4</f>
        <v>206.22076493880473</v>
      </c>
      <c r="O4" s="289">
        <v>5</v>
      </c>
      <c r="P4" s="289">
        <f>ABS(((I6/E6)*100)-100)</f>
        <v>7.7261588098569831</v>
      </c>
    </row>
    <row r="5" spans="1:20" ht="19.95" customHeight="1" thickBot="1" x14ac:dyDescent="0.4">
      <c r="A5" s="213" t="s">
        <v>6</v>
      </c>
      <c r="B5" s="210" t="s">
        <v>9</v>
      </c>
      <c r="C5" s="219" t="s">
        <v>6</v>
      </c>
      <c r="D5" s="217"/>
      <c r="E5" s="233">
        <v>0</v>
      </c>
      <c r="F5" s="233">
        <f>F6</f>
        <v>0</v>
      </c>
      <c r="G5" s="234">
        <f>F5*L3</f>
        <v>0</v>
      </c>
      <c r="H5" s="272"/>
      <c r="I5" s="233">
        <v>0</v>
      </c>
      <c r="J5" s="233">
        <f>J6</f>
        <v>0</v>
      </c>
      <c r="K5" s="234">
        <f>J5*L3</f>
        <v>0</v>
      </c>
      <c r="M5" s="10"/>
      <c r="T5" s="180"/>
    </row>
    <row r="6" spans="1:20" ht="19.95" customHeight="1" thickBot="1" x14ac:dyDescent="0.35">
      <c r="A6" s="208"/>
      <c r="B6" s="231" t="s">
        <v>61</v>
      </c>
      <c r="C6" s="139"/>
      <c r="D6" s="215"/>
      <c r="E6" s="204">
        <f>E11-E10-E9-E8-E7</f>
        <v>2182.3155484415997</v>
      </c>
      <c r="F6" s="204">
        <f>F11-F10-F9-F8-F7</f>
        <v>0</v>
      </c>
      <c r="G6" s="236">
        <f>SUM(G4:G5)</f>
        <v>191.43053759374871</v>
      </c>
      <c r="H6" s="273"/>
      <c r="I6" s="204">
        <f>I11-I10-I9-I8-I7</f>
        <v>2350.9247134463994</v>
      </c>
      <c r="J6" s="204">
        <f>J11-J10-J9-J8-J7</f>
        <v>0</v>
      </c>
      <c r="K6" s="204">
        <f>SUM(K4:K5)</f>
        <v>206.22076493880473</v>
      </c>
      <c r="M6" s="10"/>
      <c r="T6" s="180"/>
    </row>
    <row r="7" spans="1:20" ht="18.75" customHeight="1" x14ac:dyDescent="0.35">
      <c r="A7" s="241"/>
      <c r="B7" s="210" t="s">
        <v>2</v>
      </c>
      <c r="C7" s="226">
        <v>0.15</v>
      </c>
      <c r="D7" s="164"/>
      <c r="E7" s="185">
        <f>$E$11*$C7</f>
        <v>419.67606700799996</v>
      </c>
      <c r="F7" s="197">
        <f>$F$11*$C7</f>
        <v>0</v>
      </c>
      <c r="G7" s="201">
        <f>C7*$G$11</f>
        <v>36.813564921874736</v>
      </c>
      <c r="H7" s="274"/>
      <c r="I7" s="197">
        <f>$I$11*$C7</f>
        <v>452.10090643199993</v>
      </c>
      <c r="J7" s="183">
        <f t="shared" ref="J7:J9" si="0">$J$11*$C7</f>
        <v>0</v>
      </c>
      <c r="K7" s="267">
        <f>C7*$K$11</f>
        <v>39.657839411308608</v>
      </c>
    </row>
    <row r="8" spans="1:20" ht="18" x14ac:dyDescent="0.35">
      <c r="A8" s="241"/>
      <c r="B8" s="211" t="s">
        <v>17</v>
      </c>
      <c r="C8" s="227">
        <v>0.05</v>
      </c>
      <c r="D8" s="165"/>
      <c r="E8" s="197">
        <f>$E$11*$C8</f>
        <v>139.892022336</v>
      </c>
      <c r="F8" s="197">
        <f>$F$11*$C8</f>
        <v>0</v>
      </c>
      <c r="G8" s="202">
        <f>C8*$G$11</f>
        <v>12.271188307291581</v>
      </c>
      <c r="H8" s="274"/>
      <c r="I8" s="197">
        <f>$I$11*$C8</f>
        <v>150.70030214400001</v>
      </c>
      <c r="J8" s="182">
        <f t="shared" si="0"/>
        <v>0</v>
      </c>
      <c r="K8" s="254">
        <f>C8*$K$11</f>
        <v>13.219279803769536</v>
      </c>
    </row>
    <row r="9" spans="1:20" ht="18" x14ac:dyDescent="0.35">
      <c r="A9" s="241"/>
      <c r="B9" s="211" t="s">
        <v>18</v>
      </c>
      <c r="C9" s="227">
        <v>0.01</v>
      </c>
      <c r="D9" s="165"/>
      <c r="E9" s="197">
        <f>$E$11*$C9</f>
        <v>27.978404467199997</v>
      </c>
      <c r="F9" s="197">
        <f>$F$11*$C9</f>
        <v>0</v>
      </c>
      <c r="G9" s="202">
        <f>C9*$G$11</f>
        <v>2.4542376614583161</v>
      </c>
      <c r="H9" s="274"/>
      <c r="I9" s="197">
        <f>$I$11*$C9</f>
        <v>30.140060428799998</v>
      </c>
      <c r="J9" s="182">
        <f t="shared" si="0"/>
        <v>0</v>
      </c>
      <c r="K9" s="254">
        <f>C9*$K$11</f>
        <v>2.6438559607539069</v>
      </c>
    </row>
    <row r="10" spans="1:20" ht="18.600000000000001" thickBot="1" x14ac:dyDescent="0.4">
      <c r="A10" s="241"/>
      <c r="B10" s="212" t="s">
        <v>19</v>
      </c>
      <c r="C10" s="227">
        <v>0.01</v>
      </c>
      <c r="D10" s="165"/>
      <c r="E10" s="235">
        <f>$E$11*$C10</f>
        <v>27.978404467199997</v>
      </c>
      <c r="F10" s="235">
        <f>$F$11*$C10</f>
        <v>0</v>
      </c>
      <c r="G10" s="203">
        <f>C10*$G$11</f>
        <v>2.4542376614583161</v>
      </c>
      <c r="H10" s="275"/>
      <c r="I10" s="266">
        <f>$I$11*$C10</f>
        <v>30.140060428799998</v>
      </c>
      <c r="J10" s="193">
        <f>$J$11*$C10</f>
        <v>0</v>
      </c>
      <c r="K10" s="268">
        <f>C10*$K$11</f>
        <v>2.6438559607539069</v>
      </c>
    </row>
    <row r="11" spans="1:20" ht="18.600000000000001" thickBot="1" x14ac:dyDescent="0.35">
      <c r="B11" s="48" t="s">
        <v>60</v>
      </c>
      <c r="C11" s="228"/>
      <c r="D11" s="64"/>
      <c r="E11" s="198">
        <f>E18-E16-E12-E13-E14-E15</f>
        <v>2797.8404467199998</v>
      </c>
      <c r="F11" s="198">
        <f>F18-F16-F12-F13-F14-F15</f>
        <v>0</v>
      </c>
      <c r="G11" s="191">
        <f>G18-G16-G15-G14-G13-G12</f>
        <v>245.42376614583159</v>
      </c>
      <c r="H11" s="273"/>
      <c r="I11" s="204">
        <f>I18-I16-I12-I13-I14-I15</f>
        <v>3014.0060428799998</v>
      </c>
      <c r="J11" s="191">
        <f>J18-J16-J12-J13-J14-J15</f>
        <v>0</v>
      </c>
      <c r="K11" s="204">
        <f>K18-K16-K15-K14-K13-K12</f>
        <v>264.38559607539071</v>
      </c>
    </row>
    <row r="12" spans="1:20" ht="19.95" customHeight="1" x14ac:dyDescent="0.35">
      <c r="A12" s="241"/>
      <c r="B12" s="194" t="s">
        <v>67</v>
      </c>
      <c r="C12" s="239"/>
      <c r="D12" s="251">
        <v>21.84</v>
      </c>
      <c r="E12" s="185">
        <f>D12*$E$2</f>
        <v>21.84</v>
      </c>
      <c r="F12" s="183">
        <v>0</v>
      </c>
      <c r="G12" s="253">
        <f>$L$3*$E12</f>
        <v>1.91578296</v>
      </c>
      <c r="H12" s="276"/>
      <c r="I12" s="185">
        <f>E12</f>
        <v>21.84</v>
      </c>
      <c r="J12" s="183">
        <v>0</v>
      </c>
      <c r="K12" s="253">
        <f>$L$3*$I12</f>
        <v>1.91578296</v>
      </c>
    </row>
    <row r="13" spans="1:20" ht="19.95" customHeight="1" x14ac:dyDescent="0.35">
      <c r="A13" s="241"/>
      <c r="B13" s="196" t="s">
        <v>64</v>
      </c>
      <c r="C13" s="240"/>
      <c r="D13" s="252">
        <v>54.6</v>
      </c>
      <c r="E13" s="184">
        <f>D13*$E$2</f>
        <v>54.6</v>
      </c>
      <c r="F13" s="182">
        <v>0</v>
      </c>
      <c r="G13" s="254">
        <f>$L$3*$E13</f>
        <v>4.7894574000000008</v>
      </c>
      <c r="H13" s="277"/>
      <c r="I13" s="184">
        <f>E13</f>
        <v>54.6</v>
      </c>
      <c r="J13" s="182">
        <v>0</v>
      </c>
      <c r="K13" s="254">
        <f>$L$3*$I13</f>
        <v>4.7894574000000008</v>
      </c>
    </row>
    <row r="14" spans="1:20" ht="19.95" customHeight="1" x14ac:dyDescent="0.35">
      <c r="A14" s="241"/>
      <c r="B14" s="196" t="s">
        <v>65</v>
      </c>
      <c r="C14" s="240"/>
      <c r="D14" s="252">
        <v>80.64</v>
      </c>
      <c r="E14" s="184">
        <f>D14*$E$2</f>
        <v>80.64</v>
      </c>
      <c r="F14" s="182">
        <v>0</v>
      </c>
      <c r="G14" s="254">
        <f>$L$3*$E14</f>
        <v>7.0736601600000002</v>
      </c>
      <c r="H14" s="277"/>
      <c r="I14" s="184">
        <f>E14</f>
        <v>80.64</v>
      </c>
      <c r="J14" s="182">
        <v>0</v>
      </c>
      <c r="K14" s="254">
        <f>$L$3*$I14</f>
        <v>7.0736601600000002</v>
      </c>
    </row>
    <row r="15" spans="1:20" ht="19.95" customHeight="1" x14ac:dyDescent="0.35">
      <c r="A15" s="241"/>
      <c r="B15" s="195" t="s">
        <v>66</v>
      </c>
      <c r="C15" s="240"/>
      <c r="D15" s="252">
        <v>44.377200000000002</v>
      </c>
      <c r="E15" s="184">
        <f>D15*$E$2</f>
        <v>44.377200000000002</v>
      </c>
      <c r="F15" s="182">
        <v>0</v>
      </c>
      <c r="G15" s="254">
        <f>$L$3*$E15</f>
        <v>3.8927236068000006</v>
      </c>
      <c r="H15" s="277"/>
      <c r="I15" s="184">
        <f>E15</f>
        <v>44.377200000000002</v>
      </c>
      <c r="J15" s="182">
        <v>0</v>
      </c>
      <c r="K15" s="254">
        <f>$L$3*$I15</f>
        <v>3.8927236068000006</v>
      </c>
    </row>
    <row r="16" spans="1:20" ht="18" x14ac:dyDescent="0.35">
      <c r="B16" s="196" t="s">
        <v>23</v>
      </c>
      <c r="C16" s="237">
        <v>0.2</v>
      </c>
      <c r="D16" s="184"/>
      <c r="E16" s="184">
        <f>$E$18*$C16</f>
        <v>749.82441167999991</v>
      </c>
      <c r="F16" s="182">
        <f>$F$18*$C16</f>
        <v>0</v>
      </c>
      <c r="G16" s="254">
        <f>$G$18*$C16</f>
        <v>65.773847568157905</v>
      </c>
      <c r="H16" s="277"/>
      <c r="I16" s="184">
        <f>$I$18*$C16</f>
        <v>803.8658107199999</v>
      </c>
      <c r="J16" s="182">
        <f>$J$18*$C16</f>
        <v>0</v>
      </c>
      <c r="K16" s="254">
        <f>$K$18*$C16</f>
        <v>70.514305050547691</v>
      </c>
    </row>
    <row r="17" spans="1:21" ht="18.600000000000001" thickBot="1" x14ac:dyDescent="0.4">
      <c r="B17" s="107" t="s">
        <v>5</v>
      </c>
      <c r="C17" s="238">
        <v>0</v>
      </c>
      <c r="D17" s="199"/>
      <c r="E17" s="199">
        <f>$E$18*$C17</f>
        <v>0</v>
      </c>
      <c r="F17" s="193">
        <f>$F$18*$C17</f>
        <v>0</v>
      </c>
      <c r="G17" s="255">
        <f>$G$18*$C17</f>
        <v>0</v>
      </c>
      <c r="H17" s="278"/>
      <c r="I17" s="199">
        <f>$I$18*$C17</f>
        <v>0</v>
      </c>
      <c r="J17" s="193">
        <f>$J$18*$C17</f>
        <v>0</v>
      </c>
      <c r="K17" s="255">
        <f>$K$18*$C17</f>
        <v>0</v>
      </c>
    </row>
    <row r="18" spans="1:21" ht="18.600000000000001" thickBot="1" x14ac:dyDescent="0.35">
      <c r="A18" s="241"/>
      <c r="B18" s="49" t="s">
        <v>22</v>
      </c>
      <c r="C18" s="230"/>
      <c r="D18" s="61"/>
      <c r="E18" s="200">
        <f>E23-SUM(E19:E22)</f>
        <v>3749.1220583999993</v>
      </c>
      <c r="F18" s="282">
        <f>F23-SUM(F19:F22)</f>
        <v>0</v>
      </c>
      <c r="G18" s="192">
        <f>G23-G22-G21-G20-G19</f>
        <v>328.86923784078954</v>
      </c>
      <c r="H18" s="279"/>
      <c r="I18" s="192">
        <f>I23-SUM(I19:I22)</f>
        <v>4019.3290535999995</v>
      </c>
      <c r="J18" s="282">
        <f>J23-SUM(J19:J22)</f>
        <v>0</v>
      </c>
      <c r="K18" s="192">
        <f>K23-K22-K21-K20-K19</f>
        <v>352.57152525273841</v>
      </c>
      <c r="L18" s="181"/>
    </row>
    <row r="19" spans="1:21" ht="18" x14ac:dyDescent="0.35">
      <c r="B19" s="47" t="s">
        <v>5</v>
      </c>
      <c r="C19" s="283">
        <v>1.4800000000000001E-2</v>
      </c>
      <c r="D19" s="164"/>
      <c r="E19" s="184">
        <f>C19*E23</f>
        <v>74.91167999999999</v>
      </c>
      <c r="F19" s="183">
        <f>C19*F23</f>
        <v>0</v>
      </c>
      <c r="G19" s="254">
        <f t="shared" ref="G19:G21" si="1">$L$3*($E19+F19)</f>
        <v>6.5711776579199999</v>
      </c>
      <c r="H19" s="280"/>
      <c r="I19" s="197">
        <f>C19*I23</f>
        <v>80.310720000000003</v>
      </c>
      <c r="J19" s="183">
        <f>C19*J23</f>
        <v>0</v>
      </c>
      <c r="K19" s="254">
        <f t="shared" ref="K19:K21" si="2">$L$3*($I19+J19)</f>
        <v>7.044776047680001</v>
      </c>
    </row>
    <row r="20" spans="1:21" ht="18" x14ac:dyDescent="0.35">
      <c r="B20" s="47" t="s">
        <v>26</v>
      </c>
      <c r="C20" s="284">
        <v>8.4501000000000007E-2</v>
      </c>
      <c r="D20" s="164"/>
      <c r="E20" s="184">
        <f>$E$23*$C20</f>
        <v>427.71026159999997</v>
      </c>
      <c r="F20" s="182">
        <f>$F$23*$C20</f>
        <v>0</v>
      </c>
      <c r="G20" s="254">
        <f t="shared" si="1"/>
        <v>37.518316437290402</v>
      </c>
      <c r="H20" s="280"/>
      <c r="I20" s="197">
        <f>$I$23*$C20</f>
        <v>458.53622640000003</v>
      </c>
      <c r="J20" s="182">
        <f t="shared" ref="J20:J21" si="3">$J$23*$C20</f>
        <v>0</v>
      </c>
      <c r="K20" s="254">
        <f t="shared" si="2"/>
        <v>40.222339243581608</v>
      </c>
    </row>
    <row r="21" spans="1:21" ht="18" x14ac:dyDescent="0.35">
      <c r="B21" s="47" t="s">
        <v>3</v>
      </c>
      <c r="C21" s="227">
        <v>0.03</v>
      </c>
      <c r="D21" s="165"/>
      <c r="E21" s="184">
        <f>$E$23*$C21</f>
        <v>151.84799999999998</v>
      </c>
      <c r="F21" s="182">
        <f>$F$23*$C21</f>
        <v>0</v>
      </c>
      <c r="G21" s="254">
        <f t="shared" si="1"/>
        <v>13.319954711999999</v>
      </c>
      <c r="H21" s="280"/>
      <c r="I21" s="197">
        <f>$I$23*$C21</f>
        <v>162.79199999999997</v>
      </c>
      <c r="J21" s="182">
        <f t="shared" si="3"/>
        <v>0</v>
      </c>
      <c r="K21" s="254">
        <f t="shared" si="2"/>
        <v>14.279951447999998</v>
      </c>
    </row>
    <row r="22" spans="1:21" ht="18.600000000000001" thickBot="1" x14ac:dyDescent="0.4">
      <c r="B22" s="107" t="s">
        <v>4</v>
      </c>
      <c r="C22" s="229">
        <v>0.13</v>
      </c>
      <c r="D22" s="168"/>
      <c r="E22" s="199">
        <f>$E$23*$C22</f>
        <v>658.00799999999992</v>
      </c>
      <c r="F22" s="193">
        <f>$F$23*$C22</f>
        <v>0</v>
      </c>
      <c r="G22" s="254">
        <f>$L$3*($E22+F22)</f>
        <v>57.719803751999997</v>
      </c>
      <c r="H22" s="281"/>
      <c r="I22" s="235">
        <f>$I$23*$C22</f>
        <v>705.43200000000002</v>
      </c>
      <c r="J22" s="193">
        <f>$J$23*$C22</f>
        <v>0</v>
      </c>
      <c r="K22" s="254">
        <f>$L$3*($I22+J22)</f>
        <v>61.879789608000003</v>
      </c>
      <c r="U22" s="10"/>
    </row>
    <row r="23" spans="1:21" ht="18.600000000000001" thickBot="1" x14ac:dyDescent="0.4">
      <c r="B23" s="138" t="s">
        <v>27</v>
      </c>
      <c r="C23" s="140"/>
      <c r="D23" s="140"/>
      <c r="E23" s="242">
        <f>IF(K3="ANUAL",E28*M3, E28*M3*0.95)</f>
        <v>5061.5999999999995</v>
      </c>
      <c r="F23" s="258">
        <f>F28*12*0.95</f>
        <v>0</v>
      </c>
      <c r="G23" s="204">
        <f>(E23+F23)*L3</f>
        <v>443.99849039999998</v>
      </c>
      <c r="H23" s="273"/>
      <c r="I23" s="242">
        <f>E32</f>
        <v>5426.4</v>
      </c>
      <c r="J23" s="258">
        <f>F32</f>
        <v>0</v>
      </c>
      <c r="K23" s="204">
        <f>(I23+J23)*L3</f>
        <v>475.99838160000002</v>
      </c>
      <c r="N23" s="83"/>
      <c r="O23" s="83"/>
      <c r="P23" s="83"/>
      <c r="Q23" s="83"/>
      <c r="U23" s="10"/>
    </row>
    <row r="24" spans="1:21" s="260" customFormat="1" ht="18.600000000000001" thickBot="1" x14ac:dyDescent="0.4">
      <c r="B24" s="261"/>
      <c r="C24" s="262"/>
      <c r="D24" s="262"/>
      <c r="E24" s="307">
        <f>SUM(E23:F23)</f>
        <v>5061.5999999999995</v>
      </c>
      <c r="F24" s="308"/>
      <c r="G24" s="259"/>
      <c r="H24" s="259"/>
      <c r="I24" s="307">
        <f>SUM(I23:J23)</f>
        <v>5426.4</v>
      </c>
      <c r="J24" s="308"/>
      <c r="K24" s="259"/>
      <c r="N24" s="263"/>
      <c r="O24" s="263"/>
      <c r="P24" s="263"/>
      <c r="Q24" s="263"/>
      <c r="U24" s="264"/>
    </row>
    <row r="25" spans="1:21" x14ac:dyDescent="0.3">
      <c r="E25" s="285">
        <f>E23/E18</f>
        <v>1.3500760767869271</v>
      </c>
      <c r="G25" s="285">
        <f>G23/G18</f>
        <v>1.3500760767869271</v>
      </c>
      <c r="I25" s="285">
        <f>I23/I18</f>
        <v>1.3500760767869271</v>
      </c>
      <c r="K25" s="285">
        <f>K23/K18</f>
        <v>1.3500760767869269</v>
      </c>
    </row>
    <row r="26" spans="1:21" ht="14.4" thickBot="1" x14ac:dyDescent="0.35">
      <c r="E26" s="1"/>
      <c r="F26" s="1"/>
      <c r="G26" s="1"/>
    </row>
    <row r="27" spans="1:21" ht="16.2" thickBot="1" x14ac:dyDescent="0.35">
      <c r="E27" s="206" t="s">
        <v>68</v>
      </c>
      <c r="F27" s="206" t="s">
        <v>69</v>
      </c>
      <c r="G27" s="206" t="s">
        <v>72</v>
      </c>
    </row>
    <row r="28" spans="1:21" ht="18.600000000000001" thickBot="1" x14ac:dyDescent="0.4">
      <c r="B28" s="249" t="str">
        <f>"Prima " &amp; K3 &amp;" cálculo base:"</f>
        <v>Prima MENSUAL cálculo base:</v>
      </c>
      <c r="C28" s="298"/>
      <c r="D28" s="299"/>
      <c r="E28" s="244">
        <v>444</v>
      </c>
      <c r="F28" s="256">
        <v>0</v>
      </c>
      <c r="G28" s="204">
        <f>E28+F28</f>
        <v>444</v>
      </c>
      <c r="I28" s="285"/>
      <c r="K28" s="285"/>
    </row>
    <row r="29" spans="1:21" ht="14.4" thickBot="1" x14ac:dyDescent="0.35">
      <c r="B29" s="246"/>
      <c r="C29" s="247"/>
      <c r="D29" s="247"/>
      <c r="E29" s="248"/>
      <c r="F29" s="257"/>
    </row>
    <row r="30" spans="1:21" ht="18.600000000000001" thickBot="1" x14ac:dyDescent="0.4">
      <c r="B30" s="249" t="str">
        <f>"Prima deseada "&amp; K3 &amp;":"</f>
        <v>Prima deseada MENSUAL:</v>
      </c>
      <c r="C30" s="298"/>
      <c r="D30" s="299"/>
      <c r="E30" s="245">
        <v>476</v>
      </c>
      <c r="F30" s="256">
        <v>0</v>
      </c>
      <c r="G30" s="204">
        <f>E30+F30</f>
        <v>476</v>
      </c>
    </row>
    <row r="31" spans="1:21" ht="18.600000000000001" thickBot="1" x14ac:dyDescent="0.4">
      <c r="B31" s="250" t="s">
        <v>63</v>
      </c>
      <c r="C31" s="298"/>
      <c r="D31" s="299"/>
      <c r="E31" s="243">
        <f>E30*M3</f>
        <v>5712</v>
      </c>
      <c r="F31" s="243">
        <f>F30*M3</f>
        <v>0</v>
      </c>
      <c r="G31" s="204">
        <f>E31+F31</f>
        <v>5712</v>
      </c>
    </row>
    <row r="32" spans="1:21" ht="18.600000000000001" thickBot="1" x14ac:dyDescent="0.4">
      <c r="B32" s="250" t="s">
        <v>62</v>
      </c>
      <c r="C32" s="300">
        <v>0.05</v>
      </c>
      <c r="D32" s="299"/>
      <c r="E32" s="204">
        <f>IF(K3="ANUAL",E31,E31*0.95)</f>
        <v>5426.4</v>
      </c>
      <c r="F32" s="204">
        <f>F31*0.95</f>
        <v>0</v>
      </c>
      <c r="G32" s="204">
        <f>E32+F32</f>
        <v>5426.4</v>
      </c>
    </row>
  </sheetData>
  <mergeCells count="12">
    <mergeCell ref="O2:P2"/>
    <mergeCell ref="C28:D28"/>
    <mergeCell ref="C30:D30"/>
    <mergeCell ref="C32:D32"/>
    <mergeCell ref="C31:D31"/>
    <mergeCell ref="E3:F3"/>
    <mergeCell ref="E2:F2"/>
    <mergeCell ref="C2:D2"/>
    <mergeCell ref="E24:F24"/>
    <mergeCell ref="I3:J3"/>
    <mergeCell ref="I2:J2"/>
    <mergeCell ref="I24:J24"/>
  </mergeCells>
  <dataValidations count="1">
    <dataValidation showInputMessage="1" showErrorMessage="1" sqref="D7:D10 D4:D5 C12:D15 C17" xr:uid="{FC859DCF-9047-4EDA-9C33-CB22B93AB11E}"/>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showInputMessage="1" showErrorMessage="1" xr:uid="{92CB1F60-FACC-46EF-A4E7-D7F325DC4D04}">
          <x14:formula1>
            <xm:f>Hoja1!$B$2:$B$3</xm:f>
          </x14:formula1>
          <xm:sqref>C7:C10 A4:A10 C4:C5 C16</xm:sqref>
        </x14:dataValidation>
        <x14:dataValidation type="list" allowBlank="1" showInputMessage="1" showErrorMessage="1" xr:uid="{10CF0FF0-65CA-4A4E-AC85-81F411FC6C64}">
          <x14:formula1>
            <xm:f>FRECUENCIAS!$A$3:$A$7</xm:f>
          </x14:formula1>
          <xm:sqref>K3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3"/>
  <sheetViews>
    <sheetView workbookViewId="0">
      <selection activeCell="B4" sqref="B4"/>
    </sheetView>
  </sheetViews>
  <sheetFormatPr baseColWidth="10" defaultColWidth="11.44140625" defaultRowHeight="14.4" x14ac:dyDescent="0.3"/>
  <sheetData>
    <row r="2" spans="2:2" x14ac:dyDescent="0.3">
      <c r="B2" t="s">
        <v>6</v>
      </c>
    </row>
    <row r="3" spans="2:2" x14ac:dyDescent="0.3">
      <c r="B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FRECUENCIAS</vt:lpstr>
      <vt:lpstr>INFO</vt:lpstr>
      <vt:lpstr>CALCULO SALUD</vt:lpstr>
      <vt:lpstr>P. RIESGO PARA DISENADOR</vt:lpstr>
      <vt:lpstr>P. DESEADA COMERCIAL</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Noto Issa</dc:creator>
  <cp:lastModifiedBy>George Noto</cp:lastModifiedBy>
  <cp:lastPrinted>2017-07-05T21:57:40Z</cp:lastPrinted>
  <dcterms:created xsi:type="dcterms:W3CDTF">2016-07-21T13:31:49Z</dcterms:created>
  <dcterms:modified xsi:type="dcterms:W3CDTF">2026-06-10T20:38:17Z</dcterms:modified>
</cp:coreProperties>
</file>