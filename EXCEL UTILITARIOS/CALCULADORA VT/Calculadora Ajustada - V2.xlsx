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3.xml" ContentType="application/vnd.ms-excel.threadedcomments+xml"/>
  <Override PartName="/xl/threadedComments/threadedComment2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  <Override PartName="/xl/threadedComments/threadedComment7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zalles\Desktop\"/>
    </mc:Choice>
  </mc:AlternateContent>
  <xr:revisionPtr revIDLastSave="0" documentId="13_ncr:1_{BD8C5738-9FB8-44B5-AB9E-D031719EF5AF}" xr6:coauthVersionLast="47" xr6:coauthVersionMax="47" xr10:uidLastSave="{00000000-0000-0000-0000-000000000000}"/>
  <bookViews>
    <workbookView xWindow="-120" yWindow="-120" windowWidth="29040" windowHeight="15720" tabRatio="753" xr2:uid="{D97F27DE-0667-4CF9-939D-D8FEDA61A5EC}"/>
  </bookViews>
  <sheets>
    <sheet name="Emision" sheetId="2" r:id="rId1"/>
    <sheet name="Exclusion asegurado" sheetId="14" r:id="rId2"/>
    <sheet name="Inclusion cob" sheetId="12" r:id="rId3"/>
    <sheet name="Ingreso carga" sheetId="10" r:id="rId4"/>
    <sheet name="Aum_Dism Cap" sheetId="15" r:id="rId5"/>
    <sheet name="Ejemplo2 dev neta " sheetId="11" r:id="rId6"/>
    <sheet name="Ejemplo2 exc cob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" i="2" l="1"/>
  <c r="N10" i="14"/>
  <c r="N9" i="14"/>
  <c r="N8" i="14"/>
  <c r="N7" i="14"/>
  <c r="N6" i="14"/>
  <c r="N5" i="14"/>
  <c r="N3" i="14"/>
  <c r="M11" i="14"/>
  <c r="M10" i="14"/>
  <c r="M9" i="14"/>
  <c r="M8" i="14"/>
  <c r="M7" i="14"/>
  <c r="M6" i="14"/>
  <c r="M5" i="14"/>
  <c r="M3" i="14"/>
  <c r="V3" i="12"/>
  <c r="O10" i="12"/>
  <c r="O9" i="12"/>
  <c r="O8" i="12"/>
  <c r="O7" i="12"/>
  <c r="O6" i="12"/>
  <c r="O5" i="12"/>
  <c r="O3" i="12"/>
  <c r="N11" i="12"/>
  <c r="N10" i="12"/>
  <c r="N9" i="12"/>
  <c r="N8" i="12"/>
  <c r="N7" i="12"/>
  <c r="N6" i="12"/>
  <c r="N5" i="12"/>
  <c r="N3" i="12"/>
  <c r="B8" i="2" l="1"/>
  <c r="H3" i="2" l="1"/>
  <c r="E3" i="14"/>
  <c r="F3" i="14" s="1"/>
  <c r="E30" i="14"/>
  <c r="E20" i="14"/>
  <c r="K3" i="12"/>
  <c r="I3" i="2" l="1"/>
  <c r="J3" i="2" s="1"/>
  <c r="B12" i="2"/>
  <c r="U3" i="2" l="1"/>
  <c r="X3" i="2"/>
  <c r="V3" i="2"/>
  <c r="W3" i="2"/>
  <c r="Q3" i="2"/>
  <c r="L3" i="2"/>
  <c r="V11" i="10"/>
  <c r="K24" i="10"/>
  <c r="K23" i="10"/>
  <c r="M11" i="10"/>
  <c r="F11" i="10"/>
  <c r="F10" i="10"/>
  <c r="F9" i="10"/>
  <c r="F8" i="10"/>
  <c r="F7" i="10"/>
  <c r="F6" i="10"/>
  <c r="F5" i="10"/>
  <c r="F3" i="10"/>
  <c r="F17" i="10"/>
  <c r="G17" i="10" s="1"/>
  <c r="R4" i="15"/>
  <c r="R5" i="15"/>
  <c r="R7" i="15" s="1"/>
  <c r="R6" i="15"/>
  <c r="P1" i="15"/>
  <c r="Q1" i="15"/>
  <c r="R1" i="15"/>
  <c r="S3" i="15"/>
  <c r="J19" i="15"/>
  <c r="N19" i="14"/>
  <c r="N18" i="14"/>
  <c r="N17" i="14"/>
  <c r="AA19" i="14"/>
  <c r="E5" i="14"/>
  <c r="F5" i="14" s="1"/>
  <c r="F4" i="14"/>
  <c r="E10" i="14"/>
  <c r="F10" i="14" s="1"/>
  <c r="E9" i="14"/>
  <c r="F9" i="14" s="1"/>
  <c r="E8" i="14"/>
  <c r="F8" i="14" s="1"/>
  <c r="E7" i="14"/>
  <c r="F7" i="14" s="1"/>
  <c r="E6" i="14"/>
  <c r="F6" i="14" s="1"/>
  <c r="L6" i="14" s="1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3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M12" i="12"/>
  <c r="N12" i="12" s="1"/>
  <c r="E10" i="12"/>
  <c r="E9" i="12"/>
  <c r="E8" i="12"/>
  <c r="E7" i="12"/>
  <c r="E6" i="12"/>
  <c r="E5" i="12"/>
  <c r="E3" i="12"/>
  <c r="L15" i="12"/>
  <c r="L14" i="12"/>
  <c r="N17" i="12"/>
  <c r="N16" i="12"/>
  <c r="N15" i="12"/>
  <c r="H8" i="2"/>
  <c r="I8" i="2" s="1"/>
  <c r="J8" i="2" s="1"/>
  <c r="Q8" i="2" l="1"/>
  <c r="W8" i="2"/>
  <c r="U8" i="2"/>
  <c r="V8" i="2"/>
  <c r="X8" i="2"/>
  <c r="F11" i="14"/>
  <c r="M17" i="10"/>
  <c r="N17" i="10" s="1"/>
  <c r="R8" i="15"/>
  <c r="P8" i="2"/>
  <c r="L5" i="14"/>
  <c r="G4" i="15"/>
  <c r="G5" i="15"/>
  <c r="G6" i="15"/>
  <c r="M6" i="15" s="1"/>
  <c r="G7" i="15"/>
  <c r="G8" i="15"/>
  <c r="G9" i="15"/>
  <c r="G10" i="15"/>
  <c r="G11" i="15"/>
  <c r="G12" i="15"/>
  <c r="G13" i="15"/>
  <c r="G14" i="15"/>
  <c r="G15" i="15"/>
  <c r="G16" i="15"/>
  <c r="G17" i="15"/>
  <c r="G18" i="15"/>
  <c r="L4" i="15"/>
  <c r="M4" i="15" s="1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3" i="15"/>
  <c r="G3" i="15"/>
  <c r="C21" i="15"/>
  <c r="C20" i="15"/>
  <c r="L7" i="14"/>
  <c r="C22" i="10"/>
  <c r="C21" i="10"/>
  <c r="G11" i="10"/>
  <c r="F14" i="10"/>
  <c r="G14" i="10" s="1"/>
  <c r="M14" i="10" s="1"/>
  <c r="N14" i="10" s="1"/>
  <c r="F15" i="10"/>
  <c r="G15" i="10" s="1"/>
  <c r="M15" i="10" s="1"/>
  <c r="N15" i="10" s="1"/>
  <c r="F16" i="10"/>
  <c r="G16" i="10" s="1"/>
  <c r="M16" i="10" s="1"/>
  <c r="N16" i="10" s="1"/>
  <c r="F18" i="10"/>
  <c r="G18" i="10" s="1"/>
  <c r="M18" i="10" s="1"/>
  <c r="N18" i="10" s="1"/>
  <c r="F19" i="10"/>
  <c r="G19" i="10" s="1"/>
  <c r="M19" i="10" s="1"/>
  <c r="N19" i="10" s="1"/>
  <c r="F13" i="10"/>
  <c r="G13" i="10" s="1"/>
  <c r="M13" i="10" s="1"/>
  <c r="R13" i="10" s="1"/>
  <c r="G12" i="10"/>
  <c r="B11" i="12"/>
  <c r="E5" i="11"/>
  <c r="H10" i="13"/>
  <c r="I10" i="13" s="1"/>
  <c r="P10" i="13" s="1"/>
  <c r="H9" i="13"/>
  <c r="I9" i="13" s="1"/>
  <c r="H8" i="13"/>
  <c r="I8" i="13" s="1"/>
  <c r="H7" i="13"/>
  <c r="I7" i="13" s="1"/>
  <c r="H6" i="13"/>
  <c r="I6" i="13" s="1"/>
  <c r="P6" i="13" s="1"/>
  <c r="H5" i="13"/>
  <c r="I5" i="13" s="1"/>
  <c r="G3" i="13"/>
  <c r="F3" i="13"/>
  <c r="T11" i="10" l="1"/>
  <c r="U17" i="10"/>
  <c r="O17" i="10"/>
  <c r="M8" i="15"/>
  <c r="M5" i="15"/>
  <c r="S5" i="15" s="1"/>
  <c r="Y5" i="15" s="1"/>
  <c r="M7" i="15"/>
  <c r="S7" i="15" s="1"/>
  <c r="T7" i="15" s="1"/>
  <c r="M10" i="15"/>
  <c r="S10" i="15" s="1"/>
  <c r="T10" i="15" s="1"/>
  <c r="M9" i="15"/>
  <c r="S9" i="15" s="1"/>
  <c r="T9" i="15" s="1"/>
  <c r="T8" i="2"/>
  <c r="S8" i="2"/>
  <c r="R8" i="2"/>
  <c r="O5" i="13"/>
  <c r="M13" i="15"/>
  <c r="S13" i="15" s="1"/>
  <c r="M12" i="15"/>
  <c r="M11" i="15"/>
  <c r="S11" i="15" s="1"/>
  <c r="M14" i="15"/>
  <c r="S14" i="15" s="1"/>
  <c r="T14" i="15" s="1"/>
  <c r="S6" i="15"/>
  <c r="T6" i="15" s="1"/>
  <c r="M18" i="15"/>
  <c r="S18" i="15" s="1"/>
  <c r="T18" i="15" s="1"/>
  <c r="M17" i="15"/>
  <c r="S17" i="15" s="1"/>
  <c r="T17" i="15" s="1"/>
  <c r="S8" i="15"/>
  <c r="T8" i="15" s="1"/>
  <c r="M16" i="15"/>
  <c r="S16" i="15" s="1"/>
  <c r="T16" i="15" s="1"/>
  <c r="M15" i="15"/>
  <c r="S15" i="15" s="1"/>
  <c r="T15" i="15" s="1"/>
  <c r="M3" i="15"/>
  <c r="Q3" i="15" s="1"/>
  <c r="L9" i="14"/>
  <c r="K3" i="14"/>
  <c r="J3" i="14"/>
  <c r="L3" i="14" s="1"/>
  <c r="L8" i="14"/>
  <c r="L10" i="14"/>
  <c r="T10" i="14" s="1"/>
  <c r="U18" i="10"/>
  <c r="O18" i="10"/>
  <c r="U14" i="10"/>
  <c r="O14" i="10"/>
  <c r="U15" i="10"/>
  <c r="O15" i="10"/>
  <c r="U16" i="10"/>
  <c r="O16" i="10"/>
  <c r="U19" i="10"/>
  <c r="O19" i="10"/>
  <c r="S13" i="10"/>
  <c r="T13" i="10"/>
  <c r="N13" i="10"/>
  <c r="Q13" i="10"/>
  <c r="N11" i="10"/>
  <c r="Q11" i="10"/>
  <c r="P7" i="13"/>
  <c r="J7" i="13"/>
  <c r="J8" i="13"/>
  <c r="P8" i="13"/>
  <c r="J9" i="13"/>
  <c r="P9" i="13"/>
  <c r="P5" i="13"/>
  <c r="J5" i="13"/>
  <c r="H3" i="13"/>
  <c r="L5" i="13"/>
  <c r="J10" i="13"/>
  <c r="M5" i="13"/>
  <c r="N5" i="13"/>
  <c r="J6" i="13"/>
  <c r="P3" i="14" l="1"/>
  <c r="S11" i="10"/>
  <c r="R11" i="10"/>
  <c r="Y17" i="10"/>
  <c r="X17" i="10"/>
  <c r="W17" i="10"/>
  <c r="V17" i="10"/>
  <c r="Y8" i="2"/>
  <c r="R3" i="15"/>
  <c r="Y3" i="15" s="1"/>
  <c r="L11" i="14"/>
  <c r="T5" i="15"/>
  <c r="AA5" i="15" s="1"/>
  <c r="X5" i="15"/>
  <c r="W5" i="15"/>
  <c r="Z5" i="15"/>
  <c r="U10" i="15"/>
  <c r="AA10" i="15"/>
  <c r="U8" i="15"/>
  <c r="AA8" i="15"/>
  <c r="AA15" i="15"/>
  <c r="U15" i="15"/>
  <c r="AA7" i="15"/>
  <c r="U7" i="15"/>
  <c r="AA16" i="15"/>
  <c r="U16" i="15"/>
  <c r="U6" i="15"/>
  <c r="AA6" i="15"/>
  <c r="AA9" i="15"/>
  <c r="U9" i="15"/>
  <c r="U14" i="15"/>
  <c r="AA14" i="15"/>
  <c r="AA17" i="15"/>
  <c r="U17" i="15"/>
  <c r="T13" i="15"/>
  <c r="X13" i="15"/>
  <c r="W13" i="15"/>
  <c r="Z13" i="15"/>
  <c r="Y13" i="15"/>
  <c r="U18" i="15"/>
  <c r="AA18" i="15"/>
  <c r="Z11" i="15"/>
  <c r="Y11" i="15"/>
  <c r="X11" i="15"/>
  <c r="W11" i="15"/>
  <c r="T11" i="15"/>
  <c r="T8" i="14"/>
  <c r="T6" i="14"/>
  <c r="U6" i="14"/>
  <c r="T9" i="14"/>
  <c r="T7" i="14"/>
  <c r="P5" i="14"/>
  <c r="S5" i="14"/>
  <c r="R5" i="14"/>
  <c r="Q5" i="14"/>
  <c r="U11" i="10"/>
  <c r="U20" i="10" s="1"/>
  <c r="O11" i="10"/>
  <c r="U13" i="10"/>
  <c r="O13" i="10"/>
  <c r="X19" i="10"/>
  <c r="W19" i="10"/>
  <c r="V19" i="10"/>
  <c r="Y19" i="10"/>
  <c r="X16" i="10"/>
  <c r="W16" i="10"/>
  <c r="V16" i="10"/>
  <c r="Y16" i="10"/>
  <c r="Y18" i="10"/>
  <c r="W18" i="10"/>
  <c r="V18" i="10"/>
  <c r="X18" i="10"/>
  <c r="Y15" i="10"/>
  <c r="X15" i="10"/>
  <c r="W15" i="10"/>
  <c r="V15" i="10"/>
  <c r="V14" i="10"/>
  <c r="W14" i="10"/>
  <c r="Y14" i="10"/>
  <c r="X14" i="10"/>
  <c r="T9" i="13"/>
  <c r="S9" i="13"/>
  <c r="R9" i="13"/>
  <c r="Q9" i="13"/>
  <c r="T10" i="13"/>
  <c r="S10" i="13"/>
  <c r="R10" i="13"/>
  <c r="Q10" i="13"/>
  <c r="U10" i="13" s="1"/>
  <c r="U9" i="13"/>
  <c r="T8" i="13"/>
  <c r="S8" i="13"/>
  <c r="R8" i="13"/>
  <c r="Q8" i="13"/>
  <c r="U8" i="13" s="1"/>
  <c r="T7" i="13"/>
  <c r="Q7" i="13"/>
  <c r="S7" i="13"/>
  <c r="R7" i="13"/>
  <c r="K12" i="13"/>
  <c r="O3" i="13"/>
  <c r="N3" i="13"/>
  <c r="M3" i="13"/>
  <c r="L3" i="13"/>
  <c r="K11" i="13"/>
  <c r="K14" i="13"/>
  <c r="I3" i="13"/>
  <c r="K13" i="13"/>
  <c r="R5" i="13"/>
  <c r="Q5" i="13"/>
  <c r="S5" i="13"/>
  <c r="T5" i="13"/>
  <c r="Q6" i="13"/>
  <c r="S6" i="13"/>
  <c r="R6" i="13"/>
  <c r="T6" i="13"/>
  <c r="W3" i="14" l="1"/>
  <c r="Z17" i="10"/>
  <c r="O11" i="14"/>
  <c r="O14" i="14"/>
  <c r="O13" i="14"/>
  <c r="T3" i="14"/>
  <c r="Q3" i="14"/>
  <c r="R3" i="14"/>
  <c r="O12" i="14"/>
  <c r="S3" i="14"/>
  <c r="U6" i="13"/>
  <c r="U5" i="13"/>
  <c r="U7" i="13"/>
  <c r="U5" i="15"/>
  <c r="AB5" i="15" s="1"/>
  <c r="X3" i="15"/>
  <c r="V22" i="15"/>
  <c r="V19" i="15"/>
  <c r="V21" i="15"/>
  <c r="V20" i="15"/>
  <c r="W3" i="15"/>
  <c r="T3" i="15"/>
  <c r="AA3" i="15" s="1"/>
  <c r="Z3" i="15"/>
  <c r="AB17" i="15"/>
  <c r="AD17" i="15"/>
  <c r="AC17" i="15"/>
  <c r="AE17" i="15"/>
  <c r="AD14" i="15"/>
  <c r="AE14" i="15"/>
  <c r="AC14" i="15"/>
  <c r="AB14" i="15"/>
  <c r="U13" i="15"/>
  <c r="AA13" i="15"/>
  <c r="AE9" i="15"/>
  <c r="AD9" i="15"/>
  <c r="AC9" i="15"/>
  <c r="AB9" i="15"/>
  <c r="AE6" i="15"/>
  <c r="AC6" i="15"/>
  <c r="AB6" i="15"/>
  <c r="AD6" i="15"/>
  <c r="AA11" i="15"/>
  <c r="U11" i="15"/>
  <c r="AB16" i="15"/>
  <c r="AD16" i="15"/>
  <c r="AC16" i="15"/>
  <c r="AE16" i="15"/>
  <c r="AE7" i="15"/>
  <c r="AD7" i="15"/>
  <c r="AC7" i="15"/>
  <c r="AB7" i="15"/>
  <c r="AD15" i="15"/>
  <c r="AC15" i="15"/>
  <c r="AB15" i="15"/>
  <c r="AE15" i="15"/>
  <c r="AB18" i="15"/>
  <c r="AE18" i="15"/>
  <c r="AD18" i="15"/>
  <c r="AC18" i="15"/>
  <c r="AE8" i="15"/>
  <c r="AC8" i="15"/>
  <c r="AB8" i="15"/>
  <c r="AD8" i="15"/>
  <c r="AE10" i="15"/>
  <c r="AC10" i="15"/>
  <c r="AB10" i="15"/>
  <c r="AD10" i="15"/>
  <c r="V7" i="14"/>
  <c r="U7" i="14"/>
  <c r="W7" i="14"/>
  <c r="X7" i="14"/>
  <c r="U10" i="14"/>
  <c r="X10" i="14"/>
  <c r="W10" i="14"/>
  <c r="V10" i="14"/>
  <c r="U9" i="14"/>
  <c r="X9" i="14"/>
  <c r="W9" i="14"/>
  <c r="V9" i="14"/>
  <c r="X6" i="14"/>
  <c r="W6" i="14"/>
  <c r="V6" i="14"/>
  <c r="W8" i="14"/>
  <c r="V8" i="14"/>
  <c r="U8" i="14"/>
  <c r="X8" i="14"/>
  <c r="N11" i="14"/>
  <c r="U11" i="14" s="1"/>
  <c r="T5" i="14"/>
  <c r="Z15" i="10"/>
  <c r="Z18" i="10"/>
  <c r="Z16" i="10"/>
  <c r="Z19" i="10"/>
  <c r="Z14" i="10"/>
  <c r="Y13" i="10"/>
  <c r="X13" i="10"/>
  <c r="W13" i="10"/>
  <c r="V13" i="10"/>
  <c r="X11" i="10"/>
  <c r="W11" i="10"/>
  <c r="V20" i="10"/>
  <c r="Y11" i="10"/>
  <c r="K15" i="13"/>
  <c r="J3" i="13"/>
  <c r="P3" i="13"/>
  <c r="Y6" i="14" l="1"/>
  <c r="Y9" i="14"/>
  <c r="Y7" i="14"/>
  <c r="Y8" i="14"/>
  <c r="Y10" i="14"/>
  <c r="AF9" i="15"/>
  <c r="AF17" i="15"/>
  <c r="AC5" i="15"/>
  <c r="O15" i="14"/>
  <c r="T12" i="14"/>
  <c r="AF15" i="15"/>
  <c r="AE5" i="15"/>
  <c r="AD5" i="15"/>
  <c r="AF7" i="15"/>
  <c r="U3" i="15"/>
  <c r="AE3" i="15" s="1"/>
  <c r="V23" i="15"/>
  <c r="AF14" i="15"/>
  <c r="AF10" i="15"/>
  <c r="AF8" i="15"/>
  <c r="AF6" i="15"/>
  <c r="AF16" i="15"/>
  <c r="AF18" i="15"/>
  <c r="AE13" i="15"/>
  <c r="AD13" i="15"/>
  <c r="AC13" i="15"/>
  <c r="AB13" i="15"/>
  <c r="AC11" i="15"/>
  <c r="AB11" i="15"/>
  <c r="AE11" i="15"/>
  <c r="AD11" i="15"/>
  <c r="X5" i="14"/>
  <c r="W5" i="14"/>
  <c r="V5" i="14"/>
  <c r="U5" i="14"/>
  <c r="Z13" i="10"/>
  <c r="Z11" i="10"/>
  <c r="K19" i="13"/>
  <c r="K17" i="13"/>
  <c r="K16" i="13"/>
  <c r="T3" i="13"/>
  <c r="K18" i="13"/>
  <c r="S3" i="13"/>
  <c r="Q3" i="13"/>
  <c r="J11" i="13"/>
  <c r="R3" i="13"/>
  <c r="U3" i="14" l="1"/>
  <c r="U12" i="14" s="1"/>
  <c r="W12" i="14"/>
  <c r="V3" i="14"/>
  <c r="V12" i="14" s="1"/>
  <c r="X3" i="14"/>
  <c r="X12" i="14" s="1"/>
  <c r="O18" i="14"/>
  <c r="O16" i="14"/>
  <c r="O17" i="14"/>
  <c r="O19" i="14"/>
  <c r="U3" i="13"/>
  <c r="U11" i="13" s="1"/>
  <c r="U12" i="13" s="1"/>
  <c r="AF13" i="15"/>
  <c r="AF5" i="15"/>
  <c r="V24" i="15"/>
  <c r="V27" i="15"/>
  <c r="V25" i="15"/>
  <c r="V26" i="15"/>
  <c r="AD3" i="15"/>
  <c r="AC3" i="15"/>
  <c r="AB3" i="15"/>
  <c r="U19" i="15"/>
  <c r="AE19" i="15" s="1"/>
  <c r="AF11" i="15"/>
  <c r="Y5" i="14"/>
  <c r="T11" i="13"/>
  <c r="R11" i="13"/>
  <c r="S11" i="13"/>
  <c r="Q11" i="13"/>
  <c r="X11" i="14" l="1"/>
  <c r="Y3" i="14"/>
  <c r="Y11" i="14" s="1"/>
  <c r="W11" i="14"/>
  <c r="V11" i="14"/>
  <c r="AD19" i="15"/>
  <c r="AC19" i="15"/>
  <c r="AF3" i="15"/>
  <c r="AF19" i="15" s="1"/>
  <c r="AB19" i="15"/>
  <c r="F5" i="12"/>
  <c r="F3" i="12"/>
  <c r="F10" i="12"/>
  <c r="F9" i="12"/>
  <c r="M9" i="12" s="1"/>
  <c r="F8" i="12"/>
  <c r="M8" i="12" s="1"/>
  <c r="F7" i="12"/>
  <c r="F6" i="12"/>
  <c r="F4" i="12"/>
  <c r="F11" i="12" l="1"/>
  <c r="M11" i="12" s="1"/>
  <c r="U11" i="12" s="1"/>
  <c r="M5" i="12"/>
  <c r="T5" i="12" s="1"/>
  <c r="S14" i="12"/>
  <c r="L3" i="12"/>
  <c r="M10" i="12"/>
  <c r="M6" i="12"/>
  <c r="M7" i="12"/>
  <c r="E10" i="11"/>
  <c r="F10" i="11" s="1"/>
  <c r="E9" i="11"/>
  <c r="F9" i="11" s="1"/>
  <c r="E8" i="11"/>
  <c r="F8" i="11" s="1"/>
  <c r="E7" i="11"/>
  <c r="F7" i="11" s="1"/>
  <c r="E6" i="11"/>
  <c r="F6" i="11" s="1"/>
  <c r="F5" i="11"/>
  <c r="F4" i="11"/>
  <c r="E3" i="11"/>
  <c r="F3" i="11" s="1"/>
  <c r="G10" i="10"/>
  <c r="M10" i="10" s="1"/>
  <c r="N10" i="10" s="1"/>
  <c r="G9" i="10"/>
  <c r="M9" i="10" s="1"/>
  <c r="N9" i="10" s="1"/>
  <c r="U9" i="10" s="1"/>
  <c r="G8" i="10"/>
  <c r="M8" i="10" s="1"/>
  <c r="N8" i="10" s="1"/>
  <c r="G7" i="10"/>
  <c r="M7" i="10" s="1"/>
  <c r="N7" i="10" s="1"/>
  <c r="G6" i="10"/>
  <c r="M6" i="10" s="1"/>
  <c r="N6" i="10" s="1"/>
  <c r="U6" i="10" s="1"/>
  <c r="G4" i="10"/>
  <c r="G5" i="10"/>
  <c r="M5" i="10" s="1"/>
  <c r="S5" i="10" s="1"/>
  <c r="G3" i="10"/>
  <c r="U5" i="12" l="1"/>
  <c r="Q5" i="12"/>
  <c r="R5" i="12"/>
  <c r="S5" i="12"/>
  <c r="M3" i="12"/>
  <c r="R3" i="12" s="1"/>
  <c r="U7" i="12"/>
  <c r="U10" i="12"/>
  <c r="U6" i="12"/>
  <c r="U9" i="12"/>
  <c r="U8" i="12"/>
  <c r="L9" i="11"/>
  <c r="M9" i="11" s="1"/>
  <c r="L10" i="11"/>
  <c r="M10" i="11" s="1"/>
  <c r="L7" i="11"/>
  <c r="M7" i="11" s="1"/>
  <c r="L8" i="11"/>
  <c r="M8" i="11" s="1"/>
  <c r="L6" i="11"/>
  <c r="M6" i="11" s="1"/>
  <c r="K3" i="11"/>
  <c r="L5" i="11"/>
  <c r="J3" i="11"/>
  <c r="L3" i="10"/>
  <c r="K3" i="10"/>
  <c r="U8" i="10"/>
  <c r="O8" i="10"/>
  <c r="Y8" i="10" s="1"/>
  <c r="N5" i="10"/>
  <c r="U5" i="10" s="1"/>
  <c r="T5" i="10"/>
  <c r="O7" i="10"/>
  <c r="U7" i="10"/>
  <c r="U10" i="10"/>
  <c r="O10" i="10"/>
  <c r="O9" i="10"/>
  <c r="Q5" i="10"/>
  <c r="R5" i="10"/>
  <c r="O6" i="10"/>
  <c r="H11" i="2"/>
  <c r="I11" i="2" s="1"/>
  <c r="J11" i="2" s="1"/>
  <c r="H10" i="2"/>
  <c r="I10" i="2" s="1"/>
  <c r="J10" i="2" s="1"/>
  <c r="H9" i="2"/>
  <c r="I9" i="2" s="1"/>
  <c r="J9" i="2" s="1"/>
  <c r="H7" i="2"/>
  <c r="I7" i="2" s="1"/>
  <c r="J7" i="2" s="1"/>
  <c r="Q10" i="2" l="1"/>
  <c r="U10" i="2"/>
  <c r="V10" i="2"/>
  <c r="W10" i="2"/>
  <c r="X10" i="2"/>
  <c r="Q7" i="2"/>
  <c r="X7" i="2"/>
  <c r="W7" i="2"/>
  <c r="U7" i="2"/>
  <c r="V7" i="2"/>
  <c r="Q9" i="2"/>
  <c r="X9" i="2"/>
  <c r="W9" i="2"/>
  <c r="U9" i="2"/>
  <c r="V9" i="2"/>
  <c r="Q11" i="2"/>
  <c r="X11" i="2"/>
  <c r="V11" i="2"/>
  <c r="W11" i="2"/>
  <c r="U11" i="2"/>
  <c r="W5" i="12"/>
  <c r="R12" i="12"/>
  <c r="Q3" i="12"/>
  <c r="Q12" i="12" s="1"/>
  <c r="P13" i="12"/>
  <c r="P14" i="12"/>
  <c r="S3" i="12"/>
  <c r="S12" i="12" s="1"/>
  <c r="M3" i="10"/>
  <c r="P20" i="10" s="1"/>
  <c r="P11" i="2"/>
  <c r="P7" i="2"/>
  <c r="P10" i="2"/>
  <c r="P9" i="2"/>
  <c r="T3" i="12"/>
  <c r="T12" i="12" s="1"/>
  <c r="P11" i="12"/>
  <c r="P12" i="12"/>
  <c r="Y9" i="12"/>
  <c r="W9" i="12"/>
  <c r="X9" i="12"/>
  <c r="V9" i="12"/>
  <c r="Y6" i="12"/>
  <c r="X6" i="12"/>
  <c r="W6" i="12"/>
  <c r="V6" i="12"/>
  <c r="Y10" i="12"/>
  <c r="V10" i="12"/>
  <c r="X10" i="12"/>
  <c r="W10" i="12"/>
  <c r="W8" i="12"/>
  <c r="V8" i="12"/>
  <c r="Y8" i="12"/>
  <c r="X8" i="12"/>
  <c r="Y7" i="12"/>
  <c r="W7" i="12"/>
  <c r="V7" i="12"/>
  <c r="X7" i="12"/>
  <c r="L3" i="11"/>
  <c r="N9" i="11"/>
  <c r="T9" i="11"/>
  <c r="N10" i="11"/>
  <c r="T10" i="11"/>
  <c r="R5" i="11"/>
  <c r="Q5" i="11"/>
  <c r="S5" i="11"/>
  <c r="P5" i="11"/>
  <c r="M5" i="11"/>
  <c r="T6" i="11"/>
  <c r="Y6" i="11" s="1"/>
  <c r="N6" i="11"/>
  <c r="T7" i="11"/>
  <c r="N7" i="11"/>
  <c r="T8" i="11"/>
  <c r="N8" i="11"/>
  <c r="W8" i="10"/>
  <c r="V8" i="10"/>
  <c r="X8" i="10"/>
  <c r="O5" i="10"/>
  <c r="V5" i="10" s="1"/>
  <c r="Y10" i="10"/>
  <c r="X10" i="10"/>
  <c r="W10" i="10"/>
  <c r="V10" i="10"/>
  <c r="V6" i="10"/>
  <c r="Y6" i="10"/>
  <c r="X6" i="10"/>
  <c r="W6" i="10"/>
  <c r="Y7" i="10"/>
  <c r="X7" i="10"/>
  <c r="W7" i="10"/>
  <c r="V7" i="10"/>
  <c r="Y9" i="10"/>
  <c r="X9" i="10"/>
  <c r="W9" i="10"/>
  <c r="V9" i="10"/>
  <c r="V5" i="12" l="1"/>
  <c r="Y5" i="12"/>
  <c r="X5" i="12"/>
  <c r="P15" i="12"/>
  <c r="U3" i="12"/>
  <c r="Z9" i="12"/>
  <c r="Z6" i="12"/>
  <c r="T10" i="2"/>
  <c r="R10" i="2"/>
  <c r="S10" i="2"/>
  <c r="T7" i="2"/>
  <c r="S7" i="2"/>
  <c r="R7" i="2"/>
  <c r="X5" i="10"/>
  <c r="S9" i="2"/>
  <c r="T9" i="2"/>
  <c r="R9" i="2"/>
  <c r="Y5" i="10"/>
  <c r="T11" i="2"/>
  <c r="S11" i="2"/>
  <c r="R11" i="2"/>
  <c r="W5" i="10"/>
  <c r="N3" i="10"/>
  <c r="O3" i="10" s="1"/>
  <c r="O20" i="10" s="1"/>
  <c r="Q3" i="10"/>
  <c r="T3" i="10"/>
  <c r="R3" i="10"/>
  <c r="P23" i="10"/>
  <c r="P21" i="10"/>
  <c r="S3" i="10"/>
  <c r="P22" i="10"/>
  <c r="Z8" i="12"/>
  <c r="Z10" i="12"/>
  <c r="Z7" i="12"/>
  <c r="P19" i="12"/>
  <c r="W3" i="12"/>
  <c r="W12" i="12" s="1"/>
  <c r="V12" i="12"/>
  <c r="P18" i="12"/>
  <c r="P17" i="12"/>
  <c r="P16" i="12"/>
  <c r="Y3" i="12"/>
  <c r="Y12" i="12" s="1"/>
  <c r="X3" i="12"/>
  <c r="O11" i="12"/>
  <c r="O14" i="11"/>
  <c r="O11" i="11"/>
  <c r="Q3" i="11"/>
  <c r="R3" i="11"/>
  <c r="O13" i="11"/>
  <c r="P3" i="11"/>
  <c r="M3" i="11"/>
  <c r="S3" i="11"/>
  <c r="O12" i="11"/>
  <c r="Y8" i="11"/>
  <c r="Y10" i="11"/>
  <c r="Y7" i="11"/>
  <c r="N5" i="11"/>
  <c r="T5" i="11"/>
  <c r="Y9" i="11"/>
  <c r="Z8" i="10"/>
  <c r="Z9" i="10"/>
  <c r="Z7" i="10"/>
  <c r="Z10" i="10"/>
  <c r="Z6" i="10"/>
  <c r="H6" i="2"/>
  <c r="I6" i="2" s="1"/>
  <c r="J6" i="2" s="1"/>
  <c r="Q6" i="2" l="1"/>
  <c r="U6" i="2"/>
  <c r="V6" i="2"/>
  <c r="W6" i="2"/>
  <c r="X6" i="2"/>
  <c r="X12" i="12"/>
  <c r="Z5" i="12"/>
  <c r="U12" i="12"/>
  <c r="R14" i="12" s="1"/>
  <c r="T14" i="12" s="1"/>
  <c r="T15" i="12" s="1"/>
  <c r="Y11" i="2"/>
  <c r="Y10" i="2"/>
  <c r="Y9" i="2"/>
  <c r="Y7" i="2"/>
  <c r="Z5" i="10"/>
  <c r="U3" i="10"/>
  <c r="P24" i="10"/>
  <c r="Z3" i="12"/>
  <c r="Z11" i="12" s="1"/>
  <c r="W11" i="12"/>
  <c r="Y11" i="12"/>
  <c r="X11" i="12"/>
  <c r="V11" i="12"/>
  <c r="O15" i="11"/>
  <c r="N3" i="11"/>
  <c r="T3" i="11"/>
  <c r="W5" i="11"/>
  <c r="V5" i="11"/>
  <c r="X5" i="11"/>
  <c r="U5" i="11"/>
  <c r="P28" i="10"/>
  <c r="Y3" i="10"/>
  <c r="P27" i="10"/>
  <c r="P26" i="10"/>
  <c r="P25" i="10"/>
  <c r="X3" i="10"/>
  <c r="W3" i="10"/>
  <c r="V3" i="10"/>
  <c r="H5" i="2"/>
  <c r="I5" i="2" s="1"/>
  <c r="J5" i="2" s="1"/>
  <c r="P6" i="2"/>
  <c r="X5" i="2" l="1"/>
  <c r="X13" i="2" s="1"/>
  <c r="U5" i="2"/>
  <c r="U13" i="2" s="1"/>
  <c r="V5" i="2"/>
  <c r="V13" i="2" s="1"/>
  <c r="W5" i="2"/>
  <c r="W13" i="2" s="1"/>
  <c r="Q5" i="2"/>
  <c r="J12" i="2"/>
  <c r="Q12" i="2" s="1"/>
  <c r="I12" i="2"/>
  <c r="Y5" i="11"/>
  <c r="Z3" i="10"/>
  <c r="Z20" i="10" s="1"/>
  <c r="O18" i="11"/>
  <c r="N11" i="11"/>
  <c r="O19" i="11"/>
  <c r="O17" i="11"/>
  <c r="O16" i="11"/>
  <c r="Y20" i="10"/>
  <c r="X20" i="10"/>
  <c r="W20" i="10"/>
  <c r="O5" i="2"/>
  <c r="N5" i="2"/>
  <c r="M5" i="2"/>
  <c r="L5" i="2"/>
  <c r="L13" i="2" s="1"/>
  <c r="N3" i="2"/>
  <c r="M3" i="2"/>
  <c r="O3" i="2"/>
  <c r="T6" i="2" l="1"/>
  <c r="S6" i="2"/>
  <c r="R6" i="2"/>
  <c r="P12" i="2"/>
  <c r="M13" i="2"/>
  <c r="N13" i="2"/>
  <c r="O13" i="2"/>
  <c r="Y3" i="11"/>
  <c r="Y11" i="11" s="1"/>
  <c r="X11" i="11"/>
  <c r="W11" i="11"/>
  <c r="V11" i="11"/>
  <c r="U11" i="11"/>
  <c r="P3" i="2"/>
  <c r="P5" i="2"/>
  <c r="P13" i="2" l="1"/>
  <c r="Y6" i="2"/>
  <c r="T5" i="2"/>
  <c r="S5" i="2"/>
  <c r="R5" i="2"/>
  <c r="T3" i="2"/>
  <c r="R3" i="2"/>
  <c r="S3" i="2"/>
  <c r="S12" i="2" s="1"/>
  <c r="T12" i="2" l="1"/>
  <c r="R12" i="2"/>
  <c r="T13" i="2"/>
  <c r="Y3" i="2"/>
  <c r="Q13" i="2"/>
  <c r="S13" i="2"/>
  <c r="R13" i="2"/>
  <c r="Y5" i="2"/>
  <c r="Y12" i="2" l="1"/>
  <c r="Y13" i="2" s="1"/>
  <c r="Y14" i="2" l="1"/>
  <c r="Y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tc={DF097C4B-10A6-4EE4-9029-B66CC4EA5A53}</author>
    <author>tc={ABE52B25-03CA-4F8D-8AA7-15FA331EC2AB}</author>
    <author>tc={1797D59B-FC70-4BBB-A0CE-0DEFFD1FBB8B}</author>
    <author>tc={E3BCEE2C-AC56-40A5-9F4F-89CD060AE5F7}</author>
    <author>tc={8141ED5E-3E7A-4170-BDCE-EE14F6BBBD26}</author>
  </authors>
  <commentList>
    <comment ref="K12" authorId="0" shapeId="0" xr:uid="{DF097C4B-10A6-4EE4-9029-B66CC4EA5A5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podría considerar la prima técnica de las cob de no riesgo</t>
        </r>
      </text>
    </comment>
    <comment ref="C17" authorId="1" shapeId="0" xr:uid="{ABE52B25-03CA-4F8D-8AA7-15FA331EC2A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</t>
        </r>
      </text>
    </comment>
    <comment ref="C18" authorId="2" shapeId="0" xr:uid="{1797D59B-FC70-4BBB-A0CE-0DEFFD1FBB8B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  <comment ref="C19" authorId="3" shapeId="0" xr:uid="{E3BCEE2C-AC56-40A5-9F4F-89CD060AE5F7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  <comment ref="C20" authorId="4" shapeId="0" xr:uid="{8141ED5E-3E7A-4170-BDCE-EE14F6BBBD26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tc={D6D88BF7-824D-457F-94CE-983D3DE94047}</author>
    <author>tc={201FD696-1364-4663-AEE8-92C983DDEB9D}</author>
    <author>tc={01B11CB1-C258-43FE-9A1B-3FD44B5EF801}</author>
    <author>tc={F1D19BEE-DEE1-4635-9723-EA459032AFBF}</author>
    <author>tc={E2B852F9-0964-4196-B196-CDA20E9B4DAC}</author>
  </authors>
  <commentList>
    <comment ref="O11" authorId="0" shapeId="0" xr:uid="{D6D88BF7-824D-457F-94CE-983D3DE9404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podría considerar la prima técnica de las cob de no riesgo</t>
        </r>
      </text>
    </comment>
    <comment ref="G16" authorId="1" shapeId="0" xr:uid="{201FD696-1364-4663-AEE8-92C983DDEB9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</t>
        </r>
      </text>
    </comment>
    <comment ref="G17" authorId="2" shapeId="0" xr:uid="{01B11CB1-C258-43FE-9A1B-3FD44B5EF801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  <comment ref="G18" authorId="3" shapeId="0" xr:uid="{F1D19BEE-DEE1-4635-9723-EA459032AFBF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  <comment ref="G19" authorId="4" shapeId="0" xr:uid="{E2B852F9-0964-4196-B196-CDA20E9B4DAC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tc={A5E411EB-3C36-4E24-9D48-D067073C0852}</author>
    <author>tc={77DE22A5-7FAA-4E18-9C40-0CA2934EE04B}</author>
    <author>tc={92EC5A17-D4D9-4A71-BB4C-12314FD26198}</author>
    <author>tc={2F5AFBFE-C479-4FFA-810D-9D384016D66A}</author>
    <author>tc={04C7BF5F-4CB1-40A2-8D45-3ACE5A30057D}</author>
  </authors>
  <commentList>
    <comment ref="P11" authorId="0" shapeId="0" xr:uid="{A5E411EB-3C36-4E24-9D48-D067073C085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podría considerar la prima técnica de las cob de no riesgo</t>
        </r>
      </text>
    </comment>
    <comment ref="H16" authorId="1" shapeId="0" xr:uid="{77DE22A5-7FAA-4E18-9C40-0CA2934EE04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</t>
        </r>
      </text>
    </comment>
    <comment ref="H17" authorId="2" shapeId="0" xr:uid="{92EC5A17-D4D9-4A71-BB4C-12314FD26198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  <comment ref="H18" authorId="3" shapeId="0" xr:uid="{2F5AFBFE-C479-4FFA-810D-9D384016D66A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  <comment ref="H19" authorId="4" shapeId="0" xr:uid="{04C7BF5F-4CB1-40A2-8D45-3ACE5A30057D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tc={38185559-7A37-450C-82C8-ED793DABBFAD}</author>
    <author>tc={E01DE276-1CD8-43E7-BB36-BFDF90227D26}</author>
    <author>tc={32D4D7A2-E022-4D5B-A7AD-43B7EEB0B8ED}</author>
    <author>tc={542AFD49-80A8-4323-8783-C434CD97CE32}</author>
    <author>tc={21B72D52-B2F9-4E7B-97BF-02F5DACD8155}</author>
    <author>tc={7BA556A6-55A1-47E9-825A-04BC8A650F82}</author>
  </authors>
  <commentList>
    <comment ref="H16" authorId="0" shapeId="0" xr:uid="{38185559-7A37-450C-82C8-ED793DABBFA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</t>
        </r>
      </text>
    </comment>
    <comment ref="H17" authorId="1" shapeId="0" xr:uid="{E01DE276-1CD8-43E7-BB36-BFDF90227D2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</t>
        </r>
      </text>
    </comment>
    <comment ref="H18" authorId="2" shapeId="0" xr:uid="{32D4D7A2-E022-4D5B-A7AD-43B7EEB0B8ED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  <comment ref="H19" authorId="3" shapeId="0" xr:uid="{542AFD49-80A8-4323-8783-C434CD97CE32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  <comment ref="H20" authorId="4" shapeId="0" xr:uid="{21B72D52-B2F9-4E7B-97BF-02F5DACD8155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  <comment ref="P20" authorId="5" shapeId="0" xr:uid="{7BA556A6-55A1-47E9-825A-04BC8A650F8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podría considerar la prima técnica de las cob de no riesgo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tc={4BD3DA31-288D-41FB-A76D-6CF33DEDE76F}</author>
    <author>tc={7DFB995D-B837-4CFA-A9BE-E89D7966E4B4}</author>
    <author>tc={F65A3166-5CD6-403F-87D3-AC6F01205471}</author>
    <author>tc={53AD148E-82BF-4737-B632-EB1169D6B413}</author>
    <author>tc={FBDA969E-8182-4809-8D12-00092DF67112}</author>
  </authors>
  <commentList>
    <comment ref="N16" authorId="0" shapeId="0" xr:uid="{4BD3DA31-288D-41FB-A76D-6CF33DEDE76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</t>
        </r>
      </text>
    </comment>
    <comment ref="N17" authorId="1" shapeId="0" xr:uid="{7DFB995D-B837-4CFA-A9BE-E89D7966E4B4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  <comment ref="N18" authorId="2" shapeId="0" xr:uid="{F65A3166-5CD6-403F-87D3-AC6F01205471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  <comment ref="N19" authorId="3" shapeId="0" xr:uid="{53AD148E-82BF-4737-B632-EB1169D6B413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  <comment ref="V19" authorId="4" shapeId="0" xr:uid="{FBDA969E-8182-4809-8D12-00092DF6711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podría considerar la prima técnica de las cob de no riesgo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tc={52DCF6D6-77FF-4273-842D-B21363C1C9E3}</author>
    <author>tc={2792EE3E-D731-48C9-AD33-7CFB55302693}</author>
    <author>tc={76D42CF2-02A3-4506-A663-270B9C9D6FC8}</author>
    <author>tc={D69CE28C-F097-463F-BFEC-DC5F142E06AF}</author>
    <author>tc={E748D432-54F9-4787-8930-6A399B0A7DBE}</author>
  </authors>
  <commentList>
    <comment ref="O11" authorId="0" shapeId="0" xr:uid="{52DCF6D6-77FF-4273-842D-B21363C1C9E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podría considerar la prima técnica de las cob de no riesgo</t>
        </r>
      </text>
    </comment>
    <comment ref="G16" authorId="1" shapeId="0" xr:uid="{2792EE3E-D731-48C9-AD33-7CFB5530269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</t>
        </r>
      </text>
    </comment>
    <comment ref="G17" authorId="2" shapeId="0" xr:uid="{76D42CF2-02A3-4506-A663-270B9C9D6FC8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  <comment ref="G18" authorId="3" shapeId="0" xr:uid="{D69CE28C-F097-463F-BFEC-DC5F142E06AF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  <comment ref="G19" authorId="4" shapeId="0" xr:uid="{E748D432-54F9-4787-8930-6A399B0A7DBE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tc={6A93463A-6253-4440-8511-D515E6B0E457}</author>
    <author>tc={455AA22F-5B2D-4EC5-9CE0-CE0E73E86178}</author>
    <author>tc={50710015-2BDB-4CC0-AB54-670BB9926451}</author>
    <author>tc={A3BDF5A8-5325-48D1-8093-471434DEAEAB}</author>
    <author>tc={5D1BE841-4130-4137-AC8D-E4B33F3AF343}</author>
  </authors>
  <commentList>
    <comment ref="K11" authorId="0" shapeId="0" xr:uid="{6A93463A-6253-4440-8511-D515E6B0E45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podría considerar la prima técnica de las cob de no riesgo</t>
        </r>
      </text>
    </comment>
    <comment ref="C16" authorId="1" shapeId="0" xr:uid="{455AA22F-5B2D-4EC5-9CE0-CE0E73E8617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</t>
        </r>
      </text>
    </comment>
    <comment ref="C17" authorId="2" shapeId="0" xr:uid="{50710015-2BDB-4CC0-AB54-670BB9926451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  <comment ref="C18" authorId="3" shapeId="0" xr:uid="{A3BDF5A8-5325-48D1-8093-471434DEAEAB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  <comment ref="C19" authorId="4" shapeId="0" xr:uid="{5D1BE841-4130-4137-AC8D-E4B33F3AF343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rutinas hay que determinar primero los % a aplicar
</t>
        </r>
      </text>
    </comment>
  </commentList>
</comments>
</file>

<file path=xl/sharedStrings.xml><?xml version="1.0" encoding="utf-8"?>
<sst xmlns="http://schemas.openxmlformats.org/spreadsheetml/2006/main" count="467" uniqueCount="102">
  <si>
    <t>Gastos Adm</t>
  </si>
  <si>
    <t>Utilidad</t>
  </si>
  <si>
    <t>Marketing</t>
  </si>
  <si>
    <t>Cobranza</t>
  </si>
  <si>
    <t>Intermediación</t>
  </si>
  <si>
    <t>APS</t>
  </si>
  <si>
    <t>Recargo adicional</t>
  </si>
  <si>
    <t>IT</t>
  </si>
  <si>
    <t>IVA</t>
  </si>
  <si>
    <t>Imp. Super intendencia Pension</t>
  </si>
  <si>
    <t xml:space="preserve">Impuestos Internos IVA        </t>
  </si>
  <si>
    <t xml:space="preserve">Impuestos Transaccional    </t>
  </si>
  <si>
    <t>Prima Técnica</t>
  </si>
  <si>
    <t>Prima Neta</t>
  </si>
  <si>
    <t>Prima comercial</t>
  </si>
  <si>
    <t>Administrativos</t>
  </si>
  <si>
    <t>Recargos y/descuentos (disc_xprem, insured_expdis)</t>
  </si>
  <si>
    <t xml:space="preserve">Coberturas
cover.npremium
life_cover.STECPREMIND = 1 </t>
  </si>
  <si>
    <t>Prima comercial por cob/rol/cliente
(npremium+ rec/desc + rec adm+ interm + impuestos)</t>
  </si>
  <si>
    <t xml:space="preserve"> </t>
  </si>
  <si>
    <t>Cob 1 Riesgo Asistencia Médica</t>
  </si>
  <si>
    <t>Cob 2 riesgo Maternidad</t>
  </si>
  <si>
    <t>Cob 3 no riesgo Emergencia médica</t>
  </si>
  <si>
    <t>Cob 4 (NR)Asistencia al viajero</t>
  </si>
  <si>
    <t>Cob 5 (NR)Atención odontológica</t>
  </si>
  <si>
    <t>Cob 6 (NR) Call center</t>
  </si>
  <si>
    <t>Cob 7 (NR)Credencial</t>
  </si>
  <si>
    <t>Recargo (Extraprima)</t>
  </si>
  <si>
    <t>TOTAL comercial poliza anual</t>
  </si>
  <si>
    <t xml:space="preserve">Impuesto FPA                  </t>
  </si>
  <si>
    <t>Recargos y descuentos cálculo actual (solo técnicos y comerciales) que gravan el riesgo</t>
  </si>
  <si>
    <t>Gravan al riesgo</t>
  </si>
  <si>
    <t>Descuento comercial</t>
  </si>
  <si>
    <t>Adm para prima técnica</t>
  </si>
  <si>
    <t>Costo Interm para prima neta</t>
  </si>
  <si>
    <t>Prima</t>
  </si>
  <si>
    <t>TITULAR</t>
  </si>
  <si>
    <t>CARGA</t>
  </si>
  <si>
    <t>Titular</t>
  </si>
  <si>
    <t>Carga</t>
  </si>
  <si>
    <t>Prima Original</t>
  </si>
  <si>
    <t>Prima endoso</t>
  </si>
  <si>
    <t>Desde endoso</t>
  </si>
  <si>
    <t>Hasta endosos</t>
  </si>
  <si>
    <t>Dias prorrata</t>
  </si>
  <si>
    <t>Prima prorrata</t>
  </si>
  <si>
    <t>Cob 3  Emergencia médica</t>
  </si>
  <si>
    <t>AJUSTE</t>
  </si>
  <si>
    <t>Cobertura odontologica</t>
  </si>
  <si>
    <t>Preexistencia</t>
  </si>
  <si>
    <t>Cob 5 Riesgo Asistencia Médica</t>
  </si>
  <si>
    <t>Cob 45 Emergencia médica</t>
  </si>
  <si>
    <t>Cob 55 Asistencia al viajero</t>
  </si>
  <si>
    <t>Cob 50 Asistencia Odontológica</t>
  </si>
  <si>
    <t>Cob 95 Call center</t>
  </si>
  <si>
    <t>Cob 110 Credencial</t>
  </si>
  <si>
    <t>Cob 2 Riesgo Maternidad</t>
  </si>
  <si>
    <t>FRECUENCIA</t>
  </si>
  <si>
    <t>CUOTA</t>
  </si>
  <si>
    <t>FACTOR</t>
  </si>
  <si>
    <t>Anual</t>
  </si>
  <si>
    <t>Semestral</t>
  </si>
  <si>
    <t>Trimestral</t>
  </si>
  <si>
    <t>Mensual</t>
  </si>
  <si>
    <t>Cuotas</t>
  </si>
  <si>
    <t>COD FREQ</t>
  </si>
  <si>
    <r>
      <t xml:space="preserve">Prima comercial por cob/rol/cliente
</t>
    </r>
    <r>
      <rPr>
        <sz val="8"/>
        <rFont val="Arial"/>
        <family val="2"/>
      </rPr>
      <t>(npremium+ rec/desc + rec adm+ interm + impuestos)</t>
    </r>
  </si>
  <si>
    <t>PRIMA RIESGO</t>
  </si>
  <si>
    <t>COBERTURAS</t>
  </si>
  <si>
    <t>FECHA DESDE ENDOSO</t>
  </si>
  <si>
    <t>FECHA HASTA ENDOSO</t>
  </si>
  <si>
    <t>DIAS A COBRAR</t>
  </si>
  <si>
    <t>PRIMA DE RIESGO NO DEVENGADA</t>
  </si>
  <si>
    <t>PRIMA NO DEVENGADA A DEVOLVER</t>
  </si>
  <si>
    <t>Total prima Anual de riesgo</t>
  </si>
  <si>
    <t>Cob  45 Emergencia médica</t>
  </si>
  <si>
    <t>Cob 55 (NR)Asistencia al viajero</t>
  </si>
  <si>
    <t>Cob 50 Asistencia odontológica</t>
  </si>
  <si>
    <t>Cob 51 Cobertura odontológica</t>
  </si>
  <si>
    <t>IURET</t>
  </si>
  <si>
    <t>GASTOS BANCARIOS</t>
  </si>
  <si>
    <t>ITF (ENTRADA Y SALIDA)</t>
  </si>
  <si>
    <t>GASTOS ASESORAMIENTO SEGUROS</t>
  </si>
  <si>
    <t>Costo Iuret para prima neta</t>
  </si>
  <si>
    <t>Costo Gastos bancario para prima neta</t>
  </si>
  <si>
    <t>Costo Itf para prima neta</t>
  </si>
  <si>
    <t>Costo asesoram para prima neta</t>
  </si>
  <si>
    <r>
      <t xml:space="preserve">Cob 1 Riesgo Asistencia Médica
</t>
    </r>
    <r>
      <rPr>
        <b/>
        <sz val="11"/>
        <color theme="1"/>
        <rFont val="Calibri"/>
        <family val="2"/>
        <scheme val="minor"/>
      </rPr>
      <t>Prima por la cantidad de asegurado</t>
    </r>
  </si>
  <si>
    <t>Cantidad de asegurados para las Asistencias</t>
  </si>
  <si>
    <t xml:space="preserve">RECARGO ADICONAL 2 </t>
  </si>
  <si>
    <t xml:space="preserve">RECARGO ADICIONAL ACTUAL </t>
  </si>
  <si>
    <t>DEVOLUCION POR NEGATIVO PAGADA O PENDIENTE</t>
  </si>
  <si>
    <t>POSIT</t>
  </si>
  <si>
    <t>NEGA</t>
  </si>
  <si>
    <t>PRIMA DE RIESGO</t>
  </si>
  <si>
    <t>PRIMA NETA</t>
  </si>
  <si>
    <t>PRIMA TECNICA</t>
  </si>
  <si>
    <t>* Ajustar el libro de producción que estaba con un cambio en la presentación del APS</t>
  </si>
  <si>
    <t>ASISTENCIAS MONTOS FIJOS POR PERSONA</t>
  </si>
  <si>
    <t>Gastos Bancarios</t>
  </si>
  <si>
    <t>ITF</t>
  </si>
  <si>
    <t>Gastos asesoramiento en seguros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</si>
</sst>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0.000000"/>
    <numFmt numFmtId="166" formatCode="#,##0.000000"/>
    <numFmt numFmtId="167" formatCode="#,##0.000"/>
    <numFmt numFmtId="168" formatCode="0.000"/>
    <numFmt numFmtId="169" formatCode="0.0%"/>
    <numFmt numFmtId="170" formatCode="_ * #,##0.00000_ ;_ * \-#,##0.00000_ ;_ * &quot;-&quot;??_ ;_ @_ "/>
    <numFmt numFmtId="171" formatCode="0.000%"/>
    <numFmt numFmtId="172" formatCode="0.000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color rgb="FF004785"/>
      <name val="Tahoma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rgb="FF004785"/>
      <name val="Verdana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49">
    <border>
      <left/>
      <right/>
      <top/>
      <bottom/>
      <diagonal/>
    </border>
    <border>
      <left style="double">
        <color theme="0" tint="-0.249977111117893"/>
      </left>
      <right style="double">
        <color theme="0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theme="0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 style="medium">
        <color indexed="64"/>
      </left>
      <right style="double">
        <color theme="0" tint="-0.249977111117893"/>
      </right>
      <top style="double">
        <color theme="0" tint="-0.249977111117893"/>
      </top>
      <bottom style="medium">
        <color indexed="64"/>
      </bottom>
      <diagonal/>
    </border>
    <border>
      <left style="double">
        <color theme="0" tint="-0.249977111117893"/>
      </left>
      <right style="double">
        <color theme="0" tint="-0.249977111117893"/>
      </right>
      <top style="double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double">
        <color theme="0" tint="-0.24997711111789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theme="0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9">
    <xf numFmtId="0" fontId="0" fillId="0" borderId="0" xfId="0"/>
    <xf numFmtId="9" fontId="0" fillId="0" borderId="1" xfId="2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0" fontId="0" fillId="0" borderId="0" xfId="0" applyNumberFormat="1"/>
    <xf numFmtId="164" fontId="2" fillId="0" borderId="9" xfId="1" applyFont="1" applyFill="1" applyBorder="1" applyAlignment="1">
      <alignment horizontal="left" vertical="center" wrapText="1"/>
    </xf>
    <xf numFmtId="164" fontId="2" fillId="0" borderId="10" xfId="1" applyFont="1" applyFill="1" applyBorder="1" applyAlignment="1">
      <alignment horizontal="left" vertical="center" wrapText="1"/>
    </xf>
    <xf numFmtId="9" fontId="0" fillId="0" borderId="11" xfId="2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/>
    <xf numFmtId="165" fontId="0" fillId="3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165" fontId="0" fillId="0" borderId="0" xfId="0" applyNumberFormat="1"/>
    <xf numFmtId="165" fontId="2" fillId="0" borderId="12" xfId="1" applyNumberFormat="1" applyFont="1" applyFill="1" applyBorder="1" applyAlignment="1">
      <alignment horizontal="left" vertical="center" wrapText="1"/>
    </xf>
    <xf numFmtId="165" fontId="3" fillId="0" borderId="0" xfId="0" applyNumberFormat="1" applyFont="1"/>
    <xf numFmtId="165" fontId="3" fillId="3" borderId="0" xfId="0" applyNumberFormat="1" applyFont="1" applyFill="1"/>
    <xf numFmtId="14" fontId="0" fillId="0" borderId="0" xfId="0" applyNumberFormat="1"/>
    <xf numFmtId="166" fontId="0" fillId="0" borderId="5" xfId="0" applyNumberFormat="1" applyBorder="1"/>
    <xf numFmtId="164" fontId="2" fillId="0" borderId="14" xfId="1" applyFont="1" applyFill="1" applyBorder="1" applyAlignment="1">
      <alignment horizontal="left" vertical="center" wrapText="1"/>
    </xf>
    <xf numFmtId="166" fontId="3" fillId="12" borderId="13" xfId="0" applyNumberFormat="1" applyFont="1" applyFill="1" applyBorder="1"/>
    <xf numFmtId="0" fontId="0" fillId="0" borderId="13" xfId="0" applyBorder="1"/>
    <xf numFmtId="14" fontId="0" fillId="0" borderId="13" xfId="0" applyNumberFormat="1" applyBorder="1"/>
    <xf numFmtId="10" fontId="0" fillId="0" borderId="13" xfId="0" applyNumberFormat="1" applyBorder="1"/>
    <xf numFmtId="165" fontId="0" fillId="3" borderId="13" xfId="0" applyNumberFormat="1" applyFill="1" applyBorder="1"/>
    <xf numFmtId="0" fontId="0" fillId="3" borderId="13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6" borderId="13" xfId="0" applyFill="1" applyBorder="1"/>
    <xf numFmtId="0" fontId="0" fillId="7" borderId="13" xfId="0" applyFill="1" applyBorder="1"/>
    <xf numFmtId="0" fontId="0" fillId="8" borderId="13" xfId="0" applyFill="1" applyBorder="1"/>
    <xf numFmtId="0" fontId="0" fillId="9" borderId="13" xfId="0" applyFill="1" applyBorder="1"/>
    <xf numFmtId="0" fontId="0" fillId="10" borderId="13" xfId="0" applyFill="1" applyBorder="1"/>
    <xf numFmtId="0" fontId="0" fillId="11" borderId="13" xfId="0" applyFill="1" applyBorder="1"/>
    <xf numFmtId="165" fontId="0" fillId="0" borderId="13" xfId="0" applyNumberFormat="1" applyBorder="1"/>
    <xf numFmtId="0" fontId="0" fillId="0" borderId="16" xfId="0" applyBorder="1"/>
    <xf numFmtId="165" fontId="3" fillId="3" borderId="16" xfId="0" applyNumberFormat="1" applyFont="1" applyFill="1" applyBorder="1"/>
    <xf numFmtId="0" fontId="0" fillId="2" borderId="16" xfId="0" applyFill="1" applyBorder="1"/>
    <xf numFmtId="0" fontId="0" fillId="8" borderId="16" xfId="0" applyFill="1" applyBorder="1"/>
    <xf numFmtId="0" fontId="0" fillId="9" borderId="16" xfId="0" applyFill="1" applyBorder="1"/>
    <xf numFmtId="0" fontId="0" fillId="10" borderId="16" xfId="0" applyFill="1" applyBorder="1"/>
    <xf numFmtId="0" fontId="0" fillId="11" borderId="16" xfId="0" applyFill="1" applyBorder="1"/>
    <xf numFmtId="165" fontId="0" fillId="3" borderId="17" xfId="0" applyNumberFormat="1" applyFill="1" applyBorder="1"/>
    <xf numFmtId="0" fontId="0" fillId="3" borderId="18" xfId="0" applyFill="1" applyBorder="1"/>
    <xf numFmtId="165" fontId="0" fillId="3" borderId="18" xfId="0" applyNumberFormat="1" applyFill="1" applyBorder="1"/>
    <xf numFmtId="0" fontId="0" fillId="2" borderId="18" xfId="0" applyFill="1" applyBorder="1"/>
    <xf numFmtId="0" fontId="0" fillId="4" borderId="18" xfId="0" applyFill="1" applyBorder="1"/>
    <xf numFmtId="0" fontId="0" fillId="5" borderId="18" xfId="0" applyFill="1" applyBorder="1"/>
    <xf numFmtId="0" fontId="0" fillId="6" borderId="18" xfId="0" applyFill="1" applyBorder="1"/>
    <xf numFmtId="0" fontId="0" fillId="7" borderId="18" xfId="0" applyFill="1" applyBorder="1"/>
    <xf numFmtId="0" fontId="0" fillId="8" borderId="18" xfId="0" applyFill="1" applyBorder="1"/>
    <xf numFmtId="0" fontId="0" fillId="9" borderId="18" xfId="0" applyFill="1" applyBorder="1"/>
    <xf numFmtId="0" fontId="0" fillId="10" borderId="18" xfId="0" applyFill="1" applyBorder="1"/>
    <xf numFmtId="0" fontId="0" fillId="11" borderId="20" xfId="0" applyFill="1" applyBorder="1"/>
    <xf numFmtId="165" fontId="0" fillId="3" borderId="21" xfId="0" applyNumberFormat="1" applyFill="1" applyBorder="1"/>
    <xf numFmtId="0" fontId="0" fillId="11" borderId="22" xfId="0" applyFill="1" applyBorder="1"/>
    <xf numFmtId="0" fontId="0" fillId="3" borderId="21" xfId="0" applyFill="1" applyBorder="1"/>
    <xf numFmtId="0" fontId="0" fillId="3" borderId="23" xfId="0" applyFill="1" applyBorder="1"/>
    <xf numFmtId="0" fontId="0" fillId="3" borderId="24" xfId="0" applyFill="1" applyBorder="1"/>
    <xf numFmtId="165" fontId="0" fillId="3" borderId="24" xfId="0" applyNumberFormat="1" applyFill="1" applyBorder="1"/>
    <xf numFmtId="0" fontId="0" fillId="2" borderId="24" xfId="0" applyFill="1" applyBorder="1"/>
    <xf numFmtId="0" fontId="0" fillId="4" borderId="24" xfId="0" applyFill="1" applyBorder="1"/>
    <xf numFmtId="0" fontId="0" fillId="5" borderId="24" xfId="0" applyFill="1" applyBorder="1"/>
    <xf numFmtId="0" fontId="0" fillId="6" borderId="24" xfId="0" applyFill="1" applyBorder="1"/>
    <xf numFmtId="0" fontId="0" fillId="7" borderId="24" xfId="0" applyFill="1" applyBorder="1"/>
    <xf numFmtId="0" fontId="0" fillId="8" borderId="24" xfId="0" applyFill="1" applyBorder="1"/>
    <xf numFmtId="0" fontId="0" fillId="9" borderId="24" xfId="0" applyFill="1" applyBorder="1"/>
    <xf numFmtId="0" fontId="0" fillId="10" borderId="24" xfId="0" applyFill="1" applyBorder="1"/>
    <xf numFmtId="0" fontId="0" fillId="11" borderId="26" xfId="0" applyFill="1" applyBorder="1"/>
    <xf numFmtId="0" fontId="3" fillId="0" borderId="13" xfId="0" applyFont="1" applyBorder="1" applyAlignment="1">
      <alignment horizontal="right"/>
    </xf>
    <xf numFmtId="166" fontId="3" fillId="0" borderId="13" xfId="0" applyNumberFormat="1" applyFont="1" applyBorder="1"/>
    <xf numFmtId="1" fontId="0" fillId="0" borderId="0" xfId="0" applyNumberFormat="1"/>
    <xf numFmtId="0" fontId="0" fillId="0" borderId="2" xfId="0" applyBorder="1" applyAlignment="1">
      <alignment wrapText="1"/>
    </xf>
    <xf numFmtId="0" fontId="0" fillId="0" borderId="21" xfId="0" applyBorder="1"/>
    <xf numFmtId="166" fontId="0" fillId="0" borderId="21" xfId="0" applyNumberFormat="1" applyBorder="1"/>
    <xf numFmtId="0" fontId="0" fillId="0" borderId="23" xfId="0" applyBorder="1"/>
    <xf numFmtId="14" fontId="0" fillId="0" borderId="24" xfId="0" applyNumberFormat="1" applyBorder="1"/>
    <xf numFmtId="14" fontId="0" fillId="0" borderId="16" xfId="0" applyNumberFormat="1" applyBorder="1"/>
    <xf numFmtId="0" fontId="0" fillId="0" borderId="32" xfId="0" applyBorder="1"/>
    <xf numFmtId="0" fontId="3" fillId="0" borderId="13" xfId="0" applyFont="1" applyBorder="1" applyAlignment="1">
      <alignment horizontal="center" vertical="center" wrapText="1"/>
    </xf>
    <xf numFmtId="1" fontId="0" fillId="0" borderId="16" xfId="0" applyNumberFormat="1" applyBorder="1"/>
    <xf numFmtId="0" fontId="0" fillId="12" borderId="31" xfId="0" applyFill="1" applyBorder="1"/>
    <xf numFmtId="0" fontId="0" fillId="12" borderId="21" xfId="0" applyFill="1" applyBorder="1"/>
    <xf numFmtId="166" fontId="0" fillId="12" borderId="31" xfId="0" applyNumberFormat="1" applyFill="1" applyBorder="1"/>
    <xf numFmtId="0" fontId="3" fillId="0" borderId="30" xfId="0" applyFont="1" applyBorder="1" applyAlignment="1">
      <alignment horizontal="center" vertical="center" wrapText="1"/>
    </xf>
    <xf numFmtId="0" fontId="0" fillId="2" borderId="36" xfId="0" applyFill="1" applyBorder="1"/>
    <xf numFmtId="165" fontId="3" fillId="3" borderId="13" xfId="0" applyNumberFormat="1" applyFont="1" applyFill="1" applyBorder="1"/>
    <xf numFmtId="0" fontId="0" fillId="0" borderId="13" xfId="0" applyBorder="1" applyAlignment="1">
      <alignment wrapText="1"/>
    </xf>
    <xf numFmtId="0" fontId="0" fillId="12" borderId="13" xfId="0" applyFill="1" applyBorder="1"/>
    <xf numFmtId="0" fontId="7" fillId="0" borderId="0" xfId="0" applyFont="1"/>
    <xf numFmtId="0" fontId="0" fillId="0" borderId="8" xfId="0" applyBorder="1" applyAlignment="1">
      <alignment horizontal="center" wrapText="1"/>
    </xf>
    <xf numFmtId="0" fontId="0" fillId="13" borderId="13" xfId="0" applyFill="1" applyBorder="1"/>
    <xf numFmtId="0" fontId="0" fillId="14" borderId="5" xfId="0" applyFill="1" applyBorder="1"/>
    <xf numFmtId="0" fontId="8" fillId="12" borderId="13" xfId="0" applyFont="1" applyFill="1" applyBorder="1"/>
    <xf numFmtId="167" fontId="0" fillId="0" borderId="0" xfId="0" applyNumberFormat="1"/>
    <xf numFmtId="168" fontId="0" fillId="0" borderId="0" xfId="0" applyNumberFormat="1"/>
    <xf numFmtId="0" fontId="0" fillId="13" borderId="15" xfId="0" applyFill="1" applyBorder="1"/>
    <xf numFmtId="0" fontId="9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 wrapText="1"/>
    </xf>
    <xf numFmtId="165" fontId="0" fillId="2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65" fontId="0" fillId="6" borderId="0" xfId="0" applyNumberFormat="1" applyFill="1"/>
    <xf numFmtId="165" fontId="0" fillId="7" borderId="0" xfId="0" applyNumberFormat="1" applyFill="1"/>
    <xf numFmtId="165" fontId="0" fillId="8" borderId="0" xfId="0" applyNumberFormat="1" applyFill="1"/>
    <xf numFmtId="165" fontId="0" fillId="9" borderId="0" xfId="0" applyNumberFormat="1" applyFill="1"/>
    <xf numFmtId="165" fontId="0" fillId="10" borderId="0" xfId="0" applyNumberFormat="1" applyFill="1"/>
    <xf numFmtId="165" fontId="0" fillId="11" borderId="0" xfId="0" applyNumberFormat="1" applyFill="1"/>
    <xf numFmtId="0" fontId="3" fillId="15" borderId="13" xfId="0" applyFont="1" applyFill="1" applyBorder="1" applyAlignment="1">
      <alignment horizontal="center" vertical="center" wrapText="1"/>
    </xf>
    <xf numFmtId="166" fontId="0" fillId="16" borderId="5" xfId="0" applyNumberFormat="1" applyFill="1" applyBorder="1"/>
    <xf numFmtId="0" fontId="0" fillId="16" borderId="5" xfId="0" applyFill="1" applyBorder="1"/>
    <xf numFmtId="0" fontId="3" fillId="12" borderId="13" xfId="0" applyFont="1" applyFill="1" applyBorder="1"/>
    <xf numFmtId="0" fontId="0" fillId="16" borderId="0" xfId="0" applyFill="1"/>
    <xf numFmtId="166" fontId="0" fillId="16" borderId="0" xfId="0" applyNumberFormat="1" applyFill="1"/>
    <xf numFmtId="14" fontId="0" fillId="16" borderId="0" xfId="0" applyNumberFormat="1" applyFill="1"/>
    <xf numFmtId="166" fontId="3" fillId="16" borderId="0" xfId="0" applyNumberFormat="1" applyFont="1" applyFill="1"/>
    <xf numFmtId="0" fontId="9" fillId="0" borderId="38" xfId="0" applyFont="1" applyBorder="1" applyAlignment="1">
      <alignment horizontal="center" vertical="center" wrapText="1"/>
    </xf>
    <xf numFmtId="165" fontId="0" fillId="0" borderId="13" xfId="0" applyNumberFormat="1" applyBorder="1" applyAlignment="1">
      <alignment horizontal="center"/>
    </xf>
    <xf numFmtId="165" fontId="8" fillId="12" borderId="13" xfId="0" applyNumberFormat="1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165" fontId="3" fillId="0" borderId="1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9" fontId="0" fillId="0" borderId="0" xfId="0" applyNumberFormat="1"/>
    <xf numFmtId="0" fontId="4" fillId="0" borderId="0" xfId="0" applyFont="1"/>
    <xf numFmtId="0" fontId="3" fillId="7" borderId="13" xfId="0" applyFont="1" applyFill="1" applyBorder="1"/>
    <xf numFmtId="0" fontId="3" fillId="7" borderId="18" xfId="0" applyFont="1" applyFill="1" applyBorder="1"/>
    <xf numFmtId="9" fontId="0" fillId="0" borderId="0" xfId="2" applyFont="1" applyBorder="1" applyAlignment="1">
      <alignment horizontal="center" vertical="center"/>
    </xf>
    <xf numFmtId="164" fontId="2" fillId="0" borderId="4" xfId="1" applyFont="1" applyFill="1" applyBorder="1" applyAlignment="1">
      <alignment horizontal="left" vertical="center" wrapText="1"/>
    </xf>
    <xf numFmtId="169" fontId="0" fillId="0" borderId="0" xfId="2" applyNumberFormat="1" applyFont="1" applyBorder="1" applyAlignment="1">
      <alignment horizontal="center" vertical="center"/>
    </xf>
    <xf numFmtId="2" fontId="0" fillId="14" borderId="5" xfId="0" applyNumberFormat="1" applyFill="1" applyBorder="1"/>
    <xf numFmtId="0" fontId="3" fillId="12" borderId="13" xfId="0" applyFont="1" applyFill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9" fontId="0" fillId="8" borderId="0" xfId="0" applyNumberFormat="1" applyFill="1"/>
    <xf numFmtId="10" fontId="0" fillId="0" borderId="0" xfId="2" applyNumberFormat="1" applyFont="1" applyFill="1" applyBorder="1" applyAlignment="1">
      <alignment horizontal="center" vertical="center"/>
    </xf>
    <xf numFmtId="0" fontId="3" fillId="0" borderId="0" xfId="0" applyFont="1"/>
    <xf numFmtId="170" fontId="0" fillId="16" borderId="0" xfId="0" applyNumberFormat="1" applyFill="1"/>
    <xf numFmtId="2" fontId="0" fillId="0" borderId="5" xfId="0" applyNumberFormat="1" applyFill="1" applyBorder="1"/>
    <xf numFmtId="9" fontId="0" fillId="0" borderId="1" xfId="2" applyFont="1" applyFill="1" applyBorder="1" applyAlignment="1">
      <alignment horizontal="center" vertical="center"/>
    </xf>
    <xf numFmtId="9" fontId="0" fillId="0" borderId="11" xfId="2" applyFont="1" applyFill="1" applyBorder="1" applyAlignment="1">
      <alignment horizontal="center" vertical="center"/>
    </xf>
    <xf numFmtId="10" fontId="0" fillId="18" borderId="1" xfId="2" applyNumberFormat="1" applyFont="1" applyFill="1" applyBorder="1" applyAlignment="1">
      <alignment horizontal="center" vertical="center"/>
    </xf>
    <xf numFmtId="172" fontId="0" fillId="18" borderId="1" xfId="2" applyNumberFormat="1" applyFont="1" applyFill="1" applyBorder="1" applyAlignment="1">
      <alignment horizontal="center" vertical="center"/>
    </xf>
    <xf numFmtId="0" fontId="0" fillId="18" borderId="0" xfId="0" applyFill="1"/>
    <xf numFmtId="165" fontId="0" fillId="18" borderId="0" xfId="0" applyNumberFormat="1" applyFill="1"/>
    <xf numFmtId="171" fontId="1" fillId="18" borderId="0" xfId="2" applyNumberFormat="1" applyFont="1" applyFill="1" applyBorder="1" applyAlignment="1">
      <alignment horizontal="center" vertical="center"/>
    </xf>
    <xf numFmtId="0" fontId="0" fillId="0" borderId="4" xfId="0" applyFill="1" applyBorder="1"/>
    <xf numFmtId="0" fontId="0" fillId="0" borderId="6" xfId="0" applyFill="1" applyBorder="1"/>
    <xf numFmtId="166" fontId="0" fillId="17" borderId="30" xfId="0" applyNumberFormat="1" applyFill="1" applyBorder="1"/>
    <xf numFmtId="0" fontId="0" fillId="17" borderId="30" xfId="0" applyFill="1" applyBorder="1"/>
    <xf numFmtId="166" fontId="3" fillId="17" borderId="30" xfId="0" applyNumberFormat="1" applyFont="1" applyFill="1" applyBorder="1"/>
    <xf numFmtId="10" fontId="0" fillId="0" borderId="0" xfId="0" applyNumberFormat="1" applyBorder="1"/>
    <xf numFmtId="0" fontId="0" fillId="0" borderId="0" xfId="0" applyBorder="1"/>
    <xf numFmtId="169" fontId="0" fillId="0" borderId="41" xfId="2" applyNumberFormat="1" applyFon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16" borderId="0" xfId="0" applyFill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0" xfId="0" applyFont="1" applyAlignment="1">
      <alignment horizontal="center" vertical="center" textRotation="90"/>
    </xf>
    <xf numFmtId="0" fontId="5" fillId="0" borderId="19" xfId="0" applyFont="1" applyBorder="1" applyAlignment="1">
      <alignment horizontal="center" vertical="center" textRotation="90"/>
    </xf>
    <xf numFmtId="0" fontId="5" fillId="0" borderId="15" xfId="0" applyFont="1" applyBorder="1" applyAlignment="1">
      <alignment horizontal="center" vertical="center" textRotation="90"/>
    </xf>
    <xf numFmtId="0" fontId="5" fillId="0" borderId="25" xfId="0" applyFont="1" applyBorder="1" applyAlignment="1">
      <alignment horizontal="center" vertical="center" textRotation="90"/>
    </xf>
    <xf numFmtId="0" fontId="5" fillId="0" borderId="33" xfId="0" applyFont="1" applyBorder="1" applyAlignment="1">
      <alignment horizontal="center" vertical="center" textRotation="90"/>
    </xf>
    <xf numFmtId="0" fontId="5" fillId="0" borderId="34" xfId="0" applyFont="1" applyBorder="1" applyAlignment="1">
      <alignment horizontal="center" vertical="center" textRotation="90"/>
    </xf>
    <xf numFmtId="0" fontId="5" fillId="0" borderId="35" xfId="0" applyFont="1" applyBorder="1" applyAlignment="1">
      <alignment horizontal="center" vertical="center" textRotation="90"/>
    </xf>
    <xf numFmtId="0" fontId="6" fillId="0" borderId="2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164" fontId="2" fillId="13" borderId="38" xfId="1" applyFont="1" applyFill="1" applyBorder="1" applyAlignment="1">
      <alignment horizontal="center" vertical="center" wrapText="1"/>
    </xf>
    <xf numFmtId="164" fontId="2" fillId="0" borderId="37" xfId="1" applyFont="1" applyFill="1" applyBorder="1" applyAlignment="1">
      <alignment horizontal="left" vertical="center" wrapText="1"/>
    </xf>
    <xf numFmtId="165" fontId="2" fillId="0" borderId="37" xfId="1" applyNumberFormat="1" applyFont="1" applyFill="1" applyBorder="1" applyAlignment="1">
      <alignment horizontal="left" vertical="center" wrapText="1"/>
    </xf>
    <xf numFmtId="164" fontId="2" fillId="13" borderId="37" xfId="1" applyFont="1" applyFill="1" applyBorder="1" applyAlignment="1">
      <alignment horizontal="center" vertical="center" wrapText="1"/>
    </xf>
    <xf numFmtId="0" fontId="13" fillId="20" borderId="42" xfId="0" applyFont="1" applyFill="1" applyBorder="1" applyAlignment="1">
      <alignment horizontal="center"/>
    </xf>
    <xf numFmtId="0" fontId="0" fillId="0" borderId="0" xfId="0" applyFill="1"/>
    <xf numFmtId="0" fontId="3" fillId="0" borderId="13" xfId="0" applyFont="1" applyFill="1" applyBorder="1"/>
    <xf numFmtId="0" fontId="0" fillId="0" borderId="37" xfId="0" applyBorder="1" applyAlignment="1">
      <alignment wrapText="1"/>
    </xf>
    <xf numFmtId="0" fontId="0" fillId="0" borderId="46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" xfId="0" applyBorder="1"/>
    <xf numFmtId="10" fontId="0" fillId="0" borderId="8" xfId="0" applyNumberFormat="1" applyBorder="1"/>
    <xf numFmtId="0" fontId="0" fillId="0" borderId="3" xfId="0" applyBorder="1"/>
    <xf numFmtId="164" fontId="2" fillId="0" borderId="37" xfId="1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2" fillId="13" borderId="46" xfId="0" applyFont="1" applyFill="1" applyBorder="1" applyAlignment="1">
      <alignment horizontal="center" wrapText="1"/>
    </xf>
    <xf numFmtId="0" fontId="12" fillId="13" borderId="47" xfId="0" applyFont="1" applyFill="1" applyBorder="1" applyAlignment="1">
      <alignment horizontal="center" wrapText="1"/>
    </xf>
    <xf numFmtId="0" fontId="12" fillId="13" borderId="38" xfId="0" applyFont="1" applyFill="1" applyBorder="1" applyAlignment="1">
      <alignment horizontal="center" wrapText="1"/>
    </xf>
    <xf numFmtId="0" fontId="14" fillId="19" borderId="32" xfId="0" applyFont="1" applyFill="1" applyBorder="1" applyAlignment="1">
      <alignment vertical="center"/>
    </xf>
    <xf numFmtId="0" fontId="3" fillId="19" borderId="30" xfId="0" applyFont="1" applyFill="1" applyBorder="1" applyAlignment="1">
      <alignment horizontal="center" vertical="center"/>
    </xf>
    <xf numFmtId="0" fontId="0" fillId="0" borderId="16" xfId="0" applyFill="1" applyBorder="1" applyAlignment="1">
      <alignment wrapText="1"/>
    </xf>
    <xf numFmtId="0" fontId="3" fillId="0" borderId="13" xfId="0" applyFont="1" applyFill="1" applyBorder="1" applyAlignment="1">
      <alignment horizontal="center" wrapText="1"/>
    </xf>
    <xf numFmtId="164" fontId="3" fillId="19" borderId="36" xfId="1" applyFont="1" applyFill="1" applyBorder="1" applyAlignment="1">
      <alignment vertical="center"/>
    </xf>
    <xf numFmtId="164" fontId="0" fillId="19" borderId="32" xfId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16" xfId="0" applyFill="1" applyBorder="1" applyAlignment="1">
      <alignment vertical="center"/>
    </xf>
    <xf numFmtId="0" fontId="0" fillId="4" borderId="16" xfId="0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0" fontId="0" fillId="6" borderId="16" xfId="0" applyFill="1" applyBorder="1" applyAlignment="1">
      <alignment vertical="center"/>
    </xf>
    <xf numFmtId="0" fontId="0" fillId="7" borderId="16" xfId="0" applyFill="1" applyBorder="1" applyAlignment="1">
      <alignment vertical="center"/>
    </xf>
    <xf numFmtId="0" fontId="0" fillId="8" borderId="16" xfId="0" applyFill="1" applyBorder="1" applyAlignment="1">
      <alignment vertical="center"/>
    </xf>
    <xf numFmtId="0" fontId="0" fillId="9" borderId="16" xfId="0" applyFill="1" applyBorder="1" applyAlignment="1">
      <alignment vertical="center"/>
    </xf>
    <xf numFmtId="0" fontId="0" fillId="10" borderId="16" xfId="0" applyFill="1" applyBorder="1" applyAlignment="1">
      <alignment vertical="center"/>
    </xf>
    <xf numFmtId="0" fontId="0" fillId="11" borderId="16" xfId="0" applyFill="1" applyBorder="1" applyAlignment="1">
      <alignment vertical="center"/>
    </xf>
    <xf numFmtId="165" fontId="0" fillId="0" borderId="16" xfId="0" applyNumberFormat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0" fontId="0" fillId="5" borderId="13" xfId="0" applyFill="1" applyBorder="1" applyAlignment="1">
      <alignment vertical="center"/>
    </xf>
    <xf numFmtId="0" fontId="0" fillId="6" borderId="13" xfId="0" applyFill="1" applyBorder="1" applyAlignment="1">
      <alignment vertical="center"/>
    </xf>
    <xf numFmtId="0" fontId="0" fillId="7" borderId="13" xfId="0" applyFill="1" applyBorder="1" applyAlignment="1">
      <alignment vertical="center"/>
    </xf>
    <xf numFmtId="0" fontId="0" fillId="8" borderId="13" xfId="0" applyFill="1" applyBorder="1" applyAlignment="1">
      <alignment vertical="center"/>
    </xf>
    <xf numFmtId="0" fontId="0" fillId="9" borderId="13" xfId="0" applyFill="1" applyBorder="1" applyAlignment="1">
      <alignment vertical="center"/>
    </xf>
    <xf numFmtId="0" fontId="0" fillId="10" borderId="13" xfId="0" applyFill="1" applyBorder="1" applyAlignment="1">
      <alignment vertical="center"/>
    </xf>
    <xf numFmtId="0" fontId="0" fillId="11" borderId="13" xfId="0" applyFill="1" applyBorder="1" applyAlignment="1">
      <alignment vertical="center"/>
    </xf>
    <xf numFmtId="165" fontId="0" fillId="0" borderId="13" xfId="0" applyNumberFormat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165" fontId="0" fillId="0" borderId="48" xfId="0" applyNumberFormat="1" applyBorder="1" applyAlignment="1">
      <alignment vertical="center"/>
    </xf>
    <xf numFmtId="0" fontId="3" fillId="0" borderId="30" xfId="0" applyFont="1" applyFill="1" applyBorder="1"/>
    <xf numFmtId="0" fontId="0" fillId="21" borderId="37" xfId="0" applyFill="1" applyBorder="1"/>
    <xf numFmtId="165" fontId="0" fillId="21" borderId="37" xfId="0" applyNumberFormat="1" applyFill="1" applyBorder="1"/>
    <xf numFmtId="165" fontId="0" fillId="21" borderId="39" xfId="0" applyNumberFormat="1" applyFill="1" applyBorder="1"/>
    <xf numFmtId="0" fontId="0" fillId="21" borderId="39" xfId="0" applyFill="1" applyBorder="1"/>
    <xf numFmtId="165" fontId="0" fillId="21" borderId="37" xfId="0" applyNumberFormat="1" applyFont="1" applyFill="1" applyBorder="1"/>
    <xf numFmtId="165" fontId="0" fillId="0" borderId="16" xfId="0" applyNumberFormat="1" applyFill="1" applyBorder="1" applyAlignment="1">
      <alignment vertical="center"/>
    </xf>
    <xf numFmtId="165" fontId="0" fillId="0" borderId="13" xfId="0" applyNumberFormat="1" applyFill="1" applyBorder="1" applyAlignment="1">
      <alignment vertical="center"/>
    </xf>
    <xf numFmtId="165" fontId="3" fillId="0" borderId="13" xfId="0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ra Rojas Aranguren" id="{20CFC309-9D73-4706-B3B2-047CAE9B9596}" userId="S::arojas@inmotion.cl::3cdec285-f26b-4a7c-8cf6-56c5cab0228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2" dT="2023-10-04T21:05:42.38" personId="{20CFC309-9D73-4706-B3B2-047CAE9B9596}" id="{DF097C4B-10A6-4EE4-9029-B66CC4EA5A53}">
    <text>No se podría considerar la prima técnica de las cob de no riesgo</text>
  </threadedComment>
  <threadedComment ref="C17" dT="2023-10-04T20:25:17.54" personId="{20CFC309-9D73-4706-B3B2-047CAE9B9596}" id="{ABE52B25-03CA-4F8D-8AA7-15FA331EC2AB}">
    <text>Son rutinas hay que determinar primero los % a aplicar</text>
  </threadedComment>
  <threadedComment ref="C18" dT="2023-10-04T20:25:46.84" personId="{20CFC309-9D73-4706-B3B2-047CAE9B9596}" id="{1797D59B-FC70-4BBB-A0CE-0DEFFD1FBB8B}">
    <text xml:space="preserve">Son rutinas hay que determinar primero los % a aplicar
</text>
  </threadedComment>
  <threadedComment ref="C19" dT="2023-10-04T20:25:55.10" personId="{20CFC309-9D73-4706-B3B2-047CAE9B9596}" id="{E3BCEE2C-AC56-40A5-9F4F-89CD060AE5F7}">
    <text xml:space="preserve">Son rutinas hay que determinar primero los % a aplicar
</text>
  </threadedComment>
  <threadedComment ref="C20" dT="2023-10-04T20:26:02.55" personId="{20CFC309-9D73-4706-B3B2-047CAE9B9596}" id="{8141ED5E-3E7A-4170-BDCE-EE14F6BBBD26}">
    <text xml:space="preserve">Son rutinas hay que determinar primero los % a aplicar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1" dT="2023-10-04T21:05:42.38" personId="{20CFC309-9D73-4706-B3B2-047CAE9B9596}" id="{A5E411EB-3C36-4E24-9D48-D067073C0852}">
    <text>No se podría considerar la prima técnica de las cob de no riesgo</text>
  </threadedComment>
  <threadedComment ref="H16" dT="2023-10-04T20:25:17.54" personId="{20CFC309-9D73-4706-B3B2-047CAE9B9596}" id="{77DE22A5-7FAA-4E18-9C40-0CA2934EE04B}">
    <text>Son rutinas hay que determinar primero los % a aplicar</text>
  </threadedComment>
  <threadedComment ref="H17" dT="2023-10-04T20:25:46.84" personId="{20CFC309-9D73-4706-B3B2-047CAE9B9596}" id="{92EC5A17-D4D9-4A71-BB4C-12314FD26198}">
    <text xml:space="preserve">Son rutinas hay que determinar primero los % a aplicar
</text>
  </threadedComment>
  <threadedComment ref="H18" dT="2023-10-04T20:25:55.10" personId="{20CFC309-9D73-4706-B3B2-047CAE9B9596}" id="{2F5AFBFE-C479-4FFA-810D-9D384016D66A}">
    <text xml:space="preserve">Son rutinas hay que determinar primero los % a aplicar
</text>
  </threadedComment>
  <threadedComment ref="H19" dT="2023-10-04T20:26:02.55" personId="{20CFC309-9D73-4706-B3B2-047CAE9B9596}" id="{04C7BF5F-4CB1-40A2-8D45-3ACE5A30057D}">
    <text xml:space="preserve">Son rutinas hay que determinar primero los % a aplicar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O11" dT="2023-10-04T21:05:42.38" personId="{20CFC309-9D73-4706-B3B2-047CAE9B9596}" id="{D6D88BF7-824D-457F-94CE-983D3DE94047}">
    <text>No se podría considerar la prima técnica de las cob de no riesgo</text>
  </threadedComment>
  <threadedComment ref="G16" dT="2023-10-04T20:25:17.54" personId="{20CFC309-9D73-4706-B3B2-047CAE9B9596}" id="{201FD696-1364-4663-AEE8-92C983DDEB9D}">
    <text>Son rutinas hay que determinar primero los % a aplicar</text>
  </threadedComment>
  <threadedComment ref="G17" dT="2023-10-04T20:25:46.84" personId="{20CFC309-9D73-4706-B3B2-047CAE9B9596}" id="{01B11CB1-C258-43FE-9A1B-3FD44B5EF801}">
    <text xml:space="preserve">Son rutinas hay que determinar primero los % a aplicar
</text>
  </threadedComment>
  <threadedComment ref="G18" dT="2023-10-04T20:25:55.10" personId="{20CFC309-9D73-4706-B3B2-047CAE9B9596}" id="{F1D19BEE-DEE1-4635-9723-EA459032AFBF}">
    <text xml:space="preserve">Son rutinas hay que determinar primero los % a aplicar
</text>
  </threadedComment>
  <threadedComment ref="G19" dT="2023-10-04T20:26:02.55" personId="{20CFC309-9D73-4706-B3B2-047CAE9B9596}" id="{E2B852F9-0964-4196-B196-CDA20E9B4DAC}">
    <text xml:space="preserve">Son rutinas hay que determinar primero los % a aplicar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16" dT="2023-10-04T20:25:17.54" personId="{20CFC309-9D73-4706-B3B2-047CAE9B9596}" id="{38185559-7A37-450C-82C8-ED793DABBFAD}">
    <text>Son rutinas hay que determinar primero los % a aplicar</text>
  </threadedComment>
  <threadedComment ref="H17" dT="2023-10-04T20:25:17.54" personId="{20CFC309-9D73-4706-B3B2-047CAE9B9596}" id="{E01DE276-1CD8-43E7-BB36-BFDF90227D26}">
    <text>Son rutinas hay que determinar primero los % a aplicar</text>
  </threadedComment>
  <threadedComment ref="H18" dT="2023-10-04T20:25:46.84" personId="{20CFC309-9D73-4706-B3B2-047CAE9B9596}" id="{32D4D7A2-E022-4D5B-A7AD-43B7EEB0B8ED}">
    <text xml:space="preserve">Son rutinas hay que determinar primero los % a aplicar
</text>
  </threadedComment>
  <threadedComment ref="H19" dT="2023-10-04T20:25:55.10" personId="{20CFC309-9D73-4706-B3B2-047CAE9B9596}" id="{542AFD49-80A8-4323-8783-C434CD97CE32}">
    <text xml:space="preserve">Son rutinas hay que determinar primero los % a aplicar
</text>
  </threadedComment>
  <threadedComment ref="H20" dT="2023-10-04T20:26:02.55" personId="{20CFC309-9D73-4706-B3B2-047CAE9B9596}" id="{21B72D52-B2F9-4E7B-97BF-02F5DACD8155}">
    <text xml:space="preserve">Son rutinas hay que determinar primero los % a aplicar
</text>
  </threadedComment>
  <threadedComment ref="P20" dT="2023-10-04T21:05:42.38" personId="{20CFC309-9D73-4706-B3B2-047CAE9B9596}" id="{7BA556A6-55A1-47E9-825A-04BC8A650F82}">
    <text>No se podría considerar la prima técnica de las cob de no riesgo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N16" dT="2023-10-04T20:25:17.54" personId="{20CFC309-9D73-4706-B3B2-047CAE9B9596}" id="{4BD3DA31-288D-41FB-A76D-6CF33DEDE76F}">
    <text>Son rutinas hay que determinar primero los % a aplicar</text>
  </threadedComment>
  <threadedComment ref="N17" dT="2023-10-04T20:25:46.84" personId="{20CFC309-9D73-4706-B3B2-047CAE9B9596}" id="{7DFB995D-B837-4CFA-A9BE-E89D7966E4B4}">
    <text xml:space="preserve">Son rutinas hay que determinar primero los % a aplicar
</text>
  </threadedComment>
  <threadedComment ref="N18" dT="2023-10-04T20:25:55.10" personId="{20CFC309-9D73-4706-B3B2-047CAE9B9596}" id="{F65A3166-5CD6-403F-87D3-AC6F01205471}">
    <text xml:space="preserve">Son rutinas hay que determinar primero los % a aplicar
</text>
  </threadedComment>
  <threadedComment ref="N19" dT="2023-10-04T20:26:02.55" personId="{20CFC309-9D73-4706-B3B2-047CAE9B9596}" id="{53AD148E-82BF-4737-B632-EB1169D6B413}">
    <text xml:space="preserve">Son rutinas hay que determinar primero los % a aplicar
</text>
  </threadedComment>
  <threadedComment ref="V19" dT="2023-10-04T21:05:42.38" personId="{20CFC309-9D73-4706-B3B2-047CAE9B9596}" id="{FBDA969E-8182-4809-8D12-00092DF67112}">
    <text>No se podría considerar la prima técnica de las cob de no riesgo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O11" dT="2023-10-04T21:05:42.38" personId="{20CFC309-9D73-4706-B3B2-047CAE9B9596}" id="{52DCF6D6-77FF-4273-842D-B21363C1C9E3}">
    <text>No se podría considerar la prima técnica de las cob de no riesgo</text>
  </threadedComment>
  <threadedComment ref="G16" dT="2023-10-04T20:25:17.54" personId="{20CFC309-9D73-4706-B3B2-047CAE9B9596}" id="{2792EE3E-D731-48C9-AD33-7CFB55302693}">
    <text>Son rutinas hay que determinar primero los % a aplicar</text>
  </threadedComment>
  <threadedComment ref="G17" dT="2023-10-04T20:25:46.84" personId="{20CFC309-9D73-4706-B3B2-047CAE9B9596}" id="{76D42CF2-02A3-4506-A663-270B9C9D6FC8}">
    <text xml:space="preserve">Son rutinas hay que determinar primero los % a aplicar
</text>
  </threadedComment>
  <threadedComment ref="G18" dT="2023-10-04T20:25:55.10" personId="{20CFC309-9D73-4706-B3B2-047CAE9B9596}" id="{D69CE28C-F097-463F-BFEC-DC5F142E06AF}">
    <text xml:space="preserve">Son rutinas hay que determinar primero los % a aplicar
</text>
  </threadedComment>
  <threadedComment ref="G19" dT="2023-10-04T20:26:02.55" personId="{20CFC309-9D73-4706-B3B2-047CAE9B9596}" id="{E748D432-54F9-4787-8930-6A399B0A7DBE}">
    <text xml:space="preserve">Son rutinas hay que determinar primero los % a aplicar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K11" dT="2023-10-04T21:05:42.38" personId="{20CFC309-9D73-4706-B3B2-047CAE9B9596}" id="{6A93463A-6253-4440-8511-D515E6B0E457}">
    <text>No se podría considerar la prima técnica de las cob de no riesgo</text>
  </threadedComment>
  <threadedComment ref="C16" dT="2023-10-04T20:25:17.54" personId="{20CFC309-9D73-4706-B3B2-047CAE9B9596}" id="{455AA22F-5B2D-4EC5-9CE0-CE0E73E86178}">
    <text>Son rutinas hay que determinar primero los % a aplicar</text>
  </threadedComment>
  <threadedComment ref="C17" dT="2023-10-04T20:25:46.84" personId="{20CFC309-9D73-4706-B3B2-047CAE9B9596}" id="{50710015-2BDB-4CC0-AB54-670BB9926451}">
    <text xml:space="preserve">Son rutinas hay que determinar primero los % a aplicar
</text>
  </threadedComment>
  <threadedComment ref="C18" dT="2023-10-04T20:25:55.10" personId="{20CFC309-9D73-4706-B3B2-047CAE9B9596}" id="{A3BDF5A8-5325-48D1-8093-471434DEAEAB}">
    <text xml:space="preserve">Son rutinas hay que determinar primero los % a aplicar
</text>
  </threadedComment>
  <threadedComment ref="C19" dT="2023-10-04T20:26:02.55" personId="{20CFC309-9D73-4706-B3B2-047CAE9B9596}" id="{5D1BE841-4130-4137-AC8D-E4B33F3AF343}">
    <text xml:space="preserve">Son rutinas hay que determinar primero los % a aplicar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307A-646C-4544-B8AA-5219F0392B28}">
  <dimension ref="A1:AC27"/>
  <sheetViews>
    <sheetView tabSelected="1" zoomScale="85" zoomScaleNormal="85" workbookViewId="0">
      <selection activeCell="J19" sqref="J19"/>
    </sheetView>
  </sheetViews>
  <sheetFormatPr defaultColWidth="11.42578125" defaultRowHeight="15" x14ac:dyDescent="0.25"/>
  <cols>
    <col min="1" max="1" width="34.42578125" bestFit="1" customWidth="1"/>
    <col min="2" max="2" width="27.7109375" customWidth="1"/>
    <col min="3" max="3" width="39" customWidth="1"/>
    <col min="5" max="5" width="39.42578125" customWidth="1"/>
    <col min="6" max="7" width="22.28515625" customWidth="1"/>
    <col min="8" max="8" width="26.85546875" customWidth="1"/>
    <col min="9" max="9" width="14.5703125" customWidth="1"/>
    <col min="10" max="10" width="22.7109375" style="22" customWidth="1"/>
    <col min="11" max="11" width="14.28515625" customWidth="1"/>
    <col min="12" max="12" width="13.5703125" customWidth="1"/>
    <col min="16" max="16" width="15.85546875" customWidth="1"/>
    <col min="24" max="24" width="18.85546875" customWidth="1"/>
    <col min="25" max="25" width="26.28515625" style="22" customWidth="1"/>
    <col min="26" max="26" width="11.85546875" customWidth="1"/>
    <col min="27" max="27" width="0" hidden="1" customWidth="1"/>
    <col min="29" max="29" width="14.28515625" customWidth="1"/>
  </cols>
  <sheetData>
    <row r="1" spans="1:29" ht="15.75" thickBot="1" x14ac:dyDescent="0.3">
      <c r="B1" t="s">
        <v>49</v>
      </c>
      <c r="C1">
        <v>0</v>
      </c>
      <c r="K1" t="s">
        <v>15</v>
      </c>
    </row>
    <row r="2" spans="1:29" ht="75.400000000000006" customHeight="1" thickBot="1" x14ac:dyDescent="0.3">
      <c r="A2" s="191" t="s">
        <v>17</v>
      </c>
      <c r="B2" s="192"/>
      <c r="C2" s="193" t="s">
        <v>16</v>
      </c>
      <c r="D2" s="194"/>
      <c r="E2" s="195"/>
      <c r="F2" s="190" t="s">
        <v>30</v>
      </c>
      <c r="G2" s="190" t="s">
        <v>30</v>
      </c>
      <c r="H2" s="196" t="s">
        <v>12</v>
      </c>
      <c r="I2" s="186" t="s">
        <v>13</v>
      </c>
      <c r="J2" s="183" t="s">
        <v>14</v>
      </c>
      <c r="K2" s="184"/>
      <c r="L2" s="200" t="s">
        <v>0</v>
      </c>
      <c r="M2" s="200" t="s">
        <v>1</v>
      </c>
      <c r="N2" s="200" t="s">
        <v>2</v>
      </c>
      <c r="O2" s="200" t="s">
        <v>3</v>
      </c>
      <c r="P2" s="200" t="s">
        <v>4</v>
      </c>
      <c r="Q2" s="186" t="s">
        <v>5</v>
      </c>
      <c r="R2" s="200" t="s">
        <v>6</v>
      </c>
      <c r="S2" s="200" t="s">
        <v>7</v>
      </c>
      <c r="T2" s="200" t="s">
        <v>8</v>
      </c>
      <c r="U2" s="200" t="s">
        <v>79</v>
      </c>
      <c r="V2" s="200" t="s">
        <v>99</v>
      </c>
      <c r="W2" s="200" t="s">
        <v>100</v>
      </c>
      <c r="X2" s="200" t="s">
        <v>101</v>
      </c>
      <c r="Y2" s="185" t="s">
        <v>18</v>
      </c>
      <c r="Z2" s="202">
        <v>700</v>
      </c>
      <c r="AA2" s="206"/>
      <c r="AB2" s="206"/>
      <c r="AC2" s="203"/>
    </row>
    <row r="3" spans="1:29" ht="33" customHeight="1" x14ac:dyDescent="0.25">
      <c r="A3" s="212" t="s">
        <v>87</v>
      </c>
      <c r="B3" s="210">
        <v>2919.9806453375995</v>
      </c>
      <c r="C3" s="197" t="s">
        <v>27</v>
      </c>
      <c r="D3" s="198">
        <v>0</v>
      </c>
      <c r="E3" s="199" t="s">
        <v>31</v>
      </c>
      <c r="F3" s="214"/>
      <c r="G3" s="215"/>
      <c r="H3" s="246">
        <f>((B3+F3+G3)/(1-SUM($D$12:$D$15)))</f>
        <v>3743.5649299199995</v>
      </c>
      <c r="I3" s="237">
        <f>H3/(1-($D$16))</f>
        <v>4679.4561623999989</v>
      </c>
      <c r="J3" s="246">
        <f>I3/(1-SUM($D$17:$D$24))</f>
        <v>6317.6218172293993</v>
      </c>
      <c r="K3" s="216"/>
      <c r="L3" s="217">
        <f>H3*$D$12</f>
        <v>561.5347394879999</v>
      </c>
      <c r="M3" s="218">
        <f>$H3*$D$13</f>
        <v>187.17824649599999</v>
      </c>
      <c r="N3" s="219">
        <f>$H3*$D$14</f>
        <v>37.435649299199994</v>
      </c>
      <c r="O3" s="220">
        <f>$H3*$D$15</f>
        <v>37.435649299199994</v>
      </c>
      <c r="P3" s="221">
        <f>$I3*$D$16</f>
        <v>935.89123247999987</v>
      </c>
      <c r="Q3" s="222">
        <f>$J3*$D$17</f>
        <v>93.500802894995118</v>
      </c>
      <c r="R3" s="223">
        <f>$J3*$D$18</f>
        <v>533.84536117770153</v>
      </c>
      <c r="S3" s="224">
        <f>$J3*$D$19</f>
        <v>189.52865451688197</v>
      </c>
      <c r="T3" s="225">
        <f>$J3*$D$20</f>
        <v>821.29083623982194</v>
      </c>
      <c r="U3" s="237">
        <f>$J3*D21</f>
        <v>0</v>
      </c>
      <c r="V3" s="237">
        <f>$J3*D22</f>
        <v>0</v>
      </c>
      <c r="W3" s="237">
        <f>$J3*D23</f>
        <v>0</v>
      </c>
      <c r="X3" s="237">
        <f>$J3*D24</f>
        <v>0</v>
      </c>
      <c r="Y3" s="226">
        <f>SUM(B3+F3+G3+L3+M3+N3+O3+P3+Q3+R3+S3+T3+U3+V3+W3+X3)</f>
        <v>6317.6218172294002</v>
      </c>
      <c r="Z3" s="204" t="s">
        <v>65</v>
      </c>
      <c r="AA3" s="205" t="s">
        <v>57</v>
      </c>
      <c r="AB3" s="205" t="s">
        <v>58</v>
      </c>
      <c r="AC3" s="205" t="s">
        <v>59</v>
      </c>
    </row>
    <row r="4" spans="1:29" ht="30" x14ac:dyDescent="0.25">
      <c r="A4" s="213" t="s">
        <v>88</v>
      </c>
      <c r="B4" s="211">
        <v>1</v>
      </c>
      <c r="C4" s="2" t="s">
        <v>32</v>
      </c>
      <c r="D4" s="161"/>
      <c r="E4" s="3" t="s">
        <v>31</v>
      </c>
      <c r="H4" s="247"/>
      <c r="I4" s="238"/>
      <c r="J4" s="247"/>
      <c r="K4" s="216"/>
      <c r="L4" s="227"/>
      <c r="M4" s="228"/>
      <c r="N4" s="229"/>
      <c r="O4" s="230"/>
      <c r="P4" s="231"/>
      <c r="Q4" s="232"/>
      <c r="R4" s="233"/>
      <c r="S4" s="234"/>
      <c r="T4" s="235"/>
      <c r="U4" s="238">
        <f t="shared" ref="U4:U8" si="0">$J4*D22</f>
        <v>0</v>
      </c>
      <c r="V4" s="238"/>
      <c r="W4" s="238"/>
      <c r="X4" s="238"/>
      <c r="Y4" s="236"/>
      <c r="Z4" s="201">
        <v>1</v>
      </c>
      <c r="AA4" s="201" t="s">
        <v>60</v>
      </c>
      <c r="AB4" s="201">
        <v>0</v>
      </c>
      <c r="AC4" s="201">
        <v>0</v>
      </c>
    </row>
    <row r="5" spans="1:29" x14ac:dyDescent="0.25">
      <c r="A5" s="30" t="s">
        <v>21</v>
      </c>
      <c r="B5" s="158">
        <v>0</v>
      </c>
      <c r="C5" s="2"/>
      <c r="D5" s="161"/>
      <c r="E5" s="3"/>
      <c r="H5" s="247">
        <f>((B5+F5)/(1-SUM($D$12:$D$15)))</f>
        <v>0</v>
      </c>
      <c r="I5" s="238">
        <f t="shared" ref="I5:I11" si="1">H5/(1-($D$16))</f>
        <v>0</v>
      </c>
      <c r="J5" s="247">
        <f>I5/(1-SUM($D$17:$D$20))</f>
        <v>0</v>
      </c>
      <c r="K5" s="216"/>
      <c r="L5" s="227">
        <f>H5*$D$12</f>
        <v>0</v>
      </c>
      <c r="M5" s="228">
        <f>$H5*$D$13</f>
        <v>0</v>
      </c>
      <c r="N5" s="229">
        <f>$H5*$D$14</f>
        <v>0</v>
      </c>
      <c r="O5" s="230">
        <f>$H5*$D$15</f>
        <v>0</v>
      </c>
      <c r="P5" s="231">
        <f t="shared" ref="P5:P12" si="2">$I5*$D$16</f>
        <v>0</v>
      </c>
      <c r="Q5" s="232">
        <f t="shared" ref="Q5:Q12" si="3">$J5*$D$17</f>
        <v>0</v>
      </c>
      <c r="R5" s="233">
        <f t="shared" ref="R5:R11" si="4">$J5*$D$18</f>
        <v>0</v>
      </c>
      <c r="S5" s="234">
        <f t="shared" ref="S5:S11" si="5">$J5*$D$19</f>
        <v>0</v>
      </c>
      <c r="T5" s="235">
        <f t="shared" ref="T5:T11" si="6">$J5*$D$20</f>
        <v>0</v>
      </c>
      <c r="U5" s="238">
        <f>$J5*D21</f>
        <v>0</v>
      </c>
      <c r="V5" s="238">
        <f>$J5*D22</f>
        <v>0</v>
      </c>
      <c r="W5" s="238">
        <f>$J5*D23</f>
        <v>0</v>
      </c>
      <c r="X5" s="238">
        <f>$J5*D24</f>
        <v>0</v>
      </c>
      <c r="Y5" s="236">
        <f>SUM(B5+F5+L5+M5+N5+O5+P5+Q5+R5+S5+T5)</f>
        <v>0</v>
      </c>
      <c r="Z5" s="201">
        <v>2</v>
      </c>
      <c r="AA5" s="201" t="s">
        <v>61</v>
      </c>
      <c r="AB5" s="201">
        <v>0</v>
      </c>
      <c r="AC5" s="201">
        <v>0.51578900000000005</v>
      </c>
    </row>
    <row r="6" spans="1:29" x14ac:dyDescent="0.25">
      <c r="A6" s="30" t="s">
        <v>22</v>
      </c>
      <c r="B6" s="159">
        <v>21.84</v>
      </c>
      <c r="C6" s="2"/>
      <c r="D6" s="162"/>
      <c r="E6" s="3"/>
      <c r="H6" s="238">
        <f t="shared" ref="H6:H11" si="7">B6</f>
        <v>21.84</v>
      </c>
      <c r="I6" s="238">
        <f t="shared" si="1"/>
        <v>27.299999999999997</v>
      </c>
      <c r="J6" s="247">
        <f t="shared" ref="J6:J11" si="8">I6/(1-SUM($D$17:$D$24))</f>
        <v>36.857076896283104</v>
      </c>
      <c r="K6" s="216"/>
      <c r="L6" s="227"/>
      <c r="M6" s="228"/>
      <c r="N6" s="229"/>
      <c r="O6" s="230"/>
      <c r="P6" s="231">
        <f t="shared" si="2"/>
        <v>5.46</v>
      </c>
      <c r="Q6" s="232">
        <f t="shared" si="3"/>
        <v>0.54548473806498998</v>
      </c>
      <c r="R6" s="233">
        <f t="shared" si="4"/>
        <v>3.1144598548128188</v>
      </c>
      <c r="S6" s="234">
        <f t="shared" si="5"/>
        <v>1.1057123068884931</v>
      </c>
      <c r="T6" s="235">
        <f t="shared" si="6"/>
        <v>4.7914199965168036</v>
      </c>
      <c r="U6" s="238">
        <f>$J6*D21</f>
        <v>0</v>
      </c>
      <c r="V6" s="238">
        <f>$J6*D22</f>
        <v>0</v>
      </c>
      <c r="W6" s="238">
        <f>$J6*D23</f>
        <v>0</v>
      </c>
      <c r="X6" s="238">
        <f>$J6*D24</f>
        <v>0</v>
      </c>
      <c r="Y6" s="236">
        <f>SUM(B6+F6+P6+Q6+R6+S6+T6+U6+V6+W6+X6)</f>
        <v>36.857076896283104</v>
      </c>
      <c r="Z6" s="201">
        <v>3</v>
      </c>
      <c r="AA6" s="201" t="s">
        <v>62</v>
      </c>
      <c r="AB6" s="201">
        <v>0</v>
      </c>
      <c r="AC6" s="201">
        <v>0.263158</v>
      </c>
    </row>
    <row r="7" spans="1:29" x14ac:dyDescent="0.25">
      <c r="A7" s="30" t="s">
        <v>23</v>
      </c>
      <c r="B7" s="159">
        <v>0</v>
      </c>
      <c r="C7" s="2"/>
      <c r="D7" s="162"/>
      <c r="E7" s="3"/>
      <c r="H7" s="238">
        <f t="shared" si="7"/>
        <v>0</v>
      </c>
      <c r="I7" s="238">
        <f t="shared" si="1"/>
        <v>0</v>
      </c>
      <c r="J7" s="247">
        <f t="shared" si="8"/>
        <v>0</v>
      </c>
      <c r="K7" s="216"/>
      <c r="L7" s="227"/>
      <c r="M7" s="228"/>
      <c r="N7" s="229"/>
      <c r="O7" s="230"/>
      <c r="P7" s="231">
        <f t="shared" si="2"/>
        <v>0</v>
      </c>
      <c r="Q7" s="232">
        <f t="shared" si="3"/>
        <v>0</v>
      </c>
      <c r="R7" s="233">
        <f t="shared" si="4"/>
        <v>0</v>
      </c>
      <c r="S7" s="234">
        <f t="shared" si="5"/>
        <v>0</v>
      </c>
      <c r="T7" s="235">
        <f t="shared" si="6"/>
        <v>0</v>
      </c>
      <c r="U7" s="238">
        <f>$J7*D21</f>
        <v>0</v>
      </c>
      <c r="V7" s="238">
        <f>$J7*D22</f>
        <v>0</v>
      </c>
      <c r="W7" s="238">
        <f>$J7*D23</f>
        <v>0</v>
      </c>
      <c r="X7" s="238">
        <f>$J7*D24</f>
        <v>0</v>
      </c>
      <c r="Y7" s="236">
        <f>SUM(B7+F7+P7+Q7+R7+S7+T7+U7+V7+W7+X7)</f>
        <v>0</v>
      </c>
      <c r="Z7" s="201">
        <v>5</v>
      </c>
      <c r="AA7" s="201" t="s">
        <v>63</v>
      </c>
      <c r="AB7" s="201">
        <v>0</v>
      </c>
      <c r="AC7" s="201">
        <v>8.7719000000000005E-2</v>
      </c>
    </row>
    <row r="8" spans="1:29" x14ac:dyDescent="0.25">
      <c r="A8" s="30" t="s">
        <v>48</v>
      </c>
      <c r="B8" s="159">
        <f>B17*B4</f>
        <v>0</v>
      </c>
      <c r="C8" s="2"/>
      <c r="D8" s="162"/>
      <c r="E8" s="3"/>
      <c r="H8" s="238">
        <f t="shared" si="7"/>
        <v>0</v>
      </c>
      <c r="I8" s="238">
        <f t="shared" si="1"/>
        <v>0</v>
      </c>
      <c r="J8" s="247">
        <f t="shared" si="8"/>
        <v>0</v>
      </c>
      <c r="K8" s="216"/>
      <c r="L8" s="227"/>
      <c r="M8" s="228"/>
      <c r="N8" s="229"/>
      <c r="O8" s="230"/>
      <c r="P8" s="231">
        <f t="shared" si="2"/>
        <v>0</v>
      </c>
      <c r="Q8" s="232">
        <f t="shared" si="3"/>
        <v>0</v>
      </c>
      <c r="R8" s="233">
        <f t="shared" si="4"/>
        <v>0</v>
      </c>
      <c r="S8" s="234">
        <f t="shared" si="5"/>
        <v>0</v>
      </c>
      <c r="T8" s="235">
        <f t="shared" si="6"/>
        <v>0</v>
      </c>
      <c r="U8" s="238">
        <f t="shared" si="0"/>
        <v>0</v>
      </c>
      <c r="V8" s="238">
        <f t="shared" ref="V8" si="9">$J8*$D$20</f>
        <v>0</v>
      </c>
      <c r="W8" s="238">
        <f t="shared" ref="W8" si="10">$J8*D25</f>
        <v>0</v>
      </c>
      <c r="X8" s="238">
        <f t="shared" ref="X8" si="11">$J8*D26</f>
        <v>0</v>
      </c>
      <c r="Y8" s="236">
        <f t="shared" ref="Y8" si="12">SUM(B8+F8+P8+Q8+R8+S8+T8)</f>
        <v>0</v>
      </c>
      <c r="Z8" s="201">
        <v>8</v>
      </c>
      <c r="AA8" s="201" t="s">
        <v>64</v>
      </c>
      <c r="AB8" s="201">
        <v>2</v>
      </c>
      <c r="AC8" s="201">
        <v>1.0526279999999999</v>
      </c>
    </row>
    <row r="9" spans="1:29" x14ac:dyDescent="0.25">
      <c r="A9" s="30" t="s">
        <v>24</v>
      </c>
      <c r="B9" s="159">
        <v>54.6</v>
      </c>
      <c r="C9" s="2"/>
      <c r="D9" s="162"/>
      <c r="E9" s="3"/>
      <c r="H9" s="238">
        <f t="shared" si="7"/>
        <v>54.6</v>
      </c>
      <c r="I9" s="238">
        <f t="shared" si="1"/>
        <v>68.25</v>
      </c>
      <c r="J9" s="247">
        <f t="shared" si="8"/>
        <v>92.14269224070776</v>
      </c>
      <c r="K9" s="216"/>
      <c r="L9" s="227"/>
      <c r="M9" s="228"/>
      <c r="N9" s="229"/>
      <c r="O9" s="230"/>
      <c r="P9" s="231">
        <f t="shared" si="2"/>
        <v>13.65</v>
      </c>
      <c r="Q9" s="232">
        <f t="shared" si="3"/>
        <v>1.363711845162475</v>
      </c>
      <c r="R9" s="233">
        <f t="shared" si="4"/>
        <v>7.7861496370320467</v>
      </c>
      <c r="S9" s="234">
        <f t="shared" si="5"/>
        <v>2.7642807672212326</v>
      </c>
      <c r="T9" s="235">
        <f t="shared" si="6"/>
        <v>11.978549991292009</v>
      </c>
      <c r="U9" s="238">
        <f>$J9*D21</f>
        <v>0</v>
      </c>
      <c r="V9" s="238">
        <f>$J9*D22</f>
        <v>0</v>
      </c>
      <c r="W9" s="238">
        <f>$J9*D23</f>
        <v>0</v>
      </c>
      <c r="X9" s="238">
        <f>$J9*D24</f>
        <v>0</v>
      </c>
      <c r="Y9" s="236">
        <f>SUM(B9+F9+P9+Q9+R9+S9+T9+U9+V9+W9+X9)</f>
        <v>92.142692240707774</v>
      </c>
    </row>
    <row r="10" spans="1:29" x14ac:dyDescent="0.25">
      <c r="A10" s="30" t="s">
        <v>25</v>
      </c>
      <c r="B10" s="159">
        <v>80.64</v>
      </c>
      <c r="C10" s="2"/>
      <c r="D10" s="162"/>
      <c r="E10" s="3"/>
      <c r="H10" s="238">
        <f t="shared" si="7"/>
        <v>80.64</v>
      </c>
      <c r="I10" s="238">
        <f t="shared" si="1"/>
        <v>100.8</v>
      </c>
      <c r="J10" s="247">
        <f t="shared" si="8"/>
        <v>136.08766854012222</v>
      </c>
      <c r="K10" s="216"/>
      <c r="L10" s="227"/>
      <c r="M10" s="228"/>
      <c r="N10" s="229"/>
      <c r="O10" s="230"/>
      <c r="P10" s="231">
        <f t="shared" si="2"/>
        <v>20.16</v>
      </c>
      <c r="Q10" s="232">
        <f t="shared" si="3"/>
        <v>2.014097494393809</v>
      </c>
      <c r="R10" s="233">
        <f t="shared" si="4"/>
        <v>11.499544079308869</v>
      </c>
      <c r="S10" s="234">
        <f t="shared" si="5"/>
        <v>4.0826300562036666</v>
      </c>
      <c r="T10" s="235">
        <f t="shared" si="6"/>
        <v>17.691396910215889</v>
      </c>
      <c r="U10" s="238">
        <f>$J10*D21</f>
        <v>0</v>
      </c>
      <c r="V10" s="238">
        <f>$J10*D22</f>
        <v>0</v>
      </c>
      <c r="W10" s="238">
        <f>$J10*D23</f>
        <v>0</v>
      </c>
      <c r="X10" s="238">
        <f>$J10*D24</f>
        <v>0</v>
      </c>
      <c r="Y10" s="236">
        <f>SUM(B10+F10+P10+Q10+R10+S10+T10+U10+V10+W10+X10)</f>
        <v>136.08766854012225</v>
      </c>
    </row>
    <row r="11" spans="1:29" ht="15.75" thickBot="1" x14ac:dyDescent="0.3">
      <c r="A11" s="30" t="s">
        <v>26</v>
      </c>
      <c r="B11" s="159">
        <v>44.377200000000002</v>
      </c>
      <c r="C11" s="2"/>
      <c r="D11" s="162"/>
      <c r="E11" s="3"/>
      <c r="H11" s="238">
        <f t="shared" si="7"/>
        <v>44.377200000000002</v>
      </c>
      <c r="I11" s="238">
        <f t="shared" si="1"/>
        <v>55.471499999999999</v>
      </c>
      <c r="J11" s="247">
        <f t="shared" si="8"/>
        <v>74.890745093486018</v>
      </c>
      <c r="K11" s="216"/>
      <c r="L11" s="227"/>
      <c r="M11" s="228"/>
      <c r="N11" s="229"/>
      <c r="O11" s="230"/>
      <c r="P11" s="231">
        <f t="shared" si="2"/>
        <v>11.0943</v>
      </c>
      <c r="Q11" s="232">
        <f t="shared" si="3"/>
        <v>1.1083830273835931</v>
      </c>
      <c r="R11" s="233">
        <f t="shared" si="4"/>
        <v>6.3283428511446624</v>
      </c>
      <c r="S11" s="234">
        <f t="shared" si="5"/>
        <v>2.2467223528045803</v>
      </c>
      <c r="T11" s="235">
        <f t="shared" si="6"/>
        <v>9.7357968621531832</v>
      </c>
      <c r="U11" s="238">
        <f>$J11*D21</f>
        <v>0</v>
      </c>
      <c r="V11" s="238">
        <f>$J11*D22</f>
        <v>0</v>
      </c>
      <c r="W11" s="238">
        <f>$J11*D23</f>
        <v>0</v>
      </c>
      <c r="X11" s="238">
        <f>$J11*D24</f>
        <v>0</v>
      </c>
      <c r="Y11" s="239">
        <f>SUM(B11+F11+P11+Q11+R11+S11+T11+U11+V11+W11+X11)</f>
        <v>74.890745093486018</v>
      </c>
    </row>
    <row r="12" spans="1:29" ht="15.75" thickBot="1" x14ac:dyDescent="0.3">
      <c r="A12" s="30"/>
      <c r="B12" s="160">
        <f>B3+B6+B7+B8+B9+B10+B11</f>
        <v>3121.4378453375994</v>
      </c>
      <c r="C12" s="139" t="s">
        <v>0</v>
      </c>
      <c r="D12" s="138">
        <v>0.15</v>
      </c>
      <c r="E12" s="3" t="s">
        <v>33</v>
      </c>
      <c r="H12" s="248"/>
      <c r="I12" s="189">
        <f>SUM(I3:I11)</f>
        <v>4931.2776623999989</v>
      </c>
      <c r="J12" s="248">
        <f>SUM(J3:J11)</f>
        <v>6657.5999999999985</v>
      </c>
      <c r="P12" s="17">
        <f t="shared" si="2"/>
        <v>986.25553247999983</v>
      </c>
      <c r="Q12" s="40">
        <f t="shared" si="3"/>
        <v>98.532479999999978</v>
      </c>
      <c r="R12" s="41">
        <f>SUM(R3:R11)</f>
        <v>562.57385759999988</v>
      </c>
      <c r="S12" s="42">
        <f t="shared" ref="S12:T12" si="13">SUM(S3:S11)</f>
        <v>199.72799999999995</v>
      </c>
      <c r="T12" s="43">
        <f t="shared" si="13"/>
        <v>865.48799999999972</v>
      </c>
      <c r="U12" s="188"/>
      <c r="V12" s="188"/>
      <c r="W12" s="188"/>
      <c r="X12" s="188"/>
      <c r="Y12" s="245">
        <f>SUM(Y3:Y11)</f>
        <v>6657.5999999999995</v>
      </c>
      <c r="Z12" s="241" t="s">
        <v>60</v>
      </c>
    </row>
    <row r="13" spans="1:29" ht="15.75" thickBot="1" x14ac:dyDescent="0.3">
      <c r="C13" s="139" t="s">
        <v>1</v>
      </c>
      <c r="D13" s="138">
        <v>0.05</v>
      </c>
      <c r="E13" s="3" t="s">
        <v>33</v>
      </c>
      <c r="L13" s="189">
        <f>SUM(L3:L5)*(1+0.0526316)/12</f>
        <v>49.257434273569714</v>
      </c>
      <c r="M13" s="189">
        <f>SUM(M3:M5)*(1+0.0526316)/12</f>
        <v>16.419144757856571</v>
      </c>
      <c r="N13" s="189">
        <f>SUM(N3:N5)*(1+0.0526316)/12</f>
        <v>3.2838289515713139</v>
      </c>
      <c r="O13" s="189">
        <f>SUM(O3:O5)*(1+0.0526316)/12</f>
        <v>3.2838289515713139</v>
      </c>
      <c r="P13" s="189">
        <f>SUM(P3:P11)*(1+0.0526316)/12</f>
        <v>86.513644930272847</v>
      </c>
      <c r="Q13" s="189">
        <f>SUM(Q3:Q11)*(1+0.0526316)/12</f>
        <v>8.6432001728639971</v>
      </c>
      <c r="R13" s="189">
        <f>SUM(R3:R11)*(1+0.0526316)/12</f>
        <v>49.348584986971673</v>
      </c>
      <c r="S13" s="189">
        <f>SUM(S3:S10)*(1+0.0526316)/12</f>
        <v>17.322919438317626</v>
      </c>
      <c r="T13" s="189">
        <f>SUM(T3:T10)*(1+0.0526316)/12</f>
        <v>75.06598423270971</v>
      </c>
      <c r="U13" s="189">
        <f>SUM(U3:U11)*(1+0.0526316)/12</f>
        <v>0</v>
      </c>
      <c r="V13" s="189">
        <f t="shared" ref="V13:X13" si="14">SUM(V3:V11)*(1+0.0526316)/12</f>
        <v>0</v>
      </c>
      <c r="W13" s="189">
        <f t="shared" si="14"/>
        <v>0</v>
      </c>
      <c r="X13" s="240">
        <f t="shared" si="14"/>
        <v>0</v>
      </c>
      <c r="Y13" s="242">
        <f>Y12*AC7</f>
        <v>583.99801439999999</v>
      </c>
      <c r="Z13" s="242" t="s">
        <v>63</v>
      </c>
    </row>
    <row r="14" spans="1:29" ht="15.75" thickBot="1" x14ac:dyDescent="0.3">
      <c r="A14" s="187" t="s">
        <v>98</v>
      </c>
      <c r="B14" s="187"/>
      <c r="C14" s="139" t="s">
        <v>2</v>
      </c>
      <c r="D14" s="138">
        <v>0.01</v>
      </c>
      <c r="E14" s="3" t="s">
        <v>33</v>
      </c>
      <c r="G14" s="22"/>
      <c r="Y14" s="242">
        <f>Y12*AC6</f>
        <v>1752.0007007999998</v>
      </c>
      <c r="Z14" s="241" t="s">
        <v>62</v>
      </c>
    </row>
    <row r="15" spans="1:29" ht="15.75" thickBot="1" x14ac:dyDescent="0.3">
      <c r="A15" s="30" t="s">
        <v>22</v>
      </c>
      <c r="B15" s="159">
        <v>3.12</v>
      </c>
      <c r="C15" s="139" t="s">
        <v>3</v>
      </c>
      <c r="D15" s="138">
        <v>0.01</v>
      </c>
      <c r="E15" s="3" t="s">
        <v>33</v>
      </c>
      <c r="Y15" s="243">
        <f>Y12*AC5</f>
        <v>3433.9168463999999</v>
      </c>
      <c r="Z15" s="244" t="s">
        <v>61</v>
      </c>
    </row>
    <row r="16" spans="1:29" x14ac:dyDescent="0.25">
      <c r="A16" s="30" t="s">
        <v>23</v>
      </c>
      <c r="B16" s="159">
        <v>3.6</v>
      </c>
      <c r="C16" s="139" t="s">
        <v>4</v>
      </c>
      <c r="D16" s="138">
        <v>0.2</v>
      </c>
      <c r="E16" s="3" t="s">
        <v>34</v>
      </c>
    </row>
    <row r="17" spans="1:9" x14ac:dyDescent="0.25">
      <c r="A17" s="30" t="s">
        <v>48</v>
      </c>
      <c r="B17" s="159">
        <v>0</v>
      </c>
      <c r="C17" s="139" t="s">
        <v>5</v>
      </c>
      <c r="D17" s="155">
        <v>1.4800000000000001E-2</v>
      </c>
      <c r="E17" s="3" t="s">
        <v>9</v>
      </c>
    </row>
    <row r="18" spans="1:9" x14ac:dyDescent="0.25">
      <c r="A18" s="30" t="s">
        <v>24</v>
      </c>
      <c r="B18" s="159">
        <v>7.8</v>
      </c>
      <c r="C18" s="139" t="s">
        <v>6</v>
      </c>
      <c r="D18" s="155">
        <v>8.4501000000000007E-2</v>
      </c>
      <c r="E18" s="3" t="s">
        <v>29</v>
      </c>
    </row>
    <row r="19" spans="1:9" x14ac:dyDescent="0.25">
      <c r="A19" s="30" t="s">
        <v>25</v>
      </c>
      <c r="B19" s="159">
        <v>7.92</v>
      </c>
      <c r="C19" s="139" t="s">
        <v>7</v>
      </c>
      <c r="D19" s="138">
        <v>0.03</v>
      </c>
      <c r="E19" s="3" t="s">
        <v>11</v>
      </c>
    </row>
    <row r="20" spans="1:9" x14ac:dyDescent="0.25">
      <c r="A20" s="30" t="s">
        <v>26</v>
      </c>
      <c r="B20" s="159">
        <v>6.34</v>
      </c>
      <c r="C20" s="139" t="s">
        <v>8</v>
      </c>
      <c r="D20" s="138">
        <v>0.13</v>
      </c>
      <c r="E20" s="3" t="s">
        <v>10</v>
      </c>
    </row>
    <row r="21" spans="1:9" ht="17.25" customHeight="1" x14ac:dyDescent="0.25">
      <c r="C21" s="156" t="s">
        <v>79</v>
      </c>
      <c r="D21" s="140">
        <v>0</v>
      </c>
      <c r="E21" s="3" t="s">
        <v>83</v>
      </c>
      <c r="I21" s="22"/>
    </row>
    <row r="22" spans="1:9" ht="17.25" customHeight="1" x14ac:dyDescent="0.25">
      <c r="C22" s="139" t="s">
        <v>80</v>
      </c>
      <c r="D22" s="140">
        <v>0</v>
      </c>
      <c r="E22" s="3" t="s">
        <v>84</v>
      </c>
    </row>
    <row r="23" spans="1:9" x14ac:dyDescent="0.25">
      <c r="C23" s="156" t="s">
        <v>81</v>
      </c>
      <c r="D23" s="140">
        <v>0</v>
      </c>
      <c r="E23" s="3" t="s">
        <v>85</v>
      </c>
    </row>
    <row r="24" spans="1:9" ht="15.75" thickBot="1" x14ac:dyDescent="0.3">
      <c r="C24" s="157" t="s">
        <v>82</v>
      </c>
      <c r="D24" s="163">
        <v>0</v>
      </c>
      <c r="E24" s="5" t="s">
        <v>86</v>
      </c>
    </row>
    <row r="26" spans="1:9" ht="15.75" thickBot="1" x14ac:dyDescent="0.3"/>
    <row r="27" spans="1:9" ht="40.5" customHeight="1" thickBot="1" x14ac:dyDescent="0.4">
      <c r="C27" s="207" t="s">
        <v>97</v>
      </c>
      <c r="D27" s="208"/>
      <c r="E27" s="209"/>
    </row>
  </sheetData>
  <mergeCells count="5">
    <mergeCell ref="C27:E27"/>
    <mergeCell ref="A2:B2"/>
    <mergeCell ref="C2:E2"/>
    <mergeCell ref="Z2:AC2"/>
    <mergeCell ref="A14:B14"/>
  </mergeCells>
  <pageMargins left="0.7" right="0.7" top="0.75" bottom="0.75" header="0.3" footer="0.3"/>
  <pageSetup paperSize="9" orientation="portrait" r:id="rId1"/>
  <ignoredErrors>
    <ignoredError sqref="U7:X8 Y8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C5C1-36E2-4FBC-A3F4-40F0FB1C33E7}">
  <dimension ref="A1:AD30"/>
  <sheetViews>
    <sheetView zoomScaleNormal="100" workbookViewId="0">
      <selection activeCell="H16" sqref="H16:H17"/>
    </sheetView>
  </sheetViews>
  <sheetFormatPr defaultColWidth="11.42578125" defaultRowHeight="15" x14ac:dyDescent="0.25"/>
  <cols>
    <col min="1" max="1" width="29.7109375" bestFit="1" customWidth="1"/>
    <col min="2" max="2" width="14.28515625" customWidth="1"/>
    <col min="3" max="3" width="15" customWidth="1"/>
    <col min="4" max="6" width="14.42578125" customWidth="1"/>
    <col min="7" max="7" width="29" customWidth="1"/>
    <col min="8" max="8" width="11.5703125" customWidth="1"/>
    <col min="9" max="9" width="29.7109375" customWidth="1"/>
    <col min="10" max="11" width="22.28515625" customWidth="1"/>
    <col min="12" max="12" width="12" customWidth="1"/>
    <col min="13" max="13" width="14.28515625" customWidth="1"/>
    <col min="14" max="14" width="13.7109375" style="22" customWidth="1"/>
    <col min="15" max="15" width="14.28515625" customWidth="1"/>
    <col min="16" max="16" width="11.28515625" customWidth="1"/>
    <col min="17" max="17" width="9.140625" customWidth="1"/>
    <col min="18" max="19" width="10" customWidth="1"/>
    <col min="21" max="21" width="8.7109375" customWidth="1"/>
    <col min="22" max="22" width="9.7109375" customWidth="1"/>
    <col min="23" max="23" width="10.5703125" customWidth="1"/>
    <col min="24" max="24" width="10.140625" customWidth="1"/>
    <col min="25" max="25" width="20.140625" style="22" customWidth="1"/>
  </cols>
  <sheetData>
    <row r="1" spans="1:30" ht="54" customHeight="1" thickBot="1" x14ac:dyDescent="0.3">
      <c r="A1" s="164" t="s">
        <v>17</v>
      </c>
      <c r="B1" s="165"/>
      <c r="C1" s="165"/>
      <c r="D1" s="165"/>
      <c r="E1" s="165"/>
      <c r="F1" s="169"/>
      <c r="O1" t="s">
        <v>15</v>
      </c>
      <c r="Y1" s="23" t="s">
        <v>66</v>
      </c>
    </row>
    <row r="2" spans="1:30" ht="45" customHeight="1" x14ac:dyDescent="0.25">
      <c r="A2" s="120" t="s">
        <v>68</v>
      </c>
      <c r="B2" s="120" t="s">
        <v>67</v>
      </c>
      <c r="C2" s="120" t="s">
        <v>69</v>
      </c>
      <c r="D2" s="120" t="s">
        <v>70</v>
      </c>
      <c r="E2" s="120" t="s">
        <v>71</v>
      </c>
      <c r="F2" s="120" t="s">
        <v>72</v>
      </c>
      <c r="G2" s="166" t="s">
        <v>16</v>
      </c>
      <c r="H2" s="166"/>
      <c r="I2" s="167"/>
      <c r="J2" s="10" t="s">
        <v>30</v>
      </c>
      <c r="K2" s="10" t="s">
        <v>30</v>
      </c>
      <c r="L2" t="s">
        <v>12</v>
      </c>
      <c r="M2" s="153" t="s">
        <v>13</v>
      </c>
      <c r="N2" s="154" t="s">
        <v>14</v>
      </c>
      <c r="P2" s="120" t="s">
        <v>0</v>
      </c>
      <c r="Q2" s="120" t="s">
        <v>1</v>
      </c>
      <c r="R2" s="120" t="s">
        <v>2</v>
      </c>
      <c r="S2" s="120" t="s">
        <v>3</v>
      </c>
      <c r="T2" s="120" t="s">
        <v>4</v>
      </c>
      <c r="U2" s="120" t="s">
        <v>5</v>
      </c>
      <c r="V2" s="120" t="s">
        <v>6</v>
      </c>
      <c r="W2" s="120" t="s">
        <v>7</v>
      </c>
      <c r="X2" s="120" t="s">
        <v>8</v>
      </c>
      <c r="Y2" s="120" t="s">
        <v>73</v>
      </c>
    </row>
    <row r="3" spans="1:30" ht="15.75" thickBot="1" x14ac:dyDescent="0.3">
      <c r="A3" s="2" t="s">
        <v>20</v>
      </c>
      <c r="B3" s="121">
        <v>478.34904</v>
      </c>
      <c r="C3" s="26">
        <v>46049</v>
      </c>
      <c r="D3" s="26">
        <v>46068</v>
      </c>
      <c r="E3" s="81">
        <f>_xlfn.DAYS(D3,C3)</f>
        <v>19</v>
      </c>
      <c r="F3" s="3">
        <f>((B3/365)*E3)</f>
        <v>24.900360986301369</v>
      </c>
      <c r="G3" t="s">
        <v>27</v>
      </c>
      <c r="H3" s="6"/>
      <c r="I3" s="3" t="s">
        <v>31</v>
      </c>
      <c r="J3">
        <f>F3*H3</f>
        <v>0</v>
      </c>
      <c r="K3">
        <f>F3*H4</f>
        <v>0</v>
      </c>
      <c r="L3" s="12">
        <f>((F3+J3+K3)/(1-SUM($H$11:$H$14)))</f>
        <v>31.923539726027396</v>
      </c>
      <c r="M3" s="13">
        <f>L3/(1-($H$15))</f>
        <v>39.904424657534243</v>
      </c>
      <c r="N3" s="12">
        <f>M3/(1-SUM($H$16:$H$19))</f>
        <v>53.874009088083341</v>
      </c>
      <c r="P3" s="111">
        <f>L3*$H$11</f>
        <v>4.7885309589041096</v>
      </c>
      <c r="Q3" s="112">
        <f>$L3*$H$12</f>
        <v>1.5961769863013699</v>
      </c>
      <c r="R3" s="113">
        <f>$L3*$H$13</f>
        <v>0.31923539726027395</v>
      </c>
      <c r="S3" s="114">
        <f>$L3*$H$14</f>
        <v>0.31923539726027395</v>
      </c>
      <c r="T3" s="115">
        <f>$M3*$H$15</f>
        <v>7.9808849315068491</v>
      </c>
      <c r="U3" s="116">
        <f>$N3*$H$16</f>
        <v>0.79733533450363347</v>
      </c>
      <c r="V3" s="117">
        <f>$N3*$H$17</f>
        <v>4.5524076419521311</v>
      </c>
      <c r="W3" s="118">
        <f>$N3*$H$18</f>
        <v>1.6162202726425001</v>
      </c>
      <c r="X3" s="119">
        <f>$N3*$H$19</f>
        <v>7.0036211814508347</v>
      </c>
      <c r="Y3" s="129">
        <f>SUM(F3+J3+K3+P3+Q3+R3+S3+T3+U3+V3+W3+X3)</f>
        <v>53.874009088083341</v>
      </c>
      <c r="Z3" s="170">
        <v>710</v>
      </c>
      <c r="AA3" s="171"/>
      <c r="AB3" s="171"/>
      <c r="AC3" s="171"/>
      <c r="AD3">
        <v>610</v>
      </c>
    </row>
    <row r="4" spans="1:30" ht="30.75" thickBot="1" x14ac:dyDescent="0.3">
      <c r="A4" s="142" t="s">
        <v>88</v>
      </c>
      <c r="B4" s="143">
        <v>1</v>
      </c>
      <c r="D4" s="26"/>
      <c r="F4" s="3">
        <f t="shared" ref="F4:F10" si="0">((B4/365)*E4)</f>
        <v>0</v>
      </c>
      <c r="G4" t="s">
        <v>32</v>
      </c>
      <c r="H4" s="6"/>
      <c r="I4" s="3" t="s">
        <v>31</v>
      </c>
      <c r="L4" s="12"/>
      <c r="M4" s="13"/>
      <c r="N4" s="12"/>
      <c r="P4" s="111"/>
      <c r="Q4" s="112"/>
      <c r="R4" s="113"/>
      <c r="S4" s="114"/>
      <c r="T4" s="115"/>
      <c r="U4" s="116"/>
      <c r="V4" s="117"/>
      <c r="W4" s="118"/>
      <c r="X4" s="119"/>
      <c r="Y4" s="129"/>
      <c r="Z4" s="128" t="s">
        <v>65</v>
      </c>
      <c r="AA4" s="107" t="s">
        <v>57</v>
      </c>
      <c r="AB4" s="107" t="s">
        <v>58</v>
      </c>
      <c r="AC4" s="107" t="s">
        <v>59</v>
      </c>
    </row>
    <row r="5" spans="1:30" ht="15.75" thickBot="1" x14ac:dyDescent="0.3">
      <c r="A5" s="2" t="s">
        <v>21</v>
      </c>
      <c r="B5" s="121">
        <v>0</v>
      </c>
      <c r="C5" s="26">
        <v>46049</v>
      </c>
      <c r="D5" s="26">
        <v>46068</v>
      </c>
      <c r="E5" s="81">
        <f t="shared" ref="E5:E10" si="1">_xlfn.DAYS(D5,C5)</f>
        <v>19</v>
      </c>
      <c r="F5" s="3">
        <f t="shared" si="0"/>
        <v>0</v>
      </c>
      <c r="H5" s="6"/>
      <c r="I5" s="3"/>
      <c r="L5" s="12">
        <f>((F5+J5)/(1-SUM($H$11:$H$14)))</f>
        <v>0</v>
      </c>
      <c r="M5" s="13">
        <f t="shared" ref="M5:M10" si="2">L5/(1-($H$15))</f>
        <v>0</v>
      </c>
      <c r="N5" s="12">
        <f t="shared" ref="N5:N10" si="3">M5/(1-SUM($H$16:$H$19))</f>
        <v>0</v>
      </c>
      <c r="P5" s="111">
        <f>L5*$H$11</f>
        <v>0</v>
      </c>
      <c r="Q5" s="112">
        <f>$L5*$H$12</f>
        <v>0</v>
      </c>
      <c r="R5" s="113">
        <f>$L5*$H$13</f>
        <v>0</v>
      </c>
      <c r="S5" s="114">
        <f>$L5*$H$14</f>
        <v>0</v>
      </c>
      <c r="T5" s="115">
        <f t="shared" ref="T5:T9" si="4">$M5*$H$15</f>
        <v>0</v>
      </c>
      <c r="U5" s="116">
        <f t="shared" ref="U5:U11" si="5">$N5*$H$16</f>
        <v>0</v>
      </c>
      <c r="V5" s="117">
        <f t="shared" ref="V5:V11" si="6">$N5*$H$17</f>
        <v>0</v>
      </c>
      <c r="W5" s="118">
        <f t="shared" ref="W5:W11" si="7">$N5*$H$18</f>
        <v>0</v>
      </c>
      <c r="X5" s="119">
        <f t="shared" ref="X5:X11" si="8">$N5*$H$19</f>
        <v>0</v>
      </c>
      <c r="Y5" s="129">
        <f>SUM(F5+J5+P5+Q5+R5+S5+T5+U5+V5+W5+X5)</f>
        <v>0</v>
      </c>
      <c r="Z5" s="109">
        <v>1</v>
      </c>
      <c r="AA5" s="109" t="s">
        <v>60</v>
      </c>
      <c r="AB5" s="109">
        <v>0</v>
      </c>
      <c r="AC5" s="109">
        <v>0</v>
      </c>
    </row>
    <row r="6" spans="1:30" ht="15.75" thickBot="1" x14ac:dyDescent="0.3">
      <c r="A6" s="2" t="s">
        <v>22</v>
      </c>
      <c r="B6" s="148">
        <v>21.84</v>
      </c>
      <c r="C6" s="26">
        <v>46049</v>
      </c>
      <c r="D6" s="26">
        <v>46068</v>
      </c>
      <c r="E6" s="81">
        <f t="shared" si="1"/>
        <v>19</v>
      </c>
      <c r="F6" s="3">
        <f>((B6/365)*E6)</f>
        <v>1.1368767123287671</v>
      </c>
      <c r="I6" s="3"/>
      <c r="L6" s="13">
        <f>F6</f>
        <v>1.1368767123287671</v>
      </c>
      <c r="M6" s="13">
        <f t="shared" si="2"/>
        <v>1.4210958904109587</v>
      </c>
      <c r="N6" s="12">
        <f t="shared" si="3"/>
        <v>1.9185875644640518</v>
      </c>
      <c r="P6" s="111"/>
      <c r="Q6" s="112"/>
      <c r="R6" s="113"/>
      <c r="S6" s="114"/>
      <c r="T6" s="115">
        <f t="shared" si="4"/>
        <v>0.28421917808219177</v>
      </c>
      <c r="U6" s="116">
        <f>$N6*$H$16</f>
        <v>2.8395095954067966E-2</v>
      </c>
      <c r="V6" s="117">
        <f t="shared" si="6"/>
        <v>0.16212256778477685</v>
      </c>
      <c r="W6" s="118">
        <f t="shared" si="7"/>
        <v>5.7557626933921552E-2</v>
      </c>
      <c r="X6" s="119">
        <f t="shared" si="8"/>
        <v>0.24941638338032673</v>
      </c>
      <c r="Y6" s="129">
        <f>SUM(F6+J6+T6+U6+V6+W6+X6)</f>
        <v>1.918587564464052</v>
      </c>
      <c r="Z6" s="109">
        <v>2</v>
      </c>
      <c r="AA6" s="109" t="s">
        <v>61</v>
      </c>
      <c r="AB6" s="109">
        <v>0</v>
      </c>
      <c r="AC6" s="109">
        <v>0.51578900000000005</v>
      </c>
    </row>
    <row r="7" spans="1:30" ht="15.75" thickBot="1" x14ac:dyDescent="0.3">
      <c r="A7" s="2" t="s">
        <v>23</v>
      </c>
      <c r="B7" s="122">
        <v>0</v>
      </c>
      <c r="C7" s="26">
        <v>46049</v>
      </c>
      <c r="D7" s="26">
        <v>46068</v>
      </c>
      <c r="E7" s="81">
        <f t="shared" si="1"/>
        <v>19</v>
      </c>
      <c r="F7" s="3">
        <f t="shared" si="0"/>
        <v>0</v>
      </c>
      <c r="I7" s="3"/>
      <c r="L7" s="13">
        <f>F7</f>
        <v>0</v>
      </c>
      <c r="M7" s="13">
        <f t="shared" si="2"/>
        <v>0</v>
      </c>
      <c r="N7" s="12">
        <f t="shared" si="3"/>
        <v>0</v>
      </c>
      <c r="P7" s="111"/>
      <c r="Q7" s="112"/>
      <c r="R7" s="113"/>
      <c r="S7" s="114"/>
      <c r="T7" s="115">
        <f t="shared" si="4"/>
        <v>0</v>
      </c>
      <c r="U7" s="116">
        <f t="shared" si="5"/>
        <v>0</v>
      </c>
      <c r="V7" s="117">
        <f t="shared" si="6"/>
        <v>0</v>
      </c>
      <c r="W7" s="118">
        <f t="shared" si="7"/>
        <v>0</v>
      </c>
      <c r="X7" s="119">
        <f t="shared" si="8"/>
        <v>0</v>
      </c>
      <c r="Y7" s="129">
        <f>SUM(F7+J7+T7+U7+V7+W7+X7)</f>
        <v>0</v>
      </c>
      <c r="Z7" s="109">
        <v>3</v>
      </c>
      <c r="AA7" s="109" t="s">
        <v>62</v>
      </c>
      <c r="AB7" s="109">
        <v>0</v>
      </c>
      <c r="AC7" s="109">
        <v>0.263158</v>
      </c>
    </row>
    <row r="8" spans="1:30" ht="15.75" thickBot="1" x14ac:dyDescent="0.3">
      <c r="A8" s="2" t="s">
        <v>24</v>
      </c>
      <c r="B8" s="122">
        <v>54.6</v>
      </c>
      <c r="C8" s="26">
        <v>46049</v>
      </c>
      <c r="D8" s="26">
        <v>46068</v>
      </c>
      <c r="E8" s="81">
        <f t="shared" si="1"/>
        <v>19</v>
      </c>
      <c r="F8" s="3">
        <f t="shared" si="0"/>
        <v>2.8421917808219179</v>
      </c>
      <c r="I8" s="3"/>
      <c r="L8" s="13">
        <f>F8</f>
        <v>2.8421917808219179</v>
      </c>
      <c r="M8" s="13">
        <f t="shared" si="2"/>
        <v>3.5527397260273972</v>
      </c>
      <c r="N8" s="12">
        <f t="shared" si="3"/>
        <v>4.7964689111601304</v>
      </c>
      <c r="P8" s="111"/>
      <c r="Q8" s="112"/>
      <c r="R8" s="113"/>
      <c r="S8" s="114"/>
      <c r="T8" s="115">
        <f t="shared" si="4"/>
        <v>0.71054794520547948</v>
      </c>
      <c r="U8" s="116">
        <f t="shared" si="5"/>
        <v>7.0987739885169931E-2</v>
      </c>
      <c r="V8" s="117">
        <f t="shared" si="6"/>
        <v>0.40530641946194224</v>
      </c>
      <c r="W8" s="118">
        <f t="shared" si="7"/>
        <v>0.14389406733480389</v>
      </c>
      <c r="X8" s="119">
        <f t="shared" si="8"/>
        <v>0.62354095845081703</v>
      </c>
      <c r="Y8" s="129">
        <f>SUM(F8+J8+T8+U8+V8+W8+X8)</f>
        <v>4.7964689111601295</v>
      </c>
      <c r="Z8" s="109">
        <v>5</v>
      </c>
      <c r="AA8" s="109" t="s">
        <v>63</v>
      </c>
      <c r="AB8" s="109">
        <v>0</v>
      </c>
      <c r="AC8" s="109">
        <v>8.7719000000000005E-2</v>
      </c>
      <c r="AD8">
        <v>0.09</v>
      </c>
    </row>
    <row r="9" spans="1:30" ht="15.75" thickBot="1" x14ac:dyDescent="0.3">
      <c r="A9" s="2" t="s">
        <v>25</v>
      </c>
      <c r="B9" s="122">
        <v>80.64</v>
      </c>
      <c r="C9" s="26">
        <v>46049</v>
      </c>
      <c r="D9" s="26">
        <v>46068</v>
      </c>
      <c r="E9" s="81">
        <f t="shared" si="1"/>
        <v>19</v>
      </c>
      <c r="F9" s="3">
        <f t="shared" si="0"/>
        <v>4.1976986301369861</v>
      </c>
      <c r="I9" s="3"/>
      <c r="L9" s="13">
        <f>F9</f>
        <v>4.1976986301369861</v>
      </c>
      <c r="M9" s="13">
        <f t="shared" si="2"/>
        <v>5.2471232876712319</v>
      </c>
      <c r="N9" s="12">
        <f t="shared" si="3"/>
        <v>7.0840156226364988</v>
      </c>
      <c r="P9" s="111"/>
      <c r="Q9" s="112"/>
      <c r="R9" s="113"/>
      <c r="S9" s="114"/>
      <c r="T9" s="115">
        <f t="shared" si="4"/>
        <v>1.0494246575342465</v>
      </c>
      <c r="U9" s="116">
        <f t="shared" si="5"/>
        <v>0.10484343121502018</v>
      </c>
      <c r="V9" s="117">
        <f t="shared" si="6"/>
        <v>0.59860640412840682</v>
      </c>
      <c r="W9" s="118">
        <f t="shared" si="7"/>
        <v>0.21252046867909496</v>
      </c>
      <c r="X9" s="119">
        <f t="shared" si="8"/>
        <v>0.92092203094274483</v>
      </c>
      <c r="Y9" s="129">
        <f>SUM(F9+J9+T9+U9+V9+W9+X9)</f>
        <v>7.0840156226364996</v>
      </c>
      <c r="Z9" s="109">
        <v>8</v>
      </c>
      <c r="AA9" s="109" t="s">
        <v>64</v>
      </c>
      <c r="AB9" s="109">
        <v>2</v>
      </c>
      <c r="AC9" s="109">
        <v>1.0526279999999999</v>
      </c>
    </row>
    <row r="10" spans="1:30" ht="15.75" thickBot="1" x14ac:dyDescent="0.3">
      <c r="A10" s="2" t="s">
        <v>26</v>
      </c>
      <c r="B10" s="122">
        <v>44.377200000000002</v>
      </c>
      <c r="C10" s="26">
        <v>46049</v>
      </c>
      <c r="D10" s="26">
        <v>46068</v>
      </c>
      <c r="E10" s="81">
        <f t="shared" si="1"/>
        <v>19</v>
      </c>
      <c r="F10" s="3">
        <f t="shared" si="0"/>
        <v>2.3100460273972603</v>
      </c>
      <c r="I10" s="3"/>
      <c r="L10" s="13">
        <f>F10</f>
        <v>2.3100460273972603</v>
      </c>
      <c r="M10" s="13">
        <f t="shared" si="2"/>
        <v>2.8875575342465751</v>
      </c>
      <c r="N10" s="12">
        <f t="shared" si="3"/>
        <v>3.8984223473321484</v>
      </c>
      <c r="P10" s="111"/>
      <c r="Q10" s="112"/>
      <c r="R10" s="113"/>
      <c r="S10" s="114"/>
      <c r="T10" s="115">
        <f>$M10*$H$15</f>
        <v>0.57751150684931507</v>
      </c>
      <c r="U10" s="116">
        <f t="shared" si="5"/>
        <v>5.7696650740515797E-2</v>
      </c>
      <c r="V10" s="117">
        <f t="shared" si="6"/>
        <v>0.32942058677191388</v>
      </c>
      <c r="W10" s="118">
        <f t="shared" si="7"/>
        <v>0.11695267041996445</v>
      </c>
      <c r="X10" s="119">
        <f t="shared" si="8"/>
        <v>0.50679490515317926</v>
      </c>
      <c r="Y10" s="129">
        <f>SUM(F10+J10+T10+U10+V10+W10+X10)</f>
        <v>3.8984223473321484</v>
      </c>
    </row>
    <row r="11" spans="1:30" ht="17.25" thickTop="1" thickBot="1" x14ac:dyDescent="0.3">
      <c r="A11" s="123" t="s">
        <v>74</v>
      </c>
      <c r="B11" s="123">
        <v>6.34</v>
      </c>
      <c r="F11" s="29">
        <f>SUM(F3:F10)</f>
        <v>35.387174136986303</v>
      </c>
      <c r="G11" s="7" t="s">
        <v>0</v>
      </c>
      <c r="H11" s="1">
        <v>0.15</v>
      </c>
      <c r="I11" s="3" t="s">
        <v>33</v>
      </c>
      <c r="L11" s="25">
        <f>SUM(L3:L10)</f>
        <v>42.410352876712331</v>
      </c>
      <c r="M11" s="25">
        <f>SUM(M3:M10)</f>
        <v>53.012941095890405</v>
      </c>
      <c r="N11" s="25">
        <f>SUM(N3:N10)</f>
        <v>71.571503533676164</v>
      </c>
      <c r="O11" s="11">
        <f>SUM($L$3:$L$5)*H11</f>
        <v>4.7885309589041096</v>
      </c>
      <c r="P11" s="22"/>
      <c r="Q11" s="22"/>
      <c r="R11" s="22"/>
      <c r="S11" s="22"/>
      <c r="T11" s="22"/>
      <c r="U11" s="116">
        <f t="shared" si="5"/>
        <v>1.0592582522984073</v>
      </c>
      <c r="V11" s="117">
        <f t="shared" si="6"/>
        <v>6.0478636200991698</v>
      </c>
      <c r="W11" s="118">
        <f t="shared" si="7"/>
        <v>2.1471451060102851</v>
      </c>
      <c r="X11" s="119">
        <f t="shared" si="8"/>
        <v>9.3042954593779008</v>
      </c>
      <c r="Y11" s="130">
        <f>SUM(Y3:Y10)</f>
        <v>71.571503533676164</v>
      </c>
      <c r="Z11" t="s">
        <v>28</v>
      </c>
    </row>
    <row r="12" spans="1:30" ht="16.5" thickTop="1" thickBot="1" x14ac:dyDescent="0.3">
      <c r="G12" s="7" t="s">
        <v>1</v>
      </c>
      <c r="H12" s="1">
        <v>0.05</v>
      </c>
      <c r="I12" s="3" t="s">
        <v>33</v>
      </c>
      <c r="O12" s="14">
        <f>SUM($L$3:$L$5)*H12</f>
        <v>1.5961769863013699</v>
      </c>
      <c r="P12" s="22"/>
      <c r="Q12" s="22"/>
      <c r="R12" s="22"/>
      <c r="S12" s="22"/>
      <c r="T12" s="115">
        <f>SUM(T3:T11)</f>
        <v>10.602588219178083</v>
      </c>
      <c r="U12" s="115">
        <f>SUM(U3:U10)</f>
        <v>1.0592582522984075</v>
      </c>
      <c r="V12" s="115">
        <f>SUM(V3:V10)</f>
        <v>6.0478636200991698</v>
      </c>
      <c r="W12" s="115">
        <f>SUM(W3:W10)</f>
        <v>2.1471451060102851</v>
      </c>
      <c r="X12" s="115">
        <f>SUM(X3:X10)</f>
        <v>9.3042954593779008</v>
      </c>
      <c r="Y12" s="99"/>
    </row>
    <row r="13" spans="1:30" ht="16.5" thickTop="1" thickBot="1" x14ac:dyDescent="0.3">
      <c r="A13" s="124" t="s">
        <v>95</v>
      </c>
      <c r="B13" s="147">
        <v>802.55949999999996</v>
      </c>
      <c r="C13" s="124"/>
      <c r="D13" s="26"/>
      <c r="G13" s="7" t="s">
        <v>2</v>
      </c>
      <c r="H13" s="1">
        <v>0.01</v>
      </c>
      <c r="I13" s="3" t="s">
        <v>33</v>
      </c>
      <c r="O13" s="15">
        <f>SUM($L$3:$L$5)*H13</f>
        <v>0.31923539726027395</v>
      </c>
    </row>
    <row r="14" spans="1:30" ht="16.5" thickTop="1" thickBot="1" x14ac:dyDescent="0.3">
      <c r="A14" s="168" t="s">
        <v>94</v>
      </c>
      <c r="B14" s="168"/>
      <c r="C14" s="121">
        <v>478.34904</v>
      </c>
      <c r="G14" s="7" t="s">
        <v>3</v>
      </c>
      <c r="H14" s="1">
        <v>0.01</v>
      </c>
      <c r="I14" s="3" t="s">
        <v>33</v>
      </c>
      <c r="O14" s="16">
        <f>SUM($L$3:$L$5)*H14</f>
        <v>0.31923539726027395</v>
      </c>
    </row>
    <row r="15" spans="1:30" ht="16.5" thickTop="1" thickBot="1" x14ac:dyDescent="0.3">
      <c r="A15" s="124" t="s">
        <v>96</v>
      </c>
      <c r="B15" s="125"/>
      <c r="C15" s="147">
        <v>642.04759999999999</v>
      </c>
      <c r="G15" s="7" t="s">
        <v>4</v>
      </c>
      <c r="H15" s="1">
        <v>0.2</v>
      </c>
      <c r="I15" s="3" t="s">
        <v>34</v>
      </c>
      <c r="O15" s="17">
        <f>SUM($M$3:$M$10)*H15</f>
        <v>10.602588219178081</v>
      </c>
    </row>
    <row r="16" spans="1:30" ht="16.5" thickTop="1" thickBot="1" x14ac:dyDescent="0.3">
      <c r="A16" s="124"/>
      <c r="B16" s="124"/>
      <c r="C16" s="124"/>
      <c r="G16" s="7" t="s">
        <v>5</v>
      </c>
      <c r="H16" s="151">
        <v>1.4800000000000001E-2</v>
      </c>
      <c r="I16" s="3" t="s">
        <v>9</v>
      </c>
      <c r="N16" s="22">
        <v>296.39999999999998</v>
      </c>
      <c r="O16" s="18">
        <f>SUM($N$3:$N$10)*H16</f>
        <v>1.0592582522984073</v>
      </c>
    </row>
    <row r="17" spans="1:27" ht="16.5" thickTop="1" thickBot="1" x14ac:dyDescent="0.3">
      <c r="A17" s="124"/>
      <c r="B17" s="125"/>
      <c r="C17" s="124"/>
      <c r="D17" t="s">
        <v>91</v>
      </c>
      <c r="E17" s="144">
        <v>0.2</v>
      </c>
      <c r="G17" s="7" t="s">
        <v>6</v>
      </c>
      <c r="H17" s="152">
        <v>8.4501000000000007E-2</v>
      </c>
      <c r="I17" s="3" t="s">
        <v>29</v>
      </c>
      <c r="N17" s="22">
        <f>N16*0.02</f>
        <v>5.9279999999999999</v>
      </c>
      <c r="O17" s="19">
        <f>SUM($N$3:$N$10)*H17</f>
        <v>6.0478636200991698</v>
      </c>
    </row>
    <row r="18" spans="1:27" ht="16.5" thickTop="1" thickBot="1" x14ac:dyDescent="0.3">
      <c r="A18" s="124"/>
      <c r="B18" s="124"/>
      <c r="C18" s="124"/>
      <c r="E18" s="134">
        <v>0.84</v>
      </c>
      <c r="G18" s="7" t="s">
        <v>7</v>
      </c>
      <c r="H18" s="149">
        <v>0.03</v>
      </c>
      <c r="I18" s="3" t="s">
        <v>11</v>
      </c>
      <c r="N18" s="22">
        <f>N17/365</f>
        <v>1.6241095890410957E-2</v>
      </c>
      <c r="O18" s="20">
        <f>SUM($N$3:$N$10)*H18</f>
        <v>2.1471451060102851</v>
      </c>
      <c r="AA18">
        <v>32000</v>
      </c>
    </row>
    <row r="19" spans="1:27" ht="16.5" thickTop="1" thickBot="1" x14ac:dyDescent="0.3">
      <c r="A19" s="124"/>
      <c r="B19" s="124"/>
      <c r="C19" s="126"/>
      <c r="E19" s="134">
        <v>0.16</v>
      </c>
      <c r="G19" s="8" t="s">
        <v>8</v>
      </c>
      <c r="H19" s="150">
        <v>0.13</v>
      </c>
      <c r="I19" s="5" t="s">
        <v>10</v>
      </c>
      <c r="N19" s="22">
        <f>N18*334</f>
        <v>5.4245260273972598</v>
      </c>
      <c r="O19" s="21">
        <f>SUM($N$3:$N$10)*H19</f>
        <v>9.3042954593779008</v>
      </c>
      <c r="AA19">
        <f>AA18*AC8</f>
        <v>2807.0080000000003</v>
      </c>
    </row>
    <row r="20" spans="1:27" x14ac:dyDescent="0.25">
      <c r="A20" s="124"/>
      <c r="B20" s="124"/>
      <c r="C20" s="124"/>
      <c r="E20" s="134">
        <f>SUM(E18:E19)</f>
        <v>1</v>
      </c>
    </row>
    <row r="21" spans="1:27" x14ac:dyDescent="0.25">
      <c r="A21" s="124"/>
      <c r="B21" s="124"/>
      <c r="C21" s="124"/>
      <c r="G21" s="146" t="s">
        <v>89</v>
      </c>
      <c r="H21" s="145">
        <v>3.9300000000000002E-2</v>
      </c>
    </row>
    <row r="22" spans="1:27" x14ac:dyDescent="0.25">
      <c r="A22" s="124"/>
      <c r="B22" s="124"/>
      <c r="C22" s="124"/>
    </row>
    <row r="23" spans="1:27" x14ac:dyDescent="0.25">
      <c r="A23" s="124"/>
      <c r="B23" s="127"/>
      <c r="C23" s="124"/>
    </row>
    <row r="24" spans="1:27" x14ac:dyDescent="0.25">
      <c r="D24" t="s">
        <v>92</v>
      </c>
      <c r="E24">
        <v>100</v>
      </c>
      <c r="G24" t="s">
        <v>90</v>
      </c>
      <c r="H24">
        <v>7.93</v>
      </c>
    </row>
    <row r="25" spans="1:27" x14ac:dyDescent="0.25">
      <c r="D25" t="s">
        <v>93</v>
      </c>
      <c r="E25">
        <v>43</v>
      </c>
    </row>
    <row r="28" spans="1:27" x14ac:dyDescent="0.25">
      <c r="E28">
        <v>88</v>
      </c>
    </row>
    <row r="29" spans="1:27" x14ac:dyDescent="0.25">
      <c r="E29">
        <v>12</v>
      </c>
    </row>
    <row r="30" spans="1:27" x14ac:dyDescent="0.25">
      <c r="E30">
        <f>E28*E29</f>
        <v>1056</v>
      </c>
    </row>
  </sheetData>
  <mergeCells count="4">
    <mergeCell ref="G2:I2"/>
    <mergeCell ref="A14:B14"/>
    <mergeCell ref="A1:F1"/>
    <mergeCell ref="Z3:AC3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8D4E-A73F-45B3-B54B-DE58D8F1F2C7}">
  <dimension ref="A1:AD23"/>
  <sheetViews>
    <sheetView topLeftCell="J1" zoomScaleNormal="100" workbookViewId="0">
      <selection activeCell="N3" sqref="N3"/>
    </sheetView>
  </sheetViews>
  <sheetFormatPr defaultColWidth="11.42578125" defaultRowHeight="15" x14ac:dyDescent="0.25"/>
  <cols>
    <col min="1" max="1" width="29.7109375" bestFit="1" customWidth="1"/>
    <col min="2" max="2" width="14.28515625" customWidth="1"/>
    <col min="3" max="3" width="14" customWidth="1"/>
    <col min="4" max="4" width="10.28515625" bestFit="1" customWidth="1"/>
    <col min="5" max="7" width="14.42578125" customWidth="1"/>
    <col min="8" max="8" width="21.85546875" customWidth="1"/>
    <col min="10" max="10" width="26.42578125" bestFit="1" customWidth="1"/>
    <col min="11" max="12" width="22.28515625" customWidth="1"/>
    <col min="13" max="13" width="12" bestFit="1" customWidth="1"/>
    <col min="14" max="14" width="9.7109375" bestFit="1" customWidth="1"/>
    <col min="15" max="15" width="13.7109375" style="22" bestFit="1" customWidth="1"/>
    <col min="16" max="16" width="27" bestFit="1" customWidth="1"/>
    <col min="26" max="26" width="20.140625" style="22" customWidth="1"/>
  </cols>
  <sheetData>
    <row r="1" spans="1:30" ht="15.75" thickBot="1" x14ac:dyDescent="0.3">
      <c r="K1">
        <v>500</v>
      </c>
      <c r="P1" t="s">
        <v>15</v>
      </c>
    </row>
    <row r="2" spans="1:30" ht="75.400000000000006" customHeight="1" thickTop="1" thickBot="1" x14ac:dyDescent="0.3">
      <c r="A2" s="164" t="s">
        <v>17</v>
      </c>
      <c r="B2" s="165"/>
      <c r="C2" s="165"/>
      <c r="D2" s="165"/>
      <c r="E2" s="165"/>
      <c r="F2" s="169"/>
      <c r="G2" s="100"/>
      <c r="H2" s="166" t="s">
        <v>16</v>
      </c>
      <c r="I2" s="166"/>
      <c r="J2" s="167"/>
      <c r="K2" s="10" t="s">
        <v>30</v>
      </c>
      <c r="L2" s="10" t="s">
        <v>30</v>
      </c>
      <c r="M2" t="s">
        <v>12</v>
      </c>
      <c r="N2" t="s">
        <v>13</v>
      </c>
      <c r="O2" s="22" t="s">
        <v>14</v>
      </c>
      <c r="Q2" s="7" t="s">
        <v>0</v>
      </c>
      <c r="R2" s="7" t="s">
        <v>1</v>
      </c>
      <c r="S2" s="7" t="s">
        <v>2</v>
      </c>
      <c r="T2" s="7" t="s">
        <v>3</v>
      </c>
      <c r="U2" s="7" t="s">
        <v>4</v>
      </c>
      <c r="V2" s="7" t="s">
        <v>5</v>
      </c>
      <c r="W2" s="7" t="s">
        <v>6</v>
      </c>
      <c r="X2" s="7" t="s">
        <v>7</v>
      </c>
      <c r="Y2" s="8" t="s">
        <v>8</v>
      </c>
      <c r="Z2" s="23" t="s">
        <v>18</v>
      </c>
    </row>
    <row r="3" spans="1:30" ht="15.75" thickTop="1" x14ac:dyDescent="0.25">
      <c r="A3" s="2" t="s">
        <v>50</v>
      </c>
      <c r="B3" s="102">
        <v>334.45107400000001</v>
      </c>
      <c r="C3" s="26">
        <v>45823</v>
      </c>
      <c r="D3" s="26">
        <v>45839</v>
      </c>
      <c r="E3">
        <f>_xlfn.DAYS(D3,C3)</f>
        <v>16</v>
      </c>
      <c r="F3" s="101">
        <f>(B3/365)*E3</f>
        <v>14.660868997260275</v>
      </c>
      <c r="G3" s="101"/>
      <c r="H3" t="s">
        <v>27</v>
      </c>
      <c r="I3" s="6">
        <v>0</v>
      </c>
      <c r="J3" s="3" t="s">
        <v>31</v>
      </c>
      <c r="K3">
        <f>F3*I3</f>
        <v>0</v>
      </c>
      <c r="L3">
        <f>F3*I4</f>
        <v>0</v>
      </c>
      <c r="M3" s="12">
        <f>((F3+K3+L3)/(1-SUM($I$11:$I$14)))</f>
        <v>18.795985893923429</v>
      </c>
      <c r="N3" s="13">
        <f>M3/(1-($I$15+I16))</f>
        <v>24.097417812722345</v>
      </c>
      <c r="O3" s="12">
        <f>N3/(1-SUM($I$17:$I$19))</f>
        <v>32.564078125300469</v>
      </c>
      <c r="P3" s="2" t="s">
        <v>50</v>
      </c>
      <c r="Q3" s="11">
        <f>M3*$I$11</f>
        <v>2.8193978840885143</v>
      </c>
      <c r="R3" s="14">
        <f>$M3*$I$12</f>
        <v>0.93979929469617152</v>
      </c>
      <c r="S3" s="15">
        <f>$M3*$I$13</f>
        <v>0.18795985893923431</v>
      </c>
      <c r="T3" s="16">
        <f>$M3*$I$14</f>
        <v>0.18795985893923431</v>
      </c>
      <c r="U3" s="17">
        <f>$N3*$I$15</f>
        <v>4.8194835625444696</v>
      </c>
      <c r="V3" s="18">
        <f>$N3*$I$16</f>
        <v>0.48194835625444693</v>
      </c>
      <c r="W3" s="19">
        <f>$O3*$I$17</f>
        <v>3.2564078125300471</v>
      </c>
      <c r="X3" s="20">
        <f>$O3*$I$18</f>
        <v>0.97692234375901399</v>
      </c>
      <c r="Y3" s="21">
        <f>$O3*$I$19</f>
        <v>4.2333301562890613</v>
      </c>
      <c r="Z3" s="22">
        <f>SUM(F3+K3+L3+Q3+R3+S3+T3+U3+V3+W3+X3+Y3)</f>
        <v>32.564078125300469</v>
      </c>
    </row>
    <row r="4" spans="1:30" ht="15.75" thickBot="1" x14ac:dyDescent="0.3">
      <c r="A4" s="2"/>
      <c r="B4" s="102"/>
      <c r="D4" s="26"/>
      <c r="F4" s="30">
        <f t="shared" ref="F4:F10" si="0">(B4/365)*E4</f>
        <v>0</v>
      </c>
      <c r="H4" t="s">
        <v>32</v>
      </c>
      <c r="I4" s="6"/>
      <c r="J4" s="3" t="s">
        <v>31</v>
      </c>
      <c r="M4" s="12"/>
      <c r="N4" s="13"/>
      <c r="O4" s="12"/>
      <c r="P4" s="2"/>
      <c r="Q4" s="11"/>
      <c r="R4" s="14"/>
      <c r="S4" s="15"/>
      <c r="T4" s="16"/>
      <c r="U4" s="17"/>
      <c r="V4" s="18"/>
      <c r="W4" s="19"/>
      <c r="X4" s="20"/>
      <c r="Y4" s="21"/>
    </row>
    <row r="5" spans="1:30" ht="15.75" thickBot="1" x14ac:dyDescent="0.3">
      <c r="A5" s="2" t="s">
        <v>56</v>
      </c>
      <c r="B5" s="102">
        <v>0</v>
      </c>
      <c r="C5" s="26">
        <v>45823</v>
      </c>
      <c r="D5" s="26">
        <v>45839</v>
      </c>
      <c r="E5">
        <f t="shared" ref="E5:E10" si="1">_xlfn.DAYS(D5,C5)</f>
        <v>16</v>
      </c>
      <c r="F5" s="30">
        <f>(B5/365)*E5</f>
        <v>0</v>
      </c>
      <c r="I5" s="6"/>
      <c r="J5" s="3"/>
      <c r="K5">
        <v>0</v>
      </c>
      <c r="M5" s="12">
        <f>((F5+K5)/(1-SUM($I$11:$I$14)))</f>
        <v>0</v>
      </c>
      <c r="N5" s="13">
        <f>M5/(1-($I$15+I16))</f>
        <v>0</v>
      </c>
      <c r="O5" s="12">
        <f t="shared" ref="O5:O10" si="2">N5/(1-SUM($I$17:$I$19))</f>
        <v>0</v>
      </c>
      <c r="P5" s="2" t="s">
        <v>56</v>
      </c>
      <c r="Q5" s="11">
        <f>M5*$I$11</f>
        <v>0</v>
      </c>
      <c r="R5" s="14">
        <f>$M5*$I$12</f>
        <v>0</v>
      </c>
      <c r="S5" s="15">
        <f>$M5*$I$13</f>
        <v>0</v>
      </c>
      <c r="T5" s="16">
        <f>$M5*$I$14</f>
        <v>0</v>
      </c>
      <c r="U5" s="17">
        <f t="shared" ref="U5:U11" si="3">$N5*$I$15</f>
        <v>0</v>
      </c>
      <c r="V5" s="18">
        <f t="shared" ref="V5:V11" si="4">$O5*$I$16</f>
        <v>0</v>
      </c>
      <c r="W5" s="19">
        <f t="shared" ref="W5:W11" si="5">$O5*$I$17</f>
        <v>0</v>
      </c>
      <c r="X5" s="20">
        <f t="shared" ref="X5:X11" si="6">$O5*$I$18</f>
        <v>0</v>
      </c>
      <c r="Y5" s="21">
        <f t="shared" ref="Y5:Y11" si="7">$O5*$I$19</f>
        <v>0</v>
      </c>
      <c r="Z5" s="22">
        <f>SUM(F5+K5+Q5+R5+S5+T5+U5+V5+W5+X5+Y5)</f>
        <v>0</v>
      </c>
      <c r="AA5" s="128" t="s">
        <v>65</v>
      </c>
      <c r="AB5" s="107" t="s">
        <v>57</v>
      </c>
      <c r="AC5" s="107" t="s">
        <v>58</v>
      </c>
      <c r="AD5" s="107" t="s">
        <v>59</v>
      </c>
    </row>
    <row r="6" spans="1:30" ht="15.75" thickBot="1" x14ac:dyDescent="0.3">
      <c r="A6" s="2" t="s">
        <v>51</v>
      </c>
      <c r="B6" s="141">
        <v>21.84</v>
      </c>
      <c r="C6" s="26">
        <v>45823</v>
      </c>
      <c r="D6" s="26">
        <v>45839</v>
      </c>
      <c r="E6">
        <f t="shared" si="1"/>
        <v>16</v>
      </c>
      <c r="F6" s="101">
        <f t="shared" si="0"/>
        <v>0.95736986301369864</v>
      </c>
      <c r="G6" s="101"/>
      <c r="J6" s="3"/>
      <c r="M6" s="13">
        <f t="shared" ref="M6:M12" si="8">F6</f>
        <v>0.95736986301369864</v>
      </c>
      <c r="N6" s="13">
        <f>M6/(1-($I$15+I16))</f>
        <v>1.2273972602739727</v>
      </c>
      <c r="O6" s="12">
        <f t="shared" si="2"/>
        <v>1.6586449463161792</v>
      </c>
      <c r="P6" s="2" t="s">
        <v>51</v>
      </c>
      <c r="Q6" s="11"/>
      <c r="R6" s="14"/>
      <c r="S6" s="15"/>
      <c r="T6" s="16"/>
      <c r="U6" s="17">
        <f t="shared" si="3"/>
        <v>0.24547945205479454</v>
      </c>
      <c r="V6" s="18">
        <f t="shared" si="4"/>
        <v>3.3172898926323587E-2</v>
      </c>
      <c r="W6" s="19">
        <f t="shared" si="5"/>
        <v>0.16586449463161793</v>
      </c>
      <c r="X6" s="20">
        <f t="shared" si="6"/>
        <v>4.9759348389485376E-2</v>
      </c>
      <c r="Y6" s="21">
        <f t="shared" si="7"/>
        <v>0.2156238430211033</v>
      </c>
      <c r="Z6" s="22">
        <f>SUM(F6+K6+U6+V6+W6+X6+Y6)</f>
        <v>1.6672699000370232</v>
      </c>
      <c r="AA6" s="109">
        <v>1</v>
      </c>
      <c r="AB6" s="109" t="s">
        <v>60</v>
      </c>
      <c r="AC6" s="109">
        <v>0</v>
      </c>
      <c r="AD6" s="109">
        <v>0</v>
      </c>
    </row>
    <row r="7" spans="1:30" ht="15.75" thickBot="1" x14ac:dyDescent="0.3">
      <c r="A7" s="2" t="s">
        <v>52</v>
      </c>
      <c r="B7" s="102">
        <v>0</v>
      </c>
      <c r="C7" s="26">
        <v>45823</v>
      </c>
      <c r="D7" s="26">
        <v>45839</v>
      </c>
      <c r="E7">
        <f t="shared" si="1"/>
        <v>16</v>
      </c>
      <c r="F7" s="101">
        <f t="shared" si="0"/>
        <v>0</v>
      </c>
      <c r="G7" s="101"/>
      <c r="J7" s="3"/>
      <c r="M7" s="13">
        <f t="shared" si="8"/>
        <v>0</v>
      </c>
      <c r="N7" s="13">
        <f>M7/(1-($I$15+I16))</f>
        <v>0</v>
      </c>
      <c r="O7" s="12">
        <f t="shared" si="2"/>
        <v>0</v>
      </c>
      <c r="P7" s="2" t="s">
        <v>52</v>
      </c>
      <c r="Q7" s="11"/>
      <c r="R7" s="14"/>
      <c r="S7" s="15"/>
      <c r="T7" s="16"/>
      <c r="U7" s="17">
        <f t="shared" si="3"/>
        <v>0</v>
      </c>
      <c r="V7" s="18">
        <f t="shared" si="4"/>
        <v>0</v>
      </c>
      <c r="W7" s="19">
        <f t="shared" si="5"/>
        <v>0</v>
      </c>
      <c r="X7" s="20">
        <f t="shared" si="6"/>
        <v>0</v>
      </c>
      <c r="Y7" s="21">
        <f t="shared" si="7"/>
        <v>0</v>
      </c>
      <c r="Z7" s="22">
        <f>SUM(F7+K7+U7+V7+W7+X7+Y7)</f>
        <v>0</v>
      </c>
      <c r="AA7" s="109">
        <v>2</v>
      </c>
      <c r="AB7" s="109" t="s">
        <v>61</v>
      </c>
      <c r="AC7" s="109">
        <v>0</v>
      </c>
      <c r="AD7" s="109">
        <v>0.51578900000000005</v>
      </c>
    </row>
    <row r="8" spans="1:30" ht="15.75" thickBot="1" x14ac:dyDescent="0.3">
      <c r="A8" s="2" t="s">
        <v>53</v>
      </c>
      <c r="B8" s="102">
        <v>54.6</v>
      </c>
      <c r="C8" s="26">
        <v>45823</v>
      </c>
      <c r="D8" s="26">
        <v>45839</v>
      </c>
      <c r="E8">
        <f t="shared" si="1"/>
        <v>16</v>
      </c>
      <c r="F8" s="101">
        <f t="shared" si="0"/>
        <v>2.3934246575342466</v>
      </c>
      <c r="G8" s="101"/>
      <c r="J8" s="3"/>
      <c r="M8" s="13">
        <f t="shared" si="8"/>
        <v>2.3934246575342466</v>
      </c>
      <c r="N8" s="13">
        <f>M8/(1-($I$15+I16))</f>
        <v>3.0684931506849313</v>
      </c>
      <c r="O8" s="12">
        <f t="shared" si="2"/>
        <v>4.1466123657904479</v>
      </c>
      <c r="P8" s="2" t="s">
        <v>53</v>
      </c>
      <c r="Q8" s="11"/>
      <c r="R8" s="14"/>
      <c r="S8" s="15"/>
      <c r="T8" s="16"/>
      <c r="U8" s="17">
        <f t="shared" si="3"/>
        <v>0.61369863013698633</v>
      </c>
      <c r="V8" s="18">
        <f t="shared" si="4"/>
        <v>8.2932247315808963E-2</v>
      </c>
      <c r="W8" s="19">
        <f t="shared" si="5"/>
        <v>0.4146612365790448</v>
      </c>
      <c r="X8" s="20">
        <f t="shared" si="6"/>
        <v>0.12439837097371344</v>
      </c>
      <c r="Y8" s="21">
        <f t="shared" si="7"/>
        <v>0.53905960755275828</v>
      </c>
      <c r="Z8" s="22">
        <f>SUM(F8+K8+U8+V8+W8+X8+Y8)</f>
        <v>4.1681747500925592</v>
      </c>
      <c r="AA8" s="109">
        <v>3</v>
      </c>
      <c r="AB8" s="109" t="s">
        <v>62</v>
      </c>
      <c r="AC8" s="109">
        <v>0</v>
      </c>
      <c r="AD8" s="109">
        <v>0.263158</v>
      </c>
    </row>
    <row r="9" spans="1:30" ht="15.75" thickBot="1" x14ac:dyDescent="0.3">
      <c r="A9" s="2" t="s">
        <v>54</v>
      </c>
      <c r="B9" s="102">
        <v>80.64</v>
      </c>
      <c r="C9" s="26">
        <v>45823</v>
      </c>
      <c r="D9" s="26">
        <v>45839</v>
      </c>
      <c r="E9">
        <f t="shared" si="1"/>
        <v>16</v>
      </c>
      <c r="F9" s="101">
        <f t="shared" si="0"/>
        <v>3.534904109589041</v>
      </c>
      <c r="G9" s="101"/>
      <c r="J9" s="3"/>
      <c r="M9" s="13">
        <f t="shared" si="8"/>
        <v>3.534904109589041</v>
      </c>
      <c r="N9" s="13">
        <f>M9/(1-($I$15+I16))</f>
        <v>4.5319283456269757</v>
      </c>
      <c r="O9" s="12">
        <f t="shared" si="2"/>
        <v>6.1242274940905075</v>
      </c>
      <c r="P9" s="2" t="s">
        <v>54</v>
      </c>
      <c r="Q9" s="11"/>
      <c r="R9" s="14"/>
      <c r="S9" s="15"/>
      <c r="T9" s="16"/>
      <c r="U9" s="17">
        <f t="shared" si="3"/>
        <v>0.9063856691253952</v>
      </c>
      <c r="V9" s="18">
        <f t="shared" si="4"/>
        <v>0.12248454988181015</v>
      </c>
      <c r="W9" s="19">
        <f t="shared" si="5"/>
        <v>0.61242274940905084</v>
      </c>
      <c r="X9" s="20">
        <f t="shared" si="6"/>
        <v>0.18372682482271521</v>
      </c>
      <c r="Y9" s="21">
        <f t="shared" si="7"/>
        <v>0.79614957423176602</v>
      </c>
      <c r="Z9" s="22">
        <f>SUM(F9+K9+U9+V9+W9+X9+Y9)</f>
        <v>6.1560734770597785</v>
      </c>
      <c r="AA9" s="109">
        <v>5</v>
      </c>
      <c r="AB9" s="109" t="s">
        <v>63</v>
      </c>
      <c r="AC9" s="109">
        <v>0</v>
      </c>
      <c r="AD9" s="109">
        <v>8.7719000000000005E-2</v>
      </c>
    </row>
    <row r="10" spans="1:30" ht="15.75" thickBot="1" x14ac:dyDescent="0.3">
      <c r="A10" s="4" t="s">
        <v>55</v>
      </c>
      <c r="B10" s="102">
        <v>44.377200000000002</v>
      </c>
      <c r="C10" s="26">
        <v>45823</v>
      </c>
      <c r="D10" s="26">
        <v>45839</v>
      </c>
      <c r="E10">
        <f t="shared" si="1"/>
        <v>16</v>
      </c>
      <c r="F10" s="101">
        <f t="shared" si="0"/>
        <v>1.9453019178082194</v>
      </c>
      <c r="G10" s="101"/>
      <c r="J10" s="3"/>
      <c r="M10" s="13">
        <f t="shared" si="8"/>
        <v>1.9453019178082194</v>
      </c>
      <c r="N10" s="13">
        <f>M10/(1-($I$15+I16))</f>
        <v>2.4939768177028454</v>
      </c>
      <c r="O10" s="12">
        <f t="shared" si="2"/>
        <v>3.370238942841683</v>
      </c>
      <c r="P10" s="4" t="s">
        <v>55</v>
      </c>
      <c r="Q10" s="11"/>
      <c r="R10" s="14"/>
      <c r="S10" s="15"/>
      <c r="T10" s="16"/>
      <c r="U10" s="17">
        <f t="shared" si="3"/>
        <v>0.49879536354056908</v>
      </c>
      <c r="V10" s="18">
        <f t="shared" si="4"/>
        <v>6.7404778856833658E-2</v>
      </c>
      <c r="W10" s="19">
        <f t="shared" si="5"/>
        <v>0.33702389428416835</v>
      </c>
      <c r="X10" s="20">
        <f t="shared" si="6"/>
        <v>0.10110716828525049</v>
      </c>
      <c r="Y10" s="21">
        <f t="shared" si="7"/>
        <v>0.43813106256941881</v>
      </c>
      <c r="Z10" s="22">
        <f>SUM(F10+K10+U10+V10+W10+X10+Y10)</f>
        <v>3.3877641853444596</v>
      </c>
      <c r="AA10" s="109">
        <v>8</v>
      </c>
      <c r="AB10" s="109" t="s">
        <v>64</v>
      </c>
      <c r="AC10" s="109">
        <v>2</v>
      </c>
      <c r="AD10" s="109">
        <v>1.0526279999999999</v>
      </c>
    </row>
    <row r="11" spans="1:30" ht="16.5" thickTop="1" thickBot="1" x14ac:dyDescent="0.3">
      <c r="B11" s="29">
        <f>SUM(B3:B10)</f>
        <v>535.90827400000001</v>
      </c>
      <c r="F11" s="29">
        <f>SUM(F3:F10)</f>
        <v>23.491869545205478</v>
      </c>
      <c r="H11" s="7" t="s">
        <v>0</v>
      </c>
      <c r="I11" s="1">
        <v>0.15</v>
      </c>
      <c r="J11" s="3" t="s">
        <v>33</v>
      </c>
      <c r="M11" s="13">
        <f t="shared" si="8"/>
        <v>23.491869545205478</v>
      </c>
      <c r="N11" s="13">
        <f>M11/(1-($I$15+I16))</f>
        <v>30.117781468212151</v>
      </c>
      <c r="O11" s="25">
        <f>SUM(O3:O10)</f>
        <v>47.863801874339281</v>
      </c>
      <c r="P11" s="11">
        <f>SUM($M$3:$M$5)*I11</f>
        <v>2.8193978840885143</v>
      </c>
      <c r="U11" s="17">
        <f t="shared" si="3"/>
        <v>6.0235562936424305</v>
      </c>
      <c r="V11" s="18">
        <f t="shared" si="4"/>
        <v>0.95727603748678558</v>
      </c>
      <c r="W11" s="19">
        <f t="shared" si="5"/>
        <v>4.7863801874339282</v>
      </c>
      <c r="X11" s="20">
        <f t="shared" si="6"/>
        <v>1.4359140562301784</v>
      </c>
      <c r="Y11" s="21">
        <f t="shared" si="7"/>
        <v>6.2222942436641064</v>
      </c>
      <c r="Z11" s="24">
        <f>SUM(Z3:Z10)</f>
        <v>47.943360437834286</v>
      </c>
      <c r="AA11" t="s">
        <v>28</v>
      </c>
    </row>
    <row r="12" spans="1:30" ht="17.25" thickTop="1" thickBot="1" x14ac:dyDescent="0.3">
      <c r="F12" s="106"/>
      <c r="H12" s="7" t="s">
        <v>1</v>
      </c>
      <c r="I12" s="1">
        <v>0.05</v>
      </c>
      <c r="J12" s="3" t="s">
        <v>33</v>
      </c>
      <c r="M12" s="13">
        <f t="shared" si="8"/>
        <v>0</v>
      </c>
      <c r="N12" s="13">
        <f t="shared" ref="N12" si="9">M12/(1-$I$15)</f>
        <v>0</v>
      </c>
      <c r="P12" s="14">
        <f>SUM($M$3:$M$5)*I12</f>
        <v>0.93979929469617152</v>
      </c>
      <c r="Q12" s="103">
        <f t="shared" ref="Q12:T12" si="10">SUM(Q3:Q10)</f>
        <v>2.8193978840885143</v>
      </c>
      <c r="R12" s="103">
        <f t="shared" si="10"/>
        <v>0.93979929469617152</v>
      </c>
      <c r="S12" s="103">
        <f t="shared" si="10"/>
        <v>0.18795985893923431</v>
      </c>
      <c r="T12" s="103">
        <f t="shared" si="10"/>
        <v>0.18795985893923431</v>
      </c>
      <c r="U12" s="103">
        <f>SUM(U3:U10)</f>
        <v>7.083842677402215</v>
      </c>
      <c r="V12" s="103">
        <f>SUM(V3:V10)</f>
        <v>0.78794283123522324</v>
      </c>
      <c r="W12" s="103">
        <f>SUM(W3:W10)</f>
        <v>4.7863801874339291</v>
      </c>
      <c r="X12" s="103">
        <f>SUM(X3:X10)</f>
        <v>1.4359140562301786</v>
      </c>
      <c r="Y12" s="103">
        <f>SUM(Y3:Y10)</f>
        <v>6.2222942436641073</v>
      </c>
    </row>
    <row r="13" spans="1:30" ht="16.5" thickTop="1" thickBot="1" x14ac:dyDescent="0.3">
      <c r="H13" s="7" t="s">
        <v>2</v>
      </c>
      <c r="I13" s="1">
        <v>0.01</v>
      </c>
      <c r="J13" s="3" t="s">
        <v>33</v>
      </c>
      <c r="P13" s="15">
        <f>SUM($M$3:$M$5)*I13</f>
        <v>0.18795985893923431</v>
      </c>
    </row>
    <row r="14" spans="1:30" ht="16.5" thickTop="1" thickBot="1" x14ac:dyDescent="0.3">
      <c r="A14" s="164"/>
      <c r="B14" s="169"/>
      <c r="H14" s="7" t="s">
        <v>3</v>
      </c>
      <c r="I14" s="1">
        <v>0.01</v>
      </c>
      <c r="J14" s="3" t="s">
        <v>33</v>
      </c>
      <c r="L14" s="105">
        <f>(1-SUM($I$16:$I$19))</f>
        <v>0.72</v>
      </c>
      <c r="P14" s="16">
        <f>SUM($M$3:$M$5)*I14</f>
        <v>0.18795985893923431</v>
      </c>
      <c r="R14">
        <f>SUM(Q12:U12)</f>
        <v>11.218959574065369</v>
      </c>
      <c r="S14">
        <f>SUM(F3:F10)</f>
        <v>23.491869545205478</v>
      </c>
      <c r="T14">
        <f>R14+S14</f>
        <v>34.710829119270848</v>
      </c>
    </row>
    <row r="15" spans="1:30" ht="16.5" thickTop="1" thickBot="1" x14ac:dyDescent="0.3">
      <c r="A15" s="2"/>
      <c r="B15" s="27"/>
      <c r="H15" s="7" t="s">
        <v>4</v>
      </c>
      <c r="I15" s="1">
        <v>0.2</v>
      </c>
      <c r="J15" s="3" t="s">
        <v>34</v>
      </c>
      <c r="L15" s="105">
        <f>(SUM($I$16:$I$19))</f>
        <v>0.28000000000000003</v>
      </c>
      <c r="M15" s="104">
        <v>321.428</v>
      </c>
      <c r="N15">
        <f>(M15/365)*344</f>
        <v>302.93488219178084</v>
      </c>
      <c r="P15" s="17">
        <f>SUM($N$3:$N$10)*I15</f>
        <v>7.0838426774022132</v>
      </c>
      <c r="T15">
        <f>T14*0.1</f>
        <v>3.471082911927085</v>
      </c>
    </row>
    <row r="16" spans="1:30" ht="16.5" thickTop="1" thickBot="1" x14ac:dyDescent="0.3">
      <c r="A16" s="2"/>
      <c r="B16" s="3"/>
      <c r="H16" s="7" t="s">
        <v>5</v>
      </c>
      <c r="I16" s="1">
        <v>0.02</v>
      </c>
      <c r="J16" s="3" t="s">
        <v>9</v>
      </c>
      <c r="M16">
        <v>401.78500000000003</v>
      </c>
      <c r="N16">
        <f>(M16/365)*344</f>
        <v>378.66860273972605</v>
      </c>
      <c r="P16" s="18">
        <f>SUM($O$3:$O$10)*I16</f>
        <v>0.95727603748678558</v>
      </c>
    </row>
    <row r="17" spans="1:16" ht="16.5" thickTop="1" thickBot="1" x14ac:dyDescent="0.3">
      <c r="A17" s="2"/>
      <c r="B17" s="27"/>
      <c r="H17" s="7" t="s">
        <v>6</v>
      </c>
      <c r="I17" s="1">
        <v>0.1</v>
      </c>
      <c r="J17" s="3" t="s">
        <v>29</v>
      </c>
      <c r="M17">
        <v>432.026882</v>
      </c>
      <c r="N17">
        <f>(M17/365)*344</f>
        <v>407.17054084383557</v>
      </c>
      <c r="P17" s="19">
        <f>SUM($O$3:$O$10)*I17</f>
        <v>4.7863801874339282</v>
      </c>
    </row>
    <row r="18" spans="1:16" ht="16.5" thickTop="1" thickBot="1" x14ac:dyDescent="0.3">
      <c r="A18" s="2"/>
      <c r="B18" s="3"/>
      <c r="H18" s="7" t="s">
        <v>7</v>
      </c>
      <c r="I18" s="1">
        <v>0.03</v>
      </c>
      <c r="J18" s="3" t="s">
        <v>11</v>
      </c>
      <c r="P18" s="20">
        <f>SUM($O$3:$O$10)*I18</f>
        <v>1.4359140562301784</v>
      </c>
    </row>
    <row r="19" spans="1:16" ht="16.5" thickTop="1" thickBot="1" x14ac:dyDescent="0.3">
      <c r="A19" s="2"/>
      <c r="B19" s="3"/>
      <c r="H19" s="8" t="s">
        <v>8</v>
      </c>
      <c r="I19" s="9">
        <v>0.13</v>
      </c>
      <c r="J19" s="5" t="s">
        <v>10</v>
      </c>
      <c r="P19" s="21">
        <f>SUM($O$3:$O$10)*I19</f>
        <v>6.2222942436641064</v>
      </c>
    </row>
    <row r="20" spans="1:16" x14ac:dyDescent="0.25">
      <c r="A20" s="2"/>
      <c r="B20" s="3"/>
    </row>
    <row r="21" spans="1:16" x14ac:dyDescent="0.25">
      <c r="A21" s="2"/>
      <c r="B21" s="3"/>
    </row>
    <row r="22" spans="1:16" ht="15.75" thickBot="1" x14ac:dyDescent="0.3">
      <c r="A22" s="4"/>
      <c r="B22" s="3"/>
    </row>
    <row r="23" spans="1:16" x14ac:dyDescent="0.25">
      <c r="B23" s="29"/>
    </row>
  </sheetData>
  <mergeCells count="3">
    <mergeCell ref="A2:F2"/>
    <mergeCell ref="H2:J2"/>
    <mergeCell ref="A14:B1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8B64B-153D-443F-9BC2-4F232BAC4B56}">
  <dimension ref="A1:AA28"/>
  <sheetViews>
    <sheetView zoomScale="85" zoomScaleNormal="85" workbookViewId="0">
      <selection activeCell="I14" sqref="I14"/>
    </sheetView>
  </sheetViews>
  <sheetFormatPr defaultColWidth="11.42578125" defaultRowHeight="15" x14ac:dyDescent="0.25"/>
  <cols>
    <col min="2" max="2" width="29.7109375" bestFit="1" customWidth="1"/>
    <col min="3" max="3" width="14.28515625" customWidth="1"/>
    <col min="4" max="4" width="13" customWidth="1"/>
    <col min="5" max="5" width="12.140625" customWidth="1"/>
    <col min="6" max="7" width="14.42578125" customWidth="1"/>
    <col min="8" max="8" width="21.85546875" customWidth="1"/>
    <col min="10" max="10" width="26.42578125" bestFit="1" customWidth="1"/>
    <col min="11" max="12" width="22.28515625" customWidth="1"/>
    <col min="13" max="13" width="12" bestFit="1" customWidth="1"/>
    <col min="14" max="14" width="9.7109375" bestFit="1" customWidth="1"/>
    <col min="15" max="15" width="13.7109375" style="22" bestFit="1" customWidth="1"/>
    <col min="16" max="16" width="14.28515625" customWidth="1"/>
    <col min="26" max="26" width="20.140625" style="22" customWidth="1"/>
  </cols>
  <sheetData>
    <row r="1" spans="1:27" ht="15.75" thickBot="1" x14ac:dyDescent="0.3">
      <c r="P1" t="s">
        <v>15</v>
      </c>
    </row>
    <row r="2" spans="1:27" ht="75.400000000000006" customHeight="1" thickTop="1" thickBot="1" x14ac:dyDescent="0.3">
      <c r="B2" s="164" t="s">
        <v>17</v>
      </c>
      <c r="C2" s="165"/>
      <c r="D2" s="165"/>
      <c r="E2" s="165"/>
      <c r="F2" s="165"/>
      <c r="G2" s="169"/>
      <c r="H2" s="166" t="s">
        <v>16</v>
      </c>
      <c r="I2" s="166"/>
      <c r="J2" s="167"/>
      <c r="K2" s="10" t="s">
        <v>30</v>
      </c>
      <c r="L2" s="10" t="s">
        <v>30</v>
      </c>
      <c r="M2" t="s">
        <v>12</v>
      </c>
      <c r="N2" t="s">
        <v>13</v>
      </c>
      <c r="O2" s="22" t="s">
        <v>14</v>
      </c>
      <c r="Q2" s="7" t="s">
        <v>0</v>
      </c>
      <c r="R2" s="7" t="s">
        <v>1</v>
      </c>
      <c r="S2" s="7" t="s">
        <v>2</v>
      </c>
      <c r="T2" s="7" t="s">
        <v>3</v>
      </c>
      <c r="U2" s="7" t="s">
        <v>4</v>
      </c>
      <c r="V2" s="7" t="s">
        <v>5</v>
      </c>
      <c r="W2" s="7" t="s">
        <v>6</v>
      </c>
      <c r="X2" s="7" t="s">
        <v>7</v>
      </c>
      <c r="Y2" s="8" t="s">
        <v>8</v>
      </c>
      <c r="Z2" s="23" t="s">
        <v>18</v>
      </c>
    </row>
    <row r="3" spans="1:27" ht="15.75" thickTop="1" x14ac:dyDescent="0.25">
      <c r="A3" s="172" t="s">
        <v>36</v>
      </c>
      <c r="B3" s="2" t="s">
        <v>20</v>
      </c>
      <c r="C3">
        <v>0</v>
      </c>
      <c r="D3" s="26">
        <v>45703</v>
      </c>
      <c r="E3" s="26">
        <v>45717</v>
      </c>
      <c r="F3">
        <f>_xlfn.DAYS(E3,D3)</f>
        <v>14</v>
      </c>
      <c r="G3" s="3">
        <f>(C3/365)*F3</f>
        <v>0</v>
      </c>
      <c r="H3" t="s">
        <v>27</v>
      </c>
      <c r="I3" s="6"/>
      <c r="J3" s="3" t="s">
        <v>31</v>
      </c>
      <c r="K3">
        <f>G3*I3</f>
        <v>0</v>
      </c>
      <c r="L3">
        <f>G3*I4</f>
        <v>0</v>
      </c>
      <c r="M3" s="12">
        <f>((G3+K3+L3)/(1-SUM($I$11:$I$14)))</f>
        <v>0</v>
      </c>
      <c r="N3" s="13">
        <f>M3/(1-$I$15)</f>
        <v>0</v>
      </c>
      <c r="O3" s="12">
        <f>N3/(1-SUM($I$16:$I$20))</f>
        <v>0</v>
      </c>
      <c r="P3" s="172" t="s">
        <v>36</v>
      </c>
      <c r="Q3" s="11">
        <f>M3*$I$11</f>
        <v>0</v>
      </c>
      <c r="R3" s="14">
        <f>$M3*$I$12</f>
        <v>0</v>
      </c>
      <c r="S3" s="15">
        <f>$M3*$I$13</f>
        <v>0</v>
      </c>
      <c r="T3" s="16">
        <f>$M3*$I$14</f>
        <v>0</v>
      </c>
      <c r="U3" s="17">
        <f>$N3*$I$15</f>
        <v>0</v>
      </c>
      <c r="V3" s="18">
        <f>$O3*$I$16</f>
        <v>0</v>
      </c>
      <c r="W3" s="19">
        <f>$O3*$I$18</f>
        <v>0</v>
      </c>
      <c r="X3" s="20">
        <f>$O3*$I$19</f>
        <v>0</v>
      </c>
      <c r="Y3" s="21">
        <f>$O3*$I$20</f>
        <v>0</v>
      </c>
      <c r="Z3" s="22">
        <f>SUM(G3+K3+L3+Q3+R3+S3+T3+U3+V3+W3+X3+Y3)</f>
        <v>0</v>
      </c>
    </row>
    <row r="4" spans="1:27" x14ac:dyDescent="0.25">
      <c r="A4" s="172"/>
      <c r="B4" s="2"/>
      <c r="C4" s="3"/>
      <c r="G4" s="3">
        <f t="shared" ref="G4:G11" si="0">(C4/365)*F4</f>
        <v>0</v>
      </c>
      <c r="H4" t="s">
        <v>32</v>
      </c>
      <c r="I4" s="6"/>
      <c r="J4" s="3" t="s">
        <v>31</v>
      </c>
      <c r="M4" s="12"/>
      <c r="N4" s="13"/>
      <c r="O4" s="12"/>
      <c r="P4" s="172"/>
      <c r="Q4" s="11"/>
      <c r="R4" s="14"/>
      <c r="S4" s="15"/>
      <c r="T4" s="16"/>
      <c r="U4" s="17"/>
      <c r="V4" s="18"/>
      <c r="W4" s="19"/>
      <c r="X4" s="20"/>
      <c r="Y4" s="21"/>
    </row>
    <row r="5" spans="1:27" x14ac:dyDescent="0.25">
      <c r="A5" s="172"/>
      <c r="B5" s="2" t="s">
        <v>21</v>
      </c>
      <c r="C5">
        <v>0</v>
      </c>
      <c r="D5" s="26">
        <v>45703</v>
      </c>
      <c r="E5" s="26">
        <v>45717</v>
      </c>
      <c r="F5">
        <f t="shared" ref="F5:F11" si="1">_xlfn.DAYS(E5,D5)</f>
        <v>14</v>
      </c>
      <c r="G5" s="3">
        <f t="shared" si="0"/>
        <v>0</v>
      </c>
      <c r="I5" s="6"/>
      <c r="J5" s="3"/>
      <c r="M5" s="12">
        <f>((G5+K5)/(1-SUM($I$11:$I$14)))</f>
        <v>0</v>
      </c>
      <c r="N5" s="13">
        <f t="shared" ref="N5:N10" si="2">M5/(1-$I$15)</f>
        <v>0</v>
      </c>
      <c r="O5" s="12">
        <f t="shared" ref="O5:O10" si="3">N5/(1-SUM($I$16:$I$20))</f>
        <v>0</v>
      </c>
      <c r="P5" s="172"/>
      <c r="Q5" s="11">
        <f>M5*$I$11</f>
        <v>0</v>
      </c>
      <c r="R5" s="14">
        <f>$M5*$I$12</f>
        <v>0</v>
      </c>
      <c r="S5" s="15">
        <f>$M5*$I$13</f>
        <v>0</v>
      </c>
      <c r="T5" s="16">
        <f>$M5*$I$14</f>
        <v>0</v>
      </c>
      <c r="U5" s="17">
        <f t="shared" ref="U5:U10" si="4">$N5*$I$15</f>
        <v>0</v>
      </c>
      <c r="V5" s="18">
        <f t="shared" ref="V5:V19" si="5">$O5*$I$16</f>
        <v>0</v>
      </c>
      <c r="W5" s="19">
        <f t="shared" ref="W5:W20" si="6">$O5*$I$18</f>
        <v>0</v>
      </c>
      <c r="X5" s="20">
        <f t="shared" ref="X5:X20" si="7">$O5*$I$19</f>
        <v>0</v>
      </c>
      <c r="Y5" s="21">
        <f t="shared" ref="Y5:Y20" si="8">$O5*$I$20</f>
        <v>0</v>
      </c>
      <c r="Z5" s="22">
        <f>SUM(G5+K5+Q5+R5+S5+T5+U5+V5+W5+X5+Y5)</f>
        <v>0</v>
      </c>
      <c r="AA5" t="s">
        <v>19</v>
      </c>
    </row>
    <row r="6" spans="1:27" x14ac:dyDescent="0.25">
      <c r="A6" s="172"/>
      <c r="B6" s="2" t="s">
        <v>22</v>
      </c>
      <c r="C6">
        <v>0</v>
      </c>
      <c r="D6" s="26">
        <v>45703</v>
      </c>
      <c r="E6" s="26">
        <v>45717</v>
      </c>
      <c r="F6">
        <f t="shared" si="1"/>
        <v>14</v>
      </c>
      <c r="G6" s="3">
        <f t="shared" si="0"/>
        <v>0</v>
      </c>
      <c r="J6" s="3"/>
      <c r="M6" s="13">
        <f>G6</f>
        <v>0</v>
      </c>
      <c r="N6" s="13">
        <f t="shared" si="2"/>
        <v>0</v>
      </c>
      <c r="O6" s="12">
        <f t="shared" si="3"/>
        <v>0</v>
      </c>
      <c r="P6" s="172"/>
      <c r="Q6" s="11"/>
      <c r="R6" s="14"/>
      <c r="S6" s="15"/>
      <c r="T6" s="16"/>
      <c r="U6" s="17">
        <f t="shared" si="4"/>
        <v>0</v>
      </c>
      <c r="V6" s="18">
        <f t="shared" si="5"/>
        <v>0</v>
      </c>
      <c r="W6" s="19">
        <f t="shared" si="6"/>
        <v>0</v>
      </c>
      <c r="X6" s="20">
        <f t="shared" si="7"/>
        <v>0</v>
      </c>
      <c r="Y6" s="21">
        <f t="shared" si="8"/>
        <v>0</v>
      </c>
      <c r="Z6" s="22">
        <f>SUM(G6+K6+U6+V6+W6+X6+Y6)</f>
        <v>0</v>
      </c>
    </row>
    <row r="7" spans="1:27" x14ac:dyDescent="0.25">
      <c r="A7" s="172"/>
      <c r="B7" s="2" t="s">
        <v>23</v>
      </c>
      <c r="C7">
        <v>0</v>
      </c>
      <c r="D7" s="26">
        <v>45703</v>
      </c>
      <c r="E7" s="26">
        <v>45717</v>
      </c>
      <c r="F7">
        <f t="shared" si="1"/>
        <v>14</v>
      </c>
      <c r="G7" s="3">
        <f t="shared" si="0"/>
        <v>0</v>
      </c>
      <c r="J7" s="3"/>
      <c r="M7" s="13">
        <f>G7</f>
        <v>0</v>
      </c>
      <c r="N7" s="13">
        <f t="shared" si="2"/>
        <v>0</v>
      </c>
      <c r="O7" s="12">
        <f t="shared" si="3"/>
        <v>0</v>
      </c>
      <c r="P7" s="172"/>
      <c r="Q7" s="11"/>
      <c r="R7" s="14"/>
      <c r="S7" s="15"/>
      <c r="T7" s="16"/>
      <c r="U7" s="17">
        <f t="shared" si="4"/>
        <v>0</v>
      </c>
      <c r="V7" s="18">
        <f t="shared" si="5"/>
        <v>0</v>
      </c>
      <c r="W7" s="19">
        <f t="shared" si="6"/>
        <v>0</v>
      </c>
      <c r="X7" s="20">
        <f t="shared" si="7"/>
        <v>0</v>
      </c>
      <c r="Y7" s="21">
        <f t="shared" si="8"/>
        <v>0</v>
      </c>
      <c r="Z7" s="22">
        <f>SUM(G7+K7+U7+V7+W7+X7+Y7)</f>
        <v>0</v>
      </c>
    </row>
    <row r="8" spans="1:27" x14ac:dyDescent="0.25">
      <c r="A8" s="172"/>
      <c r="B8" s="2" t="s">
        <v>24</v>
      </c>
      <c r="C8">
        <v>0</v>
      </c>
      <c r="D8" s="26">
        <v>45703</v>
      </c>
      <c r="E8" s="26">
        <v>45717</v>
      </c>
      <c r="F8">
        <f t="shared" si="1"/>
        <v>14</v>
      </c>
      <c r="G8" s="3">
        <f t="shared" si="0"/>
        <v>0</v>
      </c>
      <c r="J8" s="3"/>
      <c r="M8" s="13">
        <f>G8</f>
        <v>0</v>
      </c>
      <c r="N8" s="13">
        <f t="shared" si="2"/>
        <v>0</v>
      </c>
      <c r="O8" s="12">
        <f t="shared" si="3"/>
        <v>0</v>
      </c>
      <c r="P8" s="172"/>
      <c r="Q8" s="11"/>
      <c r="R8" s="14"/>
      <c r="S8" s="15"/>
      <c r="T8" s="16"/>
      <c r="U8" s="17">
        <f t="shared" si="4"/>
        <v>0</v>
      </c>
      <c r="V8" s="18">
        <f t="shared" si="5"/>
        <v>0</v>
      </c>
      <c r="W8" s="19">
        <f t="shared" si="6"/>
        <v>0</v>
      </c>
      <c r="X8" s="20">
        <f t="shared" si="7"/>
        <v>0</v>
      </c>
      <c r="Y8" s="21">
        <f t="shared" si="8"/>
        <v>0</v>
      </c>
      <c r="Z8" s="22">
        <f>SUM(G8+K8+U8+V8+W8+X8+Y8)</f>
        <v>0</v>
      </c>
    </row>
    <row r="9" spans="1:27" x14ac:dyDescent="0.25">
      <c r="A9" s="172"/>
      <c r="B9" s="2" t="s">
        <v>25</v>
      </c>
      <c r="C9">
        <v>0</v>
      </c>
      <c r="D9" s="26">
        <v>45703</v>
      </c>
      <c r="E9" s="26">
        <v>45717</v>
      </c>
      <c r="F9">
        <f t="shared" si="1"/>
        <v>14</v>
      </c>
      <c r="G9" s="3">
        <f t="shared" si="0"/>
        <v>0</v>
      </c>
      <c r="J9" s="3"/>
      <c r="M9" s="13">
        <f>G9</f>
        <v>0</v>
      </c>
      <c r="N9" s="13">
        <f t="shared" si="2"/>
        <v>0</v>
      </c>
      <c r="O9" s="12">
        <f t="shared" si="3"/>
        <v>0</v>
      </c>
      <c r="P9" s="172"/>
      <c r="Q9" s="11"/>
      <c r="R9" s="14"/>
      <c r="S9" s="15"/>
      <c r="T9" s="16"/>
      <c r="U9" s="17">
        <f t="shared" si="4"/>
        <v>0</v>
      </c>
      <c r="V9" s="18">
        <f t="shared" si="5"/>
        <v>0</v>
      </c>
      <c r="W9" s="19">
        <f t="shared" si="6"/>
        <v>0</v>
      </c>
      <c r="X9" s="20">
        <f t="shared" si="7"/>
        <v>0</v>
      </c>
      <c r="Y9" s="21">
        <f t="shared" si="8"/>
        <v>0</v>
      </c>
      <c r="Z9" s="22">
        <f>SUM(G9+K9+U9+V9+W9+X9+Y9)</f>
        <v>0</v>
      </c>
    </row>
    <row r="10" spans="1:27" ht="15.75" thickBot="1" x14ac:dyDescent="0.3">
      <c r="A10" s="172"/>
      <c r="B10" s="4" t="s">
        <v>26</v>
      </c>
      <c r="C10">
        <v>0</v>
      </c>
      <c r="D10" s="26">
        <v>45703</v>
      </c>
      <c r="E10" s="26">
        <v>45717</v>
      </c>
      <c r="F10">
        <f t="shared" si="1"/>
        <v>14</v>
      </c>
      <c r="G10" s="3">
        <f t="shared" si="0"/>
        <v>0</v>
      </c>
      <c r="J10" s="3"/>
      <c r="M10" s="13">
        <f>G10</f>
        <v>0</v>
      </c>
      <c r="N10" s="13">
        <f t="shared" si="2"/>
        <v>0</v>
      </c>
      <c r="O10" s="12">
        <f t="shared" si="3"/>
        <v>0</v>
      </c>
      <c r="P10" s="172"/>
      <c r="Q10" s="11"/>
      <c r="R10" s="14"/>
      <c r="S10" s="15"/>
      <c r="T10" s="16"/>
      <c r="U10" s="17">
        <f t="shared" si="4"/>
        <v>0</v>
      </c>
      <c r="V10" s="18">
        <f t="shared" si="5"/>
        <v>0</v>
      </c>
      <c r="W10" s="19">
        <f t="shared" si="6"/>
        <v>0</v>
      </c>
      <c r="X10" s="20">
        <f t="shared" si="7"/>
        <v>0</v>
      </c>
      <c r="Y10" s="21">
        <f t="shared" si="8"/>
        <v>0</v>
      </c>
      <c r="Z10" s="22">
        <f>SUM(G10+K10+U10+V10+W10+X10+Y10)</f>
        <v>0</v>
      </c>
    </row>
    <row r="11" spans="1:27" ht="16.5" thickTop="1" thickBot="1" x14ac:dyDescent="0.3">
      <c r="A11" s="173" t="s">
        <v>37</v>
      </c>
      <c r="B11" s="2" t="s">
        <v>20</v>
      </c>
      <c r="C11" s="135">
        <v>466.96728000000002</v>
      </c>
      <c r="D11" s="26">
        <v>45703</v>
      </c>
      <c r="E11" s="26">
        <v>45717</v>
      </c>
      <c r="F11">
        <f t="shared" si="1"/>
        <v>14</v>
      </c>
      <c r="G11" s="122">
        <f t="shared" si="0"/>
        <v>17.91107375342466</v>
      </c>
      <c r="H11" s="7" t="s">
        <v>0</v>
      </c>
      <c r="I11" s="1">
        <v>0.15</v>
      </c>
      <c r="J11" s="3" t="s">
        <v>33</v>
      </c>
      <c r="M11" s="52">
        <f>((G11+K11+L11)/(1-SUM($I$11:$I$14)))</f>
        <v>22.962915068493153</v>
      </c>
      <c r="N11" s="53">
        <f>M11/(1-$I$15)</f>
        <v>28.70364383561644</v>
      </c>
      <c r="O11" s="54">
        <f>N11/(1-SUM($I$16:$I$20))</f>
        <v>36.799543378995438</v>
      </c>
      <c r="P11" s="173" t="s">
        <v>37</v>
      </c>
      <c r="Q11" s="55">
        <f>M11*$I$11</f>
        <v>3.4444372602739728</v>
      </c>
      <c r="R11" s="56">
        <f>$M11*$I$12</f>
        <v>1.1481457534246577</v>
      </c>
      <c r="S11" s="57">
        <f>$M11*$I$13</f>
        <v>0.22962915068493153</v>
      </c>
      <c r="T11" s="58">
        <f>$M11*$I$14</f>
        <v>0.22962915068493153</v>
      </c>
      <c r="U11" s="137">
        <f>$N11*$I$15</f>
        <v>5.7407287671232883</v>
      </c>
      <c r="V11" s="60">
        <f>$O11*$I$16</f>
        <v>0.73599086757990873</v>
      </c>
      <c r="W11" s="61">
        <f>$O11*$I$18</f>
        <v>0.73599086757990873</v>
      </c>
      <c r="X11" s="62">
        <f>$O11*$I$19</f>
        <v>1.103986301369863</v>
      </c>
      <c r="Y11" s="63">
        <f>$O11*$I$20</f>
        <v>4.7839406392694075</v>
      </c>
      <c r="Z11" s="22">
        <f>SUM(G11+K11+L11+Q11+R11+S11+T11+U11+V11+W11+X11+Y11)</f>
        <v>36.063552511415523</v>
      </c>
      <c r="AA11" t="s">
        <v>28</v>
      </c>
    </row>
    <row r="12" spans="1:27" ht="16.5" thickTop="1" thickBot="1" x14ac:dyDescent="0.3">
      <c r="A12" s="174"/>
      <c r="B12" s="2"/>
      <c r="C12">
        <v>0</v>
      </c>
      <c r="G12" s="3">
        <f t="shared" ref="G12:G19" si="9">(C12/365)*F12</f>
        <v>0</v>
      </c>
      <c r="H12" s="7" t="s">
        <v>1</v>
      </c>
      <c r="I12" s="1">
        <v>0.05</v>
      </c>
      <c r="J12" s="3" t="s">
        <v>33</v>
      </c>
      <c r="M12" s="64"/>
      <c r="N12" s="34"/>
      <c r="O12" s="33"/>
      <c r="P12" s="174"/>
      <c r="Q12" s="35"/>
      <c r="R12" s="36"/>
      <c r="S12" s="37"/>
      <c r="T12" s="38"/>
      <c r="U12" s="39"/>
      <c r="V12" s="40"/>
      <c r="W12" s="41"/>
      <c r="X12" s="42"/>
      <c r="Y12" s="65"/>
    </row>
    <row r="13" spans="1:27" ht="16.5" thickTop="1" thickBot="1" x14ac:dyDescent="0.3">
      <c r="A13" s="174"/>
      <c r="B13" s="2" t="s">
        <v>21</v>
      </c>
      <c r="C13">
        <v>0</v>
      </c>
      <c r="D13" s="26">
        <v>45703</v>
      </c>
      <c r="E13" s="26">
        <v>45717</v>
      </c>
      <c r="F13">
        <f>_xlfn.DAYS(E13,D13)</f>
        <v>14</v>
      </c>
      <c r="G13" s="3">
        <f t="shared" si="9"/>
        <v>0</v>
      </c>
      <c r="H13" s="7" t="s">
        <v>2</v>
      </c>
      <c r="I13" s="1">
        <v>0.01</v>
      </c>
      <c r="J13" s="3" t="s">
        <v>33</v>
      </c>
      <c r="M13" s="64">
        <f>((G13+K13)/(1-SUM($I$11:$I$14)))</f>
        <v>0</v>
      </c>
      <c r="N13" s="34">
        <f t="shared" ref="N13:N19" si="10">M13/(1-$I$15)</f>
        <v>0</v>
      </c>
      <c r="O13" s="33">
        <f t="shared" ref="O13:O19" si="11">N13/(1-SUM($I$16:$I$20))</f>
        <v>0</v>
      </c>
      <c r="P13" s="174"/>
      <c r="Q13" s="35">
        <f>M13*$I$11</f>
        <v>0</v>
      </c>
      <c r="R13" s="36">
        <f>$M13*$I$12</f>
        <v>0</v>
      </c>
      <c r="S13" s="37">
        <f>$M13*$I$13</f>
        <v>0</v>
      </c>
      <c r="T13" s="38">
        <f>$M13*$I$14</f>
        <v>0</v>
      </c>
      <c r="U13" s="39">
        <f t="shared" ref="U13:U19" si="12">$N13*$I$15</f>
        <v>0</v>
      </c>
      <c r="V13" s="40">
        <f t="shared" si="5"/>
        <v>0</v>
      </c>
      <c r="W13" s="41">
        <f t="shared" si="6"/>
        <v>0</v>
      </c>
      <c r="X13" s="42">
        <f t="shared" si="7"/>
        <v>0</v>
      </c>
      <c r="Y13" s="65">
        <f t="shared" si="8"/>
        <v>0</v>
      </c>
      <c r="Z13" s="22">
        <f>SUM(G13+K13+Q13+R13+S13+T13+U13+V13+W13+X13+Y13)</f>
        <v>0</v>
      </c>
    </row>
    <row r="14" spans="1:27" ht="16.5" thickTop="1" thickBot="1" x14ac:dyDescent="0.3">
      <c r="A14" s="174"/>
      <c r="B14" s="2" t="s">
        <v>75</v>
      </c>
      <c r="C14" s="135">
        <v>3.12</v>
      </c>
      <c r="D14" s="26">
        <v>45703</v>
      </c>
      <c r="E14" s="26">
        <v>45717</v>
      </c>
      <c r="F14">
        <f t="shared" ref="F14:F19" si="13">_xlfn.DAYS(E14,D14)</f>
        <v>14</v>
      </c>
      <c r="G14" s="122">
        <f t="shared" si="9"/>
        <v>0.11967123287671233</v>
      </c>
      <c r="H14" s="7" t="s">
        <v>3</v>
      </c>
      <c r="I14" s="1">
        <v>0.01</v>
      </c>
      <c r="J14" s="3" t="s">
        <v>33</v>
      </c>
      <c r="M14" s="66">
        <f t="shared" ref="M14:M19" si="14">G14</f>
        <v>0.11967123287671233</v>
      </c>
      <c r="N14" s="34">
        <f t="shared" si="10"/>
        <v>0.14958904109589041</v>
      </c>
      <c r="O14" s="33">
        <f t="shared" si="11"/>
        <v>0.19178082191780821</v>
      </c>
      <c r="P14" s="174"/>
      <c r="Q14" s="35"/>
      <c r="R14" s="36"/>
      <c r="S14" s="37"/>
      <c r="T14" s="38"/>
      <c r="U14" s="136">
        <f t="shared" si="12"/>
        <v>2.9917808219178083E-2</v>
      </c>
      <c r="V14" s="40">
        <f t="shared" si="5"/>
        <v>3.8356164383561643E-3</v>
      </c>
      <c r="W14" s="41">
        <f t="shared" si="6"/>
        <v>3.8356164383561643E-3</v>
      </c>
      <c r="X14" s="42">
        <f t="shared" si="7"/>
        <v>5.7534246575342458E-3</v>
      </c>
      <c r="Y14" s="65">
        <f t="shared" si="8"/>
        <v>2.4931506849315069E-2</v>
      </c>
      <c r="Z14" s="22">
        <f t="shared" ref="Z14:Z19" si="15">SUM(G14+K14+U14+V14+W14+X14+Y14)</f>
        <v>0.18794520547945209</v>
      </c>
    </row>
    <row r="15" spans="1:27" ht="16.5" thickTop="1" thickBot="1" x14ac:dyDescent="0.3">
      <c r="A15" s="174"/>
      <c r="B15" s="2" t="s">
        <v>76</v>
      </c>
      <c r="C15">
        <v>3.6</v>
      </c>
      <c r="D15" s="26">
        <v>45703</v>
      </c>
      <c r="E15" s="26">
        <v>45717</v>
      </c>
      <c r="F15">
        <f t="shared" si="13"/>
        <v>14</v>
      </c>
      <c r="G15" s="122">
        <f t="shared" si="9"/>
        <v>0.13808219178082193</v>
      </c>
      <c r="H15" s="7" t="s">
        <v>4</v>
      </c>
      <c r="I15" s="1">
        <v>0.2</v>
      </c>
      <c r="J15" s="3" t="s">
        <v>34</v>
      </c>
      <c r="M15" s="66">
        <f t="shared" si="14"/>
        <v>0.13808219178082193</v>
      </c>
      <c r="N15" s="34">
        <f t="shared" si="10"/>
        <v>0.17260273972602741</v>
      </c>
      <c r="O15" s="33">
        <f t="shared" si="11"/>
        <v>0.22128556375131719</v>
      </c>
      <c r="P15" s="174"/>
      <c r="Q15" s="35"/>
      <c r="R15" s="36"/>
      <c r="S15" s="37"/>
      <c r="T15" s="38"/>
      <c r="U15" s="136">
        <f t="shared" si="12"/>
        <v>3.4520547945205482E-2</v>
      </c>
      <c r="V15" s="40">
        <f t="shared" si="5"/>
        <v>4.4257112750263443E-3</v>
      </c>
      <c r="W15" s="41">
        <f t="shared" si="6"/>
        <v>4.4257112750263443E-3</v>
      </c>
      <c r="X15" s="42">
        <f t="shared" si="7"/>
        <v>6.6385669125395156E-3</v>
      </c>
      <c r="Y15" s="65">
        <f t="shared" si="8"/>
        <v>2.8767123287671236E-2</v>
      </c>
      <c r="Z15" s="22">
        <f t="shared" si="15"/>
        <v>0.21685985247629083</v>
      </c>
    </row>
    <row r="16" spans="1:27" ht="16.5" thickTop="1" thickBot="1" x14ac:dyDescent="0.3">
      <c r="A16" s="174"/>
      <c r="B16" s="2" t="s">
        <v>77</v>
      </c>
      <c r="C16" s="135">
        <v>7.8</v>
      </c>
      <c r="D16" s="26">
        <v>45703</v>
      </c>
      <c r="E16" s="26">
        <v>45717</v>
      </c>
      <c r="F16">
        <f t="shared" si="13"/>
        <v>14</v>
      </c>
      <c r="G16" s="122">
        <f t="shared" si="9"/>
        <v>0.29917808219178077</v>
      </c>
      <c r="H16" s="7" t="s">
        <v>5</v>
      </c>
      <c r="I16" s="1">
        <v>0.02</v>
      </c>
      <c r="J16" s="3" t="s">
        <v>9</v>
      </c>
      <c r="M16" s="66">
        <f t="shared" si="14"/>
        <v>0.29917808219178077</v>
      </c>
      <c r="N16" s="34">
        <f t="shared" si="10"/>
        <v>0.37397260273972593</v>
      </c>
      <c r="O16" s="33">
        <f t="shared" si="11"/>
        <v>0.47945205479452041</v>
      </c>
      <c r="P16" s="174"/>
      <c r="Q16" s="35"/>
      <c r="R16" s="36"/>
      <c r="S16" s="37"/>
      <c r="T16" s="38"/>
      <c r="U16" s="136">
        <f t="shared" si="12"/>
        <v>7.4794520547945192E-2</v>
      </c>
      <c r="V16" s="40">
        <f t="shared" si="5"/>
        <v>9.589041095890408E-3</v>
      </c>
      <c r="W16" s="41">
        <f t="shared" si="6"/>
        <v>9.589041095890408E-3</v>
      </c>
      <c r="X16" s="42">
        <f t="shared" si="7"/>
        <v>1.4383561643835611E-2</v>
      </c>
      <c r="Y16" s="65">
        <f t="shared" si="8"/>
        <v>6.2328767123287658E-2</v>
      </c>
      <c r="Z16" s="22">
        <f t="shared" si="15"/>
        <v>0.46986301369863009</v>
      </c>
    </row>
    <row r="17" spans="1:26" ht="16.5" thickTop="1" thickBot="1" x14ac:dyDescent="0.3">
      <c r="A17" s="174"/>
      <c r="B17" s="2" t="s">
        <v>78</v>
      </c>
      <c r="C17" s="135">
        <v>0</v>
      </c>
      <c r="D17" s="26">
        <v>45703</v>
      </c>
      <c r="E17" s="26">
        <v>45717</v>
      </c>
      <c r="F17">
        <f t="shared" ref="F17" si="16">_xlfn.DAYS(E17,D17)</f>
        <v>14</v>
      </c>
      <c r="G17" s="3">
        <f t="shared" ref="G17" si="17">(C17/365)*F17</f>
        <v>0</v>
      </c>
      <c r="H17" s="7" t="s">
        <v>5</v>
      </c>
      <c r="I17" s="1">
        <v>0.02</v>
      </c>
      <c r="J17" s="3" t="s">
        <v>9</v>
      </c>
      <c r="M17" s="66">
        <f t="shared" si="14"/>
        <v>0</v>
      </c>
      <c r="N17" s="34">
        <f t="shared" ref="N17" si="18">M17/(1-$I$15)</f>
        <v>0</v>
      </c>
      <c r="O17" s="33">
        <f t="shared" ref="O17" si="19">N17/(1-SUM($I$16:$I$20))</f>
        <v>0</v>
      </c>
      <c r="P17" s="174"/>
      <c r="Q17" s="35"/>
      <c r="R17" s="36"/>
      <c r="S17" s="37"/>
      <c r="T17" s="38"/>
      <c r="U17" s="39">
        <f t="shared" si="12"/>
        <v>0</v>
      </c>
      <c r="V17" s="40">
        <f t="shared" si="5"/>
        <v>0</v>
      </c>
      <c r="W17" s="41">
        <f t="shared" si="6"/>
        <v>0</v>
      </c>
      <c r="X17" s="42">
        <f t="shared" si="7"/>
        <v>0</v>
      </c>
      <c r="Y17" s="65">
        <f t="shared" si="8"/>
        <v>0</v>
      </c>
      <c r="Z17" s="22">
        <f t="shared" si="15"/>
        <v>0</v>
      </c>
    </row>
    <row r="18" spans="1:26" ht="16.5" thickTop="1" thickBot="1" x14ac:dyDescent="0.3">
      <c r="A18" s="174"/>
      <c r="B18" s="2" t="s">
        <v>54</v>
      </c>
      <c r="C18">
        <v>7.92</v>
      </c>
      <c r="D18" s="26">
        <v>45703</v>
      </c>
      <c r="E18" s="26">
        <v>45717</v>
      </c>
      <c r="F18">
        <f t="shared" si="13"/>
        <v>14</v>
      </c>
      <c r="G18" s="122">
        <f t="shared" si="9"/>
        <v>0.3037808219178082</v>
      </c>
      <c r="H18" s="7" t="s">
        <v>6</v>
      </c>
      <c r="I18" s="1">
        <v>0.02</v>
      </c>
      <c r="J18" s="3" t="s">
        <v>29</v>
      </c>
      <c r="M18" s="66">
        <f t="shared" si="14"/>
        <v>0.3037808219178082</v>
      </c>
      <c r="N18" s="34">
        <f t="shared" si="10"/>
        <v>0.37972602739726025</v>
      </c>
      <c r="O18" s="33">
        <f t="shared" si="11"/>
        <v>0.48682824025289773</v>
      </c>
      <c r="P18" s="174"/>
      <c r="Q18" s="35"/>
      <c r="R18" s="36"/>
      <c r="S18" s="37"/>
      <c r="T18" s="38"/>
      <c r="U18" s="39">
        <f t="shared" si="12"/>
        <v>7.5945205479452049E-2</v>
      </c>
      <c r="V18" s="40">
        <f t="shared" si="5"/>
        <v>9.736564805057954E-3</v>
      </c>
      <c r="W18" s="41">
        <f t="shared" si="6"/>
        <v>9.736564805057954E-3</v>
      </c>
      <c r="X18" s="42">
        <f t="shared" si="7"/>
        <v>1.4604847207586931E-2</v>
      </c>
      <c r="Y18" s="65">
        <f t="shared" si="8"/>
        <v>6.3287671232876708E-2</v>
      </c>
      <c r="Z18" s="22">
        <f t="shared" si="15"/>
        <v>0.47709167544783981</v>
      </c>
    </row>
    <row r="19" spans="1:26" ht="16.5" thickTop="1" thickBot="1" x14ac:dyDescent="0.3">
      <c r="A19" s="175"/>
      <c r="B19" s="4" t="s">
        <v>55</v>
      </c>
      <c r="C19">
        <v>6.34</v>
      </c>
      <c r="D19" s="26">
        <v>45703</v>
      </c>
      <c r="E19" s="26">
        <v>45717</v>
      </c>
      <c r="F19">
        <f t="shared" si="13"/>
        <v>14</v>
      </c>
      <c r="G19" s="122">
        <f t="shared" si="9"/>
        <v>0.2431780821917808</v>
      </c>
      <c r="H19" s="7" t="s">
        <v>7</v>
      </c>
      <c r="I19" s="1">
        <v>0.03</v>
      </c>
      <c r="J19" s="3" t="s">
        <v>11</v>
      </c>
      <c r="M19" s="67">
        <f t="shared" si="14"/>
        <v>0.2431780821917808</v>
      </c>
      <c r="N19" s="68">
        <f t="shared" si="10"/>
        <v>0.30397260273972598</v>
      </c>
      <c r="O19" s="69">
        <f t="shared" si="11"/>
        <v>0.38970846505093071</v>
      </c>
      <c r="P19" s="175"/>
      <c r="Q19" s="70"/>
      <c r="R19" s="71"/>
      <c r="S19" s="72"/>
      <c r="T19" s="73"/>
      <c r="U19" s="74">
        <f t="shared" si="12"/>
        <v>6.0794520547945201E-2</v>
      </c>
      <c r="V19" s="75">
        <f t="shared" si="5"/>
        <v>7.7941693010186146E-3</v>
      </c>
      <c r="W19" s="76">
        <f t="shared" si="6"/>
        <v>7.7941693010186146E-3</v>
      </c>
      <c r="X19" s="77">
        <f t="shared" si="7"/>
        <v>1.1691253951527921E-2</v>
      </c>
      <c r="Y19" s="78">
        <f t="shared" si="8"/>
        <v>5.0662100456620993E-2</v>
      </c>
      <c r="Z19" s="22">
        <f t="shared" si="15"/>
        <v>0.38191429574991215</v>
      </c>
    </row>
    <row r="20" spans="1:26" ht="16.5" thickTop="1" thickBot="1" x14ac:dyDescent="0.3">
      <c r="H20" s="8" t="s">
        <v>8</v>
      </c>
      <c r="I20" s="9">
        <v>0.13</v>
      </c>
      <c r="J20" s="5" t="s">
        <v>10</v>
      </c>
      <c r="M20" s="45"/>
      <c r="N20" s="45"/>
      <c r="O20" s="46">
        <f>SUM(O3:O19)</f>
        <v>38.568598524762912</v>
      </c>
      <c r="P20" s="47">
        <f>SUM($M$3:$M$5)*I11</f>
        <v>0</v>
      </c>
      <c r="Q20" s="45"/>
      <c r="R20" s="45"/>
      <c r="S20" s="45"/>
      <c r="T20" s="45"/>
      <c r="U20" s="45">
        <f>SUM(U11:U19)</f>
        <v>6.0167013698630134</v>
      </c>
      <c r="V20" s="48">
        <f>SUM(V11:V19)</f>
        <v>0.77137197049525819</v>
      </c>
      <c r="W20" s="49">
        <f t="shared" si="6"/>
        <v>0.7713719704952583</v>
      </c>
      <c r="X20" s="50">
        <f t="shared" si="7"/>
        <v>1.1570579557428873</v>
      </c>
      <c r="Y20" s="51">
        <f t="shared" si="8"/>
        <v>5.0139178082191789</v>
      </c>
      <c r="Z20" s="24">
        <f>SUM(Z3:Z19)</f>
        <v>37.797226554267645</v>
      </c>
    </row>
    <row r="21" spans="1:26" x14ac:dyDescent="0.25">
      <c r="B21" s="79" t="s">
        <v>38</v>
      </c>
      <c r="C21" s="80">
        <f>SUM(C3:C10)</f>
        <v>0</v>
      </c>
      <c r="P21" s="14">
        <f>SUM($M$3:$M$5)*I12</f>
        <v>0</v>
      </c>
    </row>
    <row r="22" spans="1:26" x14ac:dyDescent="0.25">
      <c r="B22" s="79" t="s">
        <v>39</v>
      </c>
      <c r="C22" s="80">
        <f>SUM(C11:C19)</f>
        <v>495.74728000000005</v>
      </c>
      <c r="P22" s="15">
        <f>SUM($M$3:$M$5)*I13</f>
        <v>0</v>
      </c>
    </row>
    <row r="23" spans="1:26" x14ac:dyDescent="0.25">
      <c r="K23">
        <f>((G11+K11+L11))</f>
        <v>17.91107375342466</v>
      </c>
      <c r="P23" s="16">
        <f>SUM($M$3:$M$5)*I14</f>
        <v>0</v>
      </c>
    </row>
    <row r="24" spans="1:26" x14ac:dyDescent="0.25">
      <c r="K24" s="134">
        <f>(1-SUM($I$11:$I$14))</f>
        <v>0.78</v>
      </c>
      <c r="P24" s="17">
        <f>SUM($N$3:$N$10)*I15</f>
        <v>0</v>
      </c>
    </row>
    <row r="25" spans="1:26" x14ac:dyDescent="0.25">
      <c r="P25" s="18">
        <f>SUM($O$3:$O$10)*I16</f>
        <v>0</v>
      </c>
    </row>
    <row r="26" spans="1:26" x14ac:dyDescent="0.25">
      <c r="P26" s="19">
        <f>SUM($O$3:$O$10)*I18</f>
        <v>0</v>
      </c>
    </row>
    <row r="27" spans="1:26" x14ac:dyDescent="0.25">
      <c r="P27" s="20">
        <f>SUM($O$3:$O$10)*I19</f>
        <v>0</v>
      </c>
    </row>
    <row r="28" spans="1:26" x14ac:dyDescent="0.25">
      <c r="P28" s="21">
        <f>SUM($O$3:$O$10)*I20</f>
        <v>0</v>
      </c>
    </row>
  </sheetData>
  <mergeCells count="6">
    <mergeCell ref="B2:G2"/>
    <mergeCell ref="H2:J2"/>
    <mergeCell ref="P3:P10"/>
    <mergeCell ref="P11:P19"/>
    <mergeCell ref="A3:A10"/>
    <mergeCell ref="A11:A19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19FA-939A-400D-96F4-B8B208AC05AD}">
  <dimension ref="A1:AJ27"/>
  <sheetViews>
    <sheetView topLeftCell="K1" workbookViewId="0">
      <selection activeCell="R4" sqref="R4"/>
    </sheetView>
  </sheetViews>
  <sheetFormatPr defaultColWidth="11.42578125" defaultRowHeight="15" x14ac:dyDescent="0.25"/>
  <cols>
    <col min="2" max="2" width="29.7109375" bestFit="1" customWidth="1"/>
    <col min="3" max="3" width="14.28515625" customWidth="1"/>
    <col min="4" max="4" width="11.28515625" customWidth="1"/>
    <col min="5" max="5" width="10.28515625" customWidth="1"/>
    <col min="6" max="6" width="9.42578125" customWidth="1"/>
    <col min="7" max="7" width="10.42578125" customWidth="1"/>
    <col min="8" max="8" width="12.140625" customWidth="1"/>
    <col min="9" max="9" width="11.28515625" customWidth="1"/>
    <col min="10" max="10" width="12.140625" customWidth="1"/>
    <col min="11" max="11" width="8" customWidth="1"/>
    <col min="12" max="12" width="11.7109375" customWidth="1"/>
    <col min="13" max="13" width="14.42578125" customWidth="1"/>
    <col min="14" max="14" width="21.85546875" customWidth="1"/>
    <col min="16" max="16" width="26.42578125" bestFit="1" customWidth="1"/>
    <col min="17" max="18" width="22.28515625" customWidth="1"/>
    <col min="19" max="19" width="12" bestFit="1" customWidth="1"/>
    <col min="20" max="20" width="9.7109375" bestFit="1" customWidth="1"/>
    <col min="21" max="21" width="13.7109375" style="22" bestFit="1" customWidth="1"/>
    <col min="22" max="22" width="14.28515625" customWidth="1"/>
    <col min="32" max="32" width="20.140625" style="22" customWidth="1"/>
  </cols>
  <sheetData>
    <row r="1" spans="1:36" ht="45.75" thickBot="1" x14ac:dyDescent="0.3">
      <c r="B1" s="82" t="s">
        <v>17</v>
      </c>
      <c r="C1" s="179" t="s">
        <v>40</v>
      </c>
      <c r="D1" s="180"/>
      <c r="E1" s="180"/>
      <c r="F1" s="180"/>
      <c r="G1" s="181"/>
      <c r="H1" s="179" t="s">
        <v>41</v>
      </c>
      <c r="I1" s="180"/>
      <c r="J1" s="180"/>
      <c r="K1" s="180"/>
      <c r="L1" s="182"/>
      <c r="P1">
        <f>Q1/15</f>
        <v>27.873333333333331</v>
      </c>
      <c r="Q1">
        <f>H3/R1</f>
        <v>418.09999999999997</v>
      </c>
      <c r="R1" s="134">
        <f>1-SUM($O$11:$O$14)</f>
        <v>0.78</v>
      </c>
      <c r="S1" s="133">
        <v>100</v>
      </c>
      <c r="T1" s="133">
        <v>105</v>
      </c>
      <c r="U1" s="133">
        <v>110</v>
      </c>
      <c r="V1" t="s">
        <v>15</v>
      </c>
    </row>
    <row r="2" spans="1:36" ht="71.45" customHeight="1" thickTop="1" thickBot="1" x14ac:dyDescent="0.3">
      <c r="B2" s="30"/>
      <c r="C2" s="89" t="s">
        <v>35</v>
      </c>
      <c r="D2" s="89" t="s">
        <v>42</v>
      </c>
      <c r="E2" s="89" t="s">
        <v>43</v>
      </c>
      <c r="F2" s="89" t="s">
        <v>44</v>
      </c>
      <c r="G2" s="89" t="s">
        <v>45</v>
      </c>
      <c r="H2" s="89" t="s">
        <v>35</v>
      </c>
      <c r="I2" s="89" t="s">
        <v>42</v>
      </c>
      <c r="J2" s="89" t="s">
        <v>43</v>
      </c>
      <c r="K2" s="89" t="s">
        <v>44</v>
      </c>
      <c r="L2" s="94" t="s">
        <v>45</v>
      </c>
      <c r="M2" s="89" t="s">
        <v>47</v>
      </c>
      <c r="N2" s="166" t="s">
        <v>16</v>
      </c>
      <c r="O2" s="166"/>
      <c r="P2" s="166"/>
      <c r="Q2" s="97" t="s">
        <v>30</v>
      </c>
      <c r="R2" s="97" t="s">
        <v>30</v>
      </c>
      <c r="S2" s="131" t="s">
        <v>12</v>
      </c>
      <c r="T2" s="131" t="s">
        <v>13</v>
      </c>
      <c r="U2" s="132" t="s">
        <v>14</v>
      </c>
      <c r="W2" s="7" t="s">
        <v>0</v>
      </c>
      <c r="X2" s="7" t="s">
        <v>1</v>
      </c>
      <c r="Y2" s="7" t="s">
        <v>2</v>
      </c>
      <c r="Z2" s="7" t="s">
        <v>3</v>
      </c>
      <c r="AA2" s="7" t="s">
        <v>4</v>
      </c>
      <c r="AB2" s="7" t="s">
        <v>5</v>
      </c>
      <c r="AC2" s="7" t="s">
        <v>6</v>
      </c>
      <c r="AD2" s="7" t="s">
        <v>7</v>
      </c>
      <c r="AE2" s="8" t="s">
        <v>8</v>
      </c>
      <c r="AF2" s="23" t="s">
        <v>18</v>
      </c>
    </row>
    <row r="3" spans="1:36" ht="16.5" thickTop="1" thickBot="1" x14ac:dyDescent="0.3">
      <c r="A3" s="172" t="s">
        <v>36</v>
      </c>
      <c r="B3" s="2" t="s">
        <v>20</v>
      </c>
      <c r="C3" s="93">
        <v>283.43639999999999</v>
      </c>
      <c r="D3" s="26">
        <v>45854</v>
      </c>
      <c r="E3" s="26">
        <v>45869</v>
      </c>
      <c r="F3" s="90">
        <f t="shared" ref="F3:F18" si="0">_xlfn.DAYS(E3,D3)</f>
        <v>15</v>
      </c>
      <c r="G3" s="88">
        <f>(C3/365)*F3</f>
        <v>11.648071232876712</v>
      </c>
      <c r="H3" s="91">
        <v>326.11799999999999</v>
      </c>
      <c r="I3" s="26">
        <v>45854</v>
      </c>
      <c r="J3" s="26">
        <v>45869</v>
      </c>
      <c r="K3" s="90">
        <f>_xlfn.DAYS(J3,I3)</f>
        <v>15</v>
      </c>
      <c r="L3" s="88">
        <f>(H3/365)*K3</f>
        <v>13.402109589041096</v>
      </c>
      <c r="M3" s="98">
        <f>L3-G3</f>
        <v>1.7540383561643846</v>
      </c>
      <c r="N3" t="s">
        <v>27</v>
      </c>
      <c r="O3" s="6"/>
      <c r="P3" s="3" t="s">
        <v>31</v>
      </c>
      <c r="Q3">
        <f>M3*O3</f>
        <v>0</v>
      </c>
      <c r="R3">
        <f>M3*O4</f>
        <v>0</v>
      </c>
      <c r="S3" s="33">
        <f>((M3+Q3+R3)/(1-SUM($O$11:$O$14)))</f>
        <v>2.2487671232876725</v>
      </c>
      <c r="T3" s="34">
        <f>S3/(1-$O$15)</f>
        <v>2.8109589041095906</v>
      </c>
      <c r="U3" s="33">
        <f>T3/(1-SUM($O$16:$O$19))</f>
        <v>3.5136986301369881</v>
      </c>
      <c r="V3" s="172" t="s">
        <v>36</v>
      </c>
      <c r="W3" s="11">
        <f>S3*$O$11</f>
        <v>0.33731506849315085</v>
      </c>
      <c r="X3" s="14">
        <f>$S3*$O$12</f>
        <v>0.11243835616438363</v>
      </c>
      <c r="Y3" s="15">
        <f>$S3*$O$13</f>
        <v>2.2487671232876726E-2</v>
      </c>
      <c r="Z3" s="16">
        <f>$S3*$O$14</f>
        <v>2.2487671232876726E-2</v>
      </c>
      <c r="AA3" s="17">
        <f>$T3*$O$15</f>
        <v>0.56219178082191812</v>
      </c>
      <c r="AB3" s="18">
        <f>$U3*$O$16</f>
        <v>7.0273972602739765E-2</v>
      </c>
      <c r="AC3" s="19">
        <f>$U3*$O$17</f>
        <v>7.0273972602739765E-2</v>
      </c>
      <c r="AD3" s="20">
        <f>$U3*$O$18</f>
        <v>0.10541095890410963</v>
      </c>
      <c r="AE3" s="21">
        <f>$U3*$O$19</f>
        <v>0.4567808219178085</v>
      </c>
      <c r="AF3" s="22">
        <f>SUM(M3+Q3+R3+W3+X3+Y3+Z3+AA3+AB3+AC3+AD3+AE3)</f>
        <v>3.513698630136989</v>
      </c>
    </row>
    <row r="4" spans="1:36" ht="15.75" thickBot="1" x14ac:dyDescent="0.3">
      <c r="A4" s="172"/>
      <c r="B4" s="2"/>
      <c r="C4" s="83"/>
      <c r="D4" s="30"/>
      <c r="E4" s="30"/>
      <c r="F4" s="90">
        <f t="shared" si="0"/>
        <v>0</v>
      </c>
      <c r="G4" s="88">
        <f t="shared" ref="G4:G18" si="1">(C4/365)*F4</f>
        <v>0</v>
      </c>
      <c r="H4" s="83"/>
      <c r="I4" s="30"/>
      <c r="J4" s="30"/>
      <c r="K4" s="90">
        <f t="shared" ref="K4:K18" si="2">_xlfn.DAYS(J4,I4)</f>
        <v>0</v>
      </c>
      <c r="L4" s="88">
        <f t="shared" ref="L4:L18" si="3">(H4/365)*K4</f>
        <v>0</v>
      </c>
      <c r="M4" s="98">
        <f t="shared" ref="M4:M10" si="4">L4-G4</f>
        <v>0</v>
      </c>
      <c r="N4" t="s">
        <v>32</v>
      </c>
      <c r="O4" s="6"/>
      <c r="P4" s="3" t="s">
        <v>31</v>
      </c>
      <c r="R4">
        <f>(C3/(1-SUM($O$11:$O$14)))</f>
        <v>363.38</v>
      </c>
      <c r="S4" s="33"/>
      <c r="T4" s="34"/>
      <c r="U4" s="33"/>
      <c r="V4" s="172"/>
      <c r="W4" s="11"/>
      <c r="X4" s="14"/>
      <c r="Y4" s="15"/>
      <c r="Z4" s="16"/>
      <c r="AA4" s="17"/>
      <c r="AB4" s="18"/>
      <c r="AC4" s="19"/>
      <c r="AD4" s="20"/>
      <c r="AE4" s="21"/>
      <c r="AG4" s="110" t="s">
        <v>65</v>
      </c>
      <c r="AH4" s="107" t="s">
        <v>57</v>
      </c>
      <c r="AI4" s="107" t="s">
        <v>58</v>
      </c>
      <c r="AJ4" s="107" t="s">
        <v>59</v>
      </c>
    </row>
    <row r="5" spans="1:36" ht="15.75" thickBot="1" x14ac:dyDescent="0.3">
      <c r="A5" s="172"/>
      <c r="B5" s="2" t="s">
        <v>21</v>
      </c>
      <c r="C5" s="84">
        <v>0</v>
      </c>
      <c r="D5" s="87">
        <v>45870</v>
      </c>
      <c r="E5" s="87">
        <v>46174</v>
      </c>
      <c r="F5" s="90">
        <f t="shared" si="0"/>
        <v>304</v>
      </c>
      <c r="G5" s="88">
        <f t="shared" si="1"/>
        <v>0</v>
      </c>
      <c r="H5" s="84">
        <v>0</v>
      </c>
      <c r="I5" s="87">
        <v>45870</v>
      </c>
      <c r="J5" s="87">
        <v>46174</v>
      </c>
      <c r="K5" s="90">
        <f t="shared" si="2"/>
        <v>304</v>
      </c>
      <c r="L5" s="88">
        <f t="shared" si="3"/>
        <v>0</v>
      </c>
      <c r="M5" s="98">
        <f t="shared" si="4"/>
        <v>0</v>
      </c>
      <c r="O5" s="6"/>
      <c r="P5" s="3"/>
      <c r="R5">
        <f>(H3/(1-SUM($O$11:$O$14)))</f>
        <v>418.09999999999997</v>
      </c>
      <c r="S5" s="33">
        <f>((M5+Q5)/(1-SUM($O$11:$O$14)))</f>
        <v>0</v>
      </c>
      <c r="T5" s="34">
        <f t="shared" ref="T5:T10" si="5">S5/(1-$O$15)</f>
        <v>0</v>
      </c>
      <c r="U5" s="33">
        <f t="shared" ref="U5:U10" si="6">T5/(1-SUM($O$16:$O$19))</f>
        <v>0</v>
      </c>
      <c r="V5" s="172"/>
      <c r="W5" s="11">
        <f>S5*$O$11</f>
        <v>0</v>
      </c>
      <c r="X5" s="14">
        <f>$S5*$O$12</f>
        <v>0</v>
      </c>
      <c r="Y5" s="15">
        <f>$S5*$O$13</f>
        <v>0</v>
      </c>
      <c r="Z5" s="16">
        <f>$S5*$O$14</f>
        <v>0</v>
      </c>
      <c r="AA5" s="17">
        <f t="shared" ref="AA5:AA10" si="7">$T5*$O$15</f>
        <v>0</v>
      </c>
      <c r="AB5" s="18">
        <f t="shared" ref="AB5:AB19" si="8">$U5*$O$16</f>
        <v>0</v>
      </c>
      <c r="AC5" s="19">
        <f t="shared" ref="AC5:AC19" si="9">$U5*$O$17</f>
        <v>0</v>
      </c>
      <c r="AD5" s="20">
        <f t="shared" ref="AD5:AD19" si="10">$U5*$O$18</f>
        <v>0</v>
      </c>
      <c r="AE5" s="21">
        <f t="shared" ref="AE5:AE19" si="11">$U5*$O$19</f>
        <v>0</v>
      </c>
      <c r="AF5" s="22">
        <f>SUM(M5+Q5+W5+X5+Y5+Z5+AA5+AB5+AC5+AD5+AE5)</f>
        <v>0</v>
      </c>
      <c r="AG5" s="108">
        <v>1</v>
      </c>
      <c r="AH5" s="109" t="s">
        <v>60</v>
      </c>
      <c r="AI5" s="109">
        <v>0</v>
      </c>
      <c r="AJ5" s="109">
        <v>0</v>
      </c>
    </row>
    <row r="6" spans="1:36" ht="15.75" thickBot="1" x14ac:dyDescent="0.3">
      <c r="A6" s="172"/>
      <c r="B6" s="2" t="s">
        <v>46</v>
      </c>
      <c r="C6" s="92">
        <v>0</v>
      </c>
      <c r="D6" s="87">
        <v>45870</v>
      </c>
      <c r="E6" s="87">
        <v>46174</v>
      </c>
      <c r="F6" s="90">
        <f t="shared" si="0"/>
        <v>304</v>
      </c>
      <c r="G6" s="88">
        <f t="shared" si="1"/>
        <v>0</v>
      </c>
      <c r="H6" s="92">
        <v>0</v>
      </c>
      <c r="I6" s="87">
        <v>45870</v>
      </c>
      <c r="J6" s="87">
        <v>46174</v>
      </c>
      <c r="K6" s="90">
        <f t="shared" si="2"/>
        <v>304</v>
      </c>
      <c r="L6" s="88">
        <f t="shared" si="3"/>
        <v>0</v>
      </c>
      <c r="M6" s="98">
        <f t="shared" si="4"/>
        <v>0</v>
      </c>
      <c r="P6" s="3"/>
      <c r="R6">
        <f>(R4/365)*15</f>
        <v>14.933424657534246</v>
      </c>
      <c r="S6" s="34">
        <f>M6</f>
        <v>0</v>
      </c>
      <c r="T6" s="34">
        <f t="shared" si="5"/>
        <v>0</v>
      </c>
      <c r="U6" s="33">
        <f t="shared" si="6"/>
        <v>0</v>
      </c>
      <c r="V6" s="172"/>
      <c r="W6" s="11"/>
      <c r="X6" s="14"/>
      <c r="Y6" s="15"/>
      <c r="Z6" s="16"/>
      <c r="AA6" s="17">
        <f t="shared" si="7"/>
        <v>0</v>
      </c>
      <c r="AB6" s="18">
        <f t="shared" si="8"/>
        <v>0</v>
      </c>
      <c r="AC6" s="19">
        <f t="shared" si="9"/>
        <v>0</v>
      </c>
      <c r="AD6" s="20">
        <f t="shared" si="10"/>
        <v>0</v>
      </c>
      <c r="AE6" s="21">
        <f t="shared" si="11"/>
        <v>0</v>
      </c>
      <c r="AF6" s="22">
        <f>SUM(M6+Q6+AA6+AB6+AC6+AD6+AE6)</f>
        <v>0</v>
      </c>
      <c r="AG6" s="108">
        <v>2</v>
      </c>
      <c r="AH6" s="109" t="s">
        <v>61</v>
      </c>
      <c r="AI6" s="109">
        <v>0</v>
      </c>
      <c r="AJ6" s="109">
        <v>0.51578900000000005</v>
      </c>
    </row>
    <row r="7" spans="1:36" ht="15.75" thickBot="1" x14ac:dyDescent="0.3">
      <c r="A7" s="172"/>
      <c r="B7" s="2" t="s">
        <v>23</v>
      </c>
      <c r="C7" s="92">
        <v>0</v>
      </c>
      <c r="D7" s="87">
        <v>45870</v>
      </c>
      <c r="E7" s="87">
        <v>46174</v>
      </c>
      <c r="F7" s="90">
        <f t="shared" si="0"/>
        <v>304</v>
      </c>
      <c r="G7" s="88">
        <f t="shared" si="1"/>
        <v>0</v>
      </c>
      <c r="H7" s="92">
        <v>0</v>
      </c>
      <c r="I7" s="87">
        <v>45870</v>
      </c>
      <c r="J7" s="87">
        <v>46174</v>
      </c>
      <c r="K7" s="90">
        <f t="shared" si="2"/>
        <v>304</v>
      </c>
      <c r="L7" s="88">
        <f t="shared" si="3"/>
        <v>0</v>
      </c>
      <c r="M7" s="98">
        <f t="shared" si="4"/>
        <v>0</v>
      </c>
      <c r="P7" s="3"/>
      <c r="R7">
        <f>(R5/365)*15</f>
        <v>17.182191780821917</v>
      </c>
      <c r="S7" s="34">
        <f>M7</f>
        <v>0</v>
      </c>
      <c r="T7" s="34">
        <f t="shared" si="5"/>
        <v>0</v>
      </c>
      <c r="U7" s="33">
        <f t="shared" si="6"/>
        <v>0</v>
      </c>
      <c r="V7" s="172"/>
      <c r="W7" s="11"/>
      <c r="X7" s="14"/>
      <c r="Y7" s="15"/>
      <c r="Z7" s="16"/>
      <c r="AA7" s="17">
        <f t="shared" si="7"/>
        <v>0</v>
      </c>
      <c r="AB7" s="18">
        <f t="shared" si="8"/>
        <v>0</v>
      </c>
      <c r="AC7" s="19">
        <f t="shared" si="9"/>
        <v>0</v>
      </c>
      <c r="AD7" s="20">
        <f t="shared" si="10"/>
        <v>0</v>
      </c>
      <c r="AE7" s="21">
        <f t="shared" si="11"/>
        <v>0</v>
      </c>
      <c r="AF7" s="22">
        <f>SUM(M7+Q7+AA7+AB7+AC7+AD7+AE7)</f>
        <v>0</v>
      </c>
      <c r="AG7" s="108">
        <v>3</v>
      </c>
      <c r="AH7" s="109" t="s">
        <v>62</v>
      </c>
      <c r="AI7" s="109">
        <v>0</v>
      </c>
      <c r="AJ7" s="109">
        <v>0.263158</v>
      </c>
    </row>
    <row r="8" spans="1:36" ht="15.75" thickBot="1" x14ac:dyDescent="0.3">
      <c r="A8" s="172"/>
      <c r="B8" s="2" t="s">
        <v>24</v>
      </c>
      <c r="C8" s="92">
        <v>0</v>
      </c>
      <c r="D8" s="87">
        <v>45870</v>
      </c>
      <c r="E8" s="87">
        <v>46174</v>
      </c>
      <c r="F8" s="90">
        <f t="shared" si="0"/>
        <v>304</v>
      </c>
      <c r="G8" s="88">
        <f t="shared" si="1"/>
        <v>0</v>
      </c>
      <c r="H8" s="92">
        <v>0</v>
      </c>
      <c r="I8" s="87">
        <v>45870</v>
      </c>
      <c r="J8" s="87">
        <v>46174</v>
      </c>
      <c r="K8" s="90">
        <f t="shared" si="2"/>
        <v>304</v>
      </c>
      <c r="L8" s="88">
        <f t="shared" si="3"/>
        <v>0</v>
      </c>
      <c r="M8" s="98">
        <f t="shared" si="4"/>
        <v>0</v>
      </c>
      <c r="P8" s="3"/>
      <c r="R8">
        <f>R7-R6</f>
        <v>2.2487671232876707</v>
      </c>
      <c r="S8" s="34">
        <f>M8</f>
        <v>0</v>
      </c>
      <c r="T8" s="34">
        <f t="shared" si="5"/>
        <v>0</v>
      </c>
      <c r="U8" s="33">
        <f t="shared" si="6"/>
        <v>0</v>
      </c>
      <c r="V8" s="172"/>
      <c r="W8" s="11"/>
      <c r="X8" s="14"/>
      <c r="Y8" s="15"/>
      <c r="Z8" s="16"/>
      <c r="AA8" s="17">
        <f t="shared" si="7"/>
        <v>0</v>
      </c>
      <c r="AB8" s="18">
        <f t="shared" si="8"/>
        <v>0</v>
      </c>
      <c r="AC8" s="19">
        <f t="shared" si="9"/>
        <v>0</v>
      </c>
      <c r="AD8" s="20">
        <f t="shared" si="10"/>
        <v>0</v>
      </c>
      <c r="AE8" s="21">
        <f t="shared" si="11"/>
        <v>0</v>
      </c>
      <c r="AF8" s="22">
        <f>SUM(M8+Q8+AA8+AB8+AC8+AD8+AE8)</f>
        <v>0</v>
      </c>
      <c r="AG8" s="108">
        <v>5</v>
      </c>
      <c r="AH8" s="109" t="s">
        <v>63</v>
      </c>
      <c r="AI8" s="109">
        <v>0</v>
      </c>
      <c r="AJ8" s="109">
        <v>8.7719000000000005E-2</v>
      </c>
    </row>
    <row r="9" spans="1:36" ht="15.75" thickBot="1" x14ac:dyDescent="0.3">
      <c r="A9" s="172"/>
      <c r="B9" s="2" t="s">
        <v>25</v>
      </c>
      <c r="C9" s="92">
        <v>0</v>
      </c>
      <c r="D9" s="87">
        <v>45870</v>
      </c>
      <c r="E9" s="87">
        <v>46174</v>
      </c>
      <c r="F9" s="90">
        <f t="shared" si="0"/>
        <v>304</v>
      </c>
      <c r="G9" s="88">
        <f t="shared" si="1"/>
        <v>0</v>
      </c>
      <c r="H9" s="92">
        <v>0</v>
      </c>
      <c r="I9" s="87">
        <v>45870</v>
      </c>
      <c r="J9" s="87">
        <v>46174</v>
      </c>
      <c r="K9" s="90">
        <f t="shared" si="2"/>
        <v>304</v>
      </c>
      <c r="L9" s="88">
        <f t="shared" si="3"/>
        <v>0</v>
      </c>
      <c r="M9" s="98">
        <f t="shared" si="4"/>
        <v>0</v>
      </c>
      <c r="P9" s="3"/>
      <c r="S9" s="34">
        <f>M9</f>
        <v>0</v>
      </c>
      <c r="T9" s="34">
        <f t="shared" si="5"/>
        <v>0</v>
      </c>
      <c r="U9" s="33">
        <f t="shared" si="6"/>
        <v>0</v>
      </c>
      <c r="V9" s="172"/>
      <c r="W9" s="11"/>
      <c r="X9" s="14"/>
      <c r="Y9" s="15"/>
      <c r="Z9" s="16"/>
      <c r="AA9" s="17">
        <f t="shared" si="7"/>
        <v>0</v>
      </c>
      <c r="AB9" s="18">
        <f t="shared" si="8"/>
        <v>0</v>
      </c>
      <c r="AC9" s="19">
        <f t="shared" si="9"/>
        <v>0</v>
      </c>
      <c r="AD9" s="20">
        <f t="shared" si="10"/>
        <v>0</v>
      </c>
      <c r="AE9" s="21">
        <f t="shared" si="11"/>
        <v>0</v>
      </c>
      <c r="AF9" s="22">
        <f>SUM(M9+Q9+AA9+AB9+AC9+AD9+AE9)</f>
        <v>0</v>
      </c>
      <c r="AG9" s="108">
        <v>8</v>
      </c>
      <c r="AH9" s="109" t="s">
        <v>64</v>
      </c>
      <c r="AI9" s="109">
        <v>2</v>
      </c>
      <c r="AJ9" s="109">
        <v>1.0526279999999999</v>
      </c>
    </row>
    <row r="10" spans="1:36" ht="15.75" thickBot="1" x14ac:dyDescent="0.3">
      <c r="A10" s="172"/>
      <c r="B10" s="4" t="s">
        <v>26</v>
      </c>
      <c r="C10" s="92">
        <v>0</v>
      </c>
      <c r="D10" s="87">
        <v>45870</v>
      </c>
      <c r="E10" s="87">
        <v>46174</v>
      </c>
      <c r="F10" s="90">
        <f t="shared" si="0"/>
        <v>304</v>
      </c>
      <c r="G10" s="88">
        <f t="shared" si="1"/>
        <v>0</v>
      </c>
      <c r="H10" s="92">
        <v>0</v>
      </c>
      <c r="I10" s="87">
        <v>45870</v>
      </c>
      <c r="J10" s="87">
        <v>46174</v>
      </c>
      <c r="K10" s="90">
        <f t="shared" si="2"/>
        <v>304</v>
      </c>
      <c r="L10" s="88">
        <f t="shared" si="3"/>
        <v>0</v>
      </c>
      <c r="M10" s="98">
        <f t="shared" si="4"/>
        <v>0</v>
      </c>
      <c r="P10" s="3"/>
      <c r="S10" s="34">
        <f>M10</f>
        <v>0</v>
      </c>
      <c r="T10" s="34">
        <f t="shared" si="5"/>
        <v>0</v>
      </c>
      <c r="U10" s="33">
        <f t="shared" si="6"/>
        <v>0</v>
      </c>
      <c r="V10" s="172"/>
      <c r="W10" s="11"/>
      <c r="X10" s="14"/>
      <c r="Y10" s="15"/>
      <c r="Z10" s="16"/>
      <c r="AA10" s="17">
        <f t="shared" si="7"/>
        <v>0</v>
      </c>
      <c r="AB10" s="18">
        <f t="shared" si="8"/>
        <v>0</v>
      </c>
      <c r="AC10" s="19">
        <f t="shared" si="9"/>
        <v>0</v>
      </c>
      <c r="AD10" s="20">
        <f t="shared" si="10"/>
        <v>0</v>
      </c>
      <c r="AE10" s="21">
        <f t="shared" si="11"/>
        <v>0</v>
      </c>
      <c r="AF10" s="22">
        <f>SUM(M10+Q10+AA10+AB10+AC10+AD10+AE10)</f>
        <v>0</v>
      </c>
    </row>
    <row r="11" spans="1:36" ht="16.5" thickTop="1" thickBot="1" x14ac:dyDescent="0.3">
      <c r="A11" s="173" t="s">
        <v>37</v>
      </c>
      <c r="B11" s="2" t="s">
        <v>20</v>
      </c>
      <c r="C11" s="84"/>
      <c r="D11" s="31"/>
      <c r="E11" s="31"/>
      <c r="F11" s="90">
        <f t="shared" si="0"/>
        <v>0</v>
      </c>
      <c r="G11" s="88">
        <f t="shared" si="1"/>
        <v>0</v>
      </c>
      <c r="H11" s="83"/>
      <c r="I11" s="31"/>
      <c r="J11" s="31"/>
      <c r="K11" s="90">
        <f t="shared" si="2"/>
        <v>0</v>
      </c>
      <c r="L11" s="88">
        <f t="shared" si="3"/>
        <v>0</v>
      </c>
      <c r="M11" s="30">
        <f t="shared" ref="M11:M18" si="12">L11-G11</f>
        <v>0</v>
      </c>
      <c r="N11" s="28" t="s">
        <v>0</v>
      </c>
      <c r="O11" s="1">
        <v>0.15</v>
      </c>
      <c r="P11" s="3" t="s">
        <v>33</v>
      </c>
      <c r="S11" s="33">
        <f>((M11+Q11+R11)/(1-SUM($O$11:$O$14)))</f>
        <v>0</v>
      </c>
      <c r="T11" s="34">
        <f>S11/(1-$O$15)</f>
        <v>0</v>
      </c>
      <c r="U11" s="33">
        <f>T11/(1-SUM($O$16:$O$19))</f>
        <v>0</v>
      </c>
      <c r="V11" s="176" t="s">
        <v>37</v>
      </c>
      <c r="W11" s="55">
        <f>S11*$O$11</f>
        <v>0</v>
      </c>
      <c r="X11" s="56">
        <f>$S11*$O$12</f>
        <v>0</v>
      </c>
      <c r="Y11" s="57">
        <f>$S11*$O$13</f>
        <v>0</v>
      </c>
      <c r="Z11" s="58">
        <f>$S11*$O$14</f>
        <v>0</v>
      </c>
      <c r="AA11" s="59">
        <f>$T11*$O$15</f>
        <v>0</v>
      </c>
      <c r="AB11" s="60">
        <f>$U11*$O$16</f>
        <v>0</v>
      </c>
      <c r="AC11" s="61">
        <f>$U11*$O$17</f>
        <v>0</v>
      </c>
      <c r="AD11" s="62">
        <f>$U11*$O$18</f>
        <v>0</v>
      </c>
      <c r="AE11" s="63">
        <f>$U11*$O$19</f>
        <v>0</v>
      </c>
      <c r="AF11" s="22">
        <f>SUM(M11+Q11+R11+W11+X11+Y11+Z11+AA11+AB11+AC11+AD11+AE11)</f>
        <v>0</v>
      </c>
      <c r="AG11" t="s">
        <v>28</v>
      </c>
    </row>
    <row r="12" spans="1:36" ht="16.5" thickTop="1" thickBot="1" x14ac:dyDescent="0.3">
      <c r="A12" s="174"/>
      <c r="B12" s="2"/>
      <c r="C12" s="83"/>
      <c r="D12" s="30"/>
      <c r="E12" s="30"/>
      <c r="F12" s="90">
        <f t="shared" si="0"/>
        <v>0</v>
      </c>
      <c r="G12" s="88">
        <f t="shared" si="1"/>
        <v>0</v>
      </c>
      <c r="H12" s="83"/>
      <c r="I12" s="30"/>
      <c r="J12" s="30"/>
      <c r="K12" s="90">
        <f t="shared" si="2"/>
        <v>0</v>
      </c>
      <c r="L12" s="88">
        <f t="shared" si="3"/>
        <v>0</v>
      </c>
      <c r="M12" s="30">
        <f t="shared" si="12"/>
        <v>0</v>
      </c>
      <c r="N12" s="28" t="s">
        <v>1</v>
      </c>
      <c r="O12" s="1">
        <v>0.05</v>
      </c>
      <c r="P12" s="3" t="s">
        <v>33</v>
      </c>
      <c r="S12" s="33"/>
      <c r="T12" s="34"/>
      <c r="U12" s="33"/>
      <c r="V12" s="177"/>
      <c r="W12" s="35"/>
      <c r="X12" s="36"/>
      <c r="Y12" s="37"/>
      <c r="Z12" s="38"/>
      <c r="AA12" s="39"/>
      <c r="AB12" s="40"/>
      <c r="AC12" s="41"/>
      <c r="AD12" s="42"/>
      <c r="AE12" s="65"/>
    </row>
    <row r="13" spans="1:36" ht="16.5" thickTop="1" thickBot="1" x14ac:dyDescent="0.3">
      <c r="A13" s="174"/>
      <c r="B13" s="2" t="s">
        <v>21</v>
      </c>
      <c r="C13" s="83"/>
      <c r="D13" s="31"/>
      <c r="E13" s="31"/>
      <c r="F13" s="90">
        <f t="shared" si="0"/>
        <v>0</v>
      </c>
      <c r="G13" s="88">
        <f t="shared" si="1"/>
        <v>0</v>
      </c>
      <c r="H13" s="83"/>
      <c r="I13" s="31"/>
      <c r="J13" s="31"/>
      <c r="K13" s="90">
        <f t="shared" si="2"/>
        <v>0</v>
      </c>
      <c r="L13" s="88">
        <f t="shared" si="3"/>
        <v>0</v>
      </c>
      <c r="M13" s="30">
        <f t="shared" si="12"/>
        <v>0</v>
      </c>
      <c r="N13" s="28" t="s">
        <v>2</v>
      </c>
      <c r="O13" s="1">
        <v>0.01</v>
      </c>
      <c r="P13" s="3" t="s">
        <v>33</v>
      </c>
      <c r="S13" s="33">
        <f>((M13+Q13)/(1-SUM($O$11:$O$14)))</f>
        <v>0</v>
      </c>
      <c r="T13" s="34">
        <f t="shared" ref="T13:T18" si="13">S13/(1-$O$15)</f>
        <v>0</v>
      </c>
      <c r="U13" s="33">
        <f t="shared" ref="U13:U18" si="14">T13/(1-SUM($O$16:$O$19))</f>
        <v>0</v>
      </c>
      <c r="V13" s="177"/>
      <c r="W13" s="35">
        <f>S13*$O$11</f>
        <v>0</v>
      </c>
      <c r="X13" s="36">
        <f>$S13*$O$12</f>
        <v>0</v>
      </c>
      <c r="Y13" s="37">
        <f>$S13*$O$13</f>
        <v>0</v>
      </c>
      <c r="Z13" s="38">
        <f>$S13*$O$14</f>
        <v>0</v>
      </c>
      <c r="AA13" s="39">
        <f t="shared" ref="AA13:AA18" si="15">$T13*$O$15</f>
        <v>0</v>
      </c>
      <c r="AB13" s="40">
        <f t="shared" si="8"/>
        <v>0</v>
      </c>
      <c r="AC13" s="41">
        <f t="shared" si="9"/>
        <v>0</v>
      </c>
      <c r="AD13" s="42">
        <f t="shared" si="10"/>
        <v>0</v>
      </c>
      <c r="AE13" s="65">
        <f t="shared" si="11"/>
        <v>0</v>
      </c>
      <c r="AF13" s="22">
        <f>SUM(M13+Q13+W13+X13+Y13+Z13+AA13+AB13+AC13+AD13+AE13)</f>
        <v>0</v>
      </c>
    </row>
    <row r="14" spans="1:36" ht="16.5" thickTop="1" thickBot="1" x14ac:dyDescent="0.3">
      <c r="A14" s="174"/>
      <c r="B14" s="2" t="s">
        <v>22</v>
      </c>
      <c r="C14" s="83"/>
      <c r="D14" s="31"/>
      <c r="E14" s="31"/>
      <c r="F14" s="90">
        <f t="shared" si="0"/>
        <v>0</v>
      </c>
      <c r="G14" s="88">
        <f t="shared" si="1"/>
        <v>0</v>
      </c>
      <c r="H14" s="83"/>
      <c r="I14" s="31"/>
      <c r="J14" s="31"/>
      <c r="K14" s="90">
        <f t="shared" si="2"/>
        <v>0</v>
      </c>
      <c r="L14" s="88">
        <f t="shared" si="3"/>
        <v>0</v>
      </c>
      <c r="M14" s="30">
        <f t="shared" si="12"/>
        <v>0</v>
      </c>
      <c r="N14" s="28" t="s">
        <v>3</v>
      </c>
      <c r="O14" s="1">
        <v>0.01</v>
      </c>
      <c r="P14" s="3" t="s">
        <v>33</v>
      </c>
      <c r="S14" s="34">
        <f>M14</f>
        <v>0</v>
      </c>
      <c r="T14" s="34">
        <f t="shared" si="13"/>
        <v>0</v>
      </c>
      <c r="U14" s="33">
        <f t="shared" si="14"/>
        <v>0</v>
      </c>
      <c r="V14" s="177"/>
      <c r="W14" s="35"/>
      <c r="X14" s="36"/>
      <c r="Y14" s="37"/>
      <c r="Z14" s="38"/>
      <c r="AA14" s="39">
        <f t="shared" si="15"/>
        <v>0</v>
      </c>
      <c r="AB14" s="40">
        <f t="shared" si="8"/>
        <v>0</v>
      </c>
      <c r="AC14" s="41">
        <f t="shared" si="9"/>
        <v>0</v>
      </c>
      <c r="AD14" s="42">
        <f t="shared" si="10"/>
        <v>0</v>
      </c>
      <c r="AE14" s="65">
        <f t="shared" si="11"/>
        <v>0</v>
      </c>
      <c r="AF14" s="22">
        <f>SUM(M14+Q14+AA14+AB14+AC14+AD14+AE14)</f>
        <v>0</v>
      </c>
    </row>
    <row r="15" spans="1:36" ht="16.5" thickTop="1" thickBot="1" x14ac:dyDescent="0.3">
      <c r="A15" s="174"/>
      <c r="B15" s="2" t="s">
        <v>23</v>
      </c>
      <c r="C15" s="83"/>
      <c r="D15" s="31"/>
      <c r="E15" s="31"/>
      <c r="F15" s="90">
        <f t="shared" si="0"/>
        <v>0</v>
      </c>
      <c r="G15" s="88">
        <f t="shared" si="1"/>
        <v>0</v>
      </c>
      <c r="H15" s="83"/>
      <c r="I15" s="31"/>
      <c r="J15" s="31"/>
      <c r="K15" s="90">
        <f t="shared" si="2"/>
        <v>0</v>
      </c>
      <c r="L15" s="88">
        <f t="shared" si="3"/>
        <v>0</v>
      </c>
      <c r="M15" s="30">
        <f t="shared" si="12"/>
        <v>0</v>
      </c>
      <c r="N15" s="28" t="s">
        <v>4</v>
      </c>
      <c r="O15" s="1">
        <v>0.2</v>
      </c>
      <c r="P15" s="3" t="s">
        <v>34</v>
      </c>
      <c r="S15" s="34">
        <f>M15</f>
        <v>0</v>
      </c>
      <c r="T15" s="34">
        <f t="shared" si="13"/>
        <v>0</v>
      </c>
      <c r="U15" s="33">
        <f t="shared" si="14"/>
        <v>0</v>
      </c>
      <c r="V15" s="177"/>
      <c r="W15" s="35"/>
      <c r="X15" s="36"/>
      <c r="Y15" s="37"/>
      <c r="Z15" s="38"/>
      <c r="AA15" s="39">
        <f t="shared" si="15"/>
        <v>0</v>
      </c>
      <c r="AB15" s="40">
        <f t="shared" si="8"/>
        <v>0</v>
      </c>
      <c r="AC15" s="41">
        <f t="shared" si="9"/>
        <v>0</v>
      </c>
      <c r="AD15" s="42">
        <f t="shared" si="10"/>
        <v>0</v>
      </c>
      <c r="AE15" s="65">
        <f t="shared" si="11"/>
        <v>0</v>
      </c>
      <c r="AF15" s="22">
        <f>SUM(M15+Q15+AA15+AB15+AC15+AD15+AE15)</f>
        <v>0</v>
      </c>
    </row>
    <row r="16" spans="1:36" ht="16.5" thickTop="1" thickBot="1" x14ac:dyDescent="0.3">
      <c r="A16" s="174"/>
      <c r="B16" s="2" t="s">
        <v>24</v>
      </c>
      <c r="C16" s="83"/>
      <c r="D16" s="31"/>
      <c r="E16" s="31"/>
      <c r="F16" s="90">
        <f t="shared" si="0"/>
        <v>0</v>
      </c>
      <c r="G16" s="88">
        <f t="shared" si="1"/>
        <v>0</v>
      </c>
      <c r="H16" s="83"/>
      <c r="I16" s="31"/>
      <c r="J16" s="31"/>
      <c r="K16" s="90">
        <f t="shared" si="2"/>
        <v>0</v>
      </c>
      <c r="L16" s="88">
        <f t="shared" si="3"/>
        <v>0</v>
      </c>
      <c r="M16" s="30">
        <f t="shared" si="12"/>
        <v>0</v>
      </c>
      <c r="N16" s="28" t="s">
        <v>5</v>
      </c>
      <c r="O16" s="1">
        <v>0.02</v>
      </c>
      <c r="P16" s="3" t="s">
        <v>9</v>
      </c>
      <c r="S16" s="34">
        <f>M16</f>
        <v>0</v>
      </c>
      <c r="T16" s="34">
        <f t="shared" si="13"/>
        <v>0</v>
      </c>
      <c r="U16" s="33">
        <f t="shared" si="14"/>
        <v>0</v>
      </c>
      <c r="V16" s="177"/>
      <c r="W16" s="35"/>
      <c r="X16" s="36"/>
      <c r="Y16" s="37"/>
      <c r="Z16" s="38"/>
      <c r="AA16" s="39">
        <f t="shared" si="15"/>
        <v>0</v>
      </c>
      <c r="AB16" s="40">
        <f t="shared" si="8"/>
        <v>0</v>
      </c>
      <c r="AC16" s="41">
        <f t="shared" si="9"/>
        <v>0</v>
      </c>
      <c r="AD16" s="42">
        <f t="shared" si="10"/>
        <v>0</v>
      </c>
      <c r="AE16" s="65">
        <f t="shared" si="11"/>
        <v>0</v>
      </c>
      <c r="AF16" s="22">
        <f>SUM(M16+Q16+AA16+AB16+AC16+AD16+AE16)</f>
        <v>0</v>
      </c>
    </row>
    <row r="17" spans="1:32" ht="16.5" thickTop="1" thickBot="1" x14ac:dyDescent="0.3">
      <c r="A17" s="174"/>
      <c r="B17" s="2" t="s">
        <v>25</v>
      </c>
      <c r="C17" s="83"/>
      <c r="D17" s="31"/>
      <c r="E17" s="31"/>
      <c r="F17" s="90">
        <f t="shared" si="0"/>
        <v>0</v>
      </c>
      <c r="G17" s="88">
        <f t="shared" si="1"/>
        <v>0</v>
      </c>
      <c r="H17" s="83"/>
      <c r="I17" s="31"/>
      <c r="J17" s="31"/>
      <c r="K17" s="90">
        <f t="shared" si="2"/>
        <v>0</v>
      </c>
      <c r="L17" s="88">
        <f t="shared" si="3"/>
        <v>0</v>
      </c>
      <c r="M17" s="30">
        <f t="shared" si="12"/>
        <v>0</v>
      </c>
      <c r="N17" s="28" t="s">
        <v>6</v>
      </c>
      <c r="O17" s="1">
        <v>0.02</v>
      </c>
      <c r="P17" s="3" t="s">
        <v>29</v>
      </c>
      <c r="S17" s="34">
        <f>M17</f>
        <v>0</v>
      </c>
      <c r="T17" s="34">
        <f t="shared" si="13"/>
        <v>0</v>
      </c>
      <c r="U17" s="33">
        <f t="shared" si="14"/>
        <v>0</v>
      </c>
      <c r="V17" s="177"/>
      <c r="W17" s="35"/>
      <c r="X17" s="36"/>
      <c r="Y17" s="37"/>
      <c r="Z17" s="38"/>
      <c r="AA17" s="39">
        <f t="shared" si="15"/>
        <v>0</v>
      </c>
      <c r="AB17" s="40">
        <f t="shared" si="8"/>
        <v>0</v>
      </c>
      <c r="AC17" s="41">
        <f t="shared" si="9"/>
        <v>0</v>
      </c>
      <c r="AD17" s="42">
        <f t="shared" si="10"/>
        <v>0</v>
      </c>
      <c r="AE17" s="65">
        <f t="shared" si="11"/>
        <v>0</v>
      </c>
      <c r="AF17" s="22">
        <f>SUM(M17+Q17+AA17+AB17+AC17+AD17+AE17)</f>
        <v>0</v>
      </c>
    </row>
    <row r="18" spans="1:32" ht="16.5" thickTop="1" thickBot="1" x14ac:dyDescent="0.3">
      <c r="A18" s="175"/>
      <c r="B18" s="4" t="s">
        <v>26</v>
      </c>
      <c r="C18" s="85"/>
      <c r="D18" s="86"/>
      <c r="E18" s="86"/>
      <c r="F18" s="90">
        <f t="shared" si="0"/>
        <v>0</v>
      </c>
      <c r="G18" s="88">
        <f t="shared" si="1"/>
        <v>0</v>
      </c>
      <c r="H18" s="85"/>
      <c r="I18" s="86"/>
      <c r="J18" s="86"/>
      <c r="K18" s="90">
        <f t="shared" si="2"/>
        <v>0</v>
      </c>
      <c r="L18" s="88">
        <f t="shared" si="3"/>
        <v>0</v>
      </c>
      <c r="M18" s="30">
        <f t="shared" si="12"/>
        <v>0</v>
      </c>
      <c r="N18" s="28" t="s">
        <v>7</v>
      </c>
      <c r="O18" s="1">
        <v>0.03</v>
      </c>
      <c r="P18" s="3" t="s">
        <v>11</v>
      </c>
      <c r="S18" s="34">
        <f>M18</f>
        <v>0</v>
      </c>
      <c r="T18" s="34">
        <f t="shared" si="13"/>
        <v>0</v>
      </c>
      <c r="U18" s="33">
        <f t="shared" si="14"/>
        <v>0</v>
      </c>
      <c r="V18" s="178"/>
      <c r="W18" s="70"/>
      <c r="X18" s="71"/>
      <c r="Y18" s="72"/>
      <c r="Z18" s="73"/>
      <c r="AA18" s="74">
        <f t="shared" si="15"/>
        <v>0</v>
      </c>
      <c r="AB18" s="75">
        <f t="shared" si="8"/>
        <v>0</v>
      </c>
      <c r="AC18" s="76">
        <f t="shared" si="9"/>
        <v>0</v>
      </c>
      <c r="AD18" s="77">
        <f t="shared" si="10"/>
        <v>0</v>
      </c>
      <c r="AE18" s="78">
        <f t="shared" si="11"/>
        <v>0</v>
      </c>
      <c r="AF18" s="22">
        <f>SUM(M18+Q18+AA18+AB18+AC18+AD18+AE18)</f>
        <v>0</v>
      </c>
    </row>
    <row r="19" spans="1:32" ht="16.5" thickTop="1" thickBot="1" x14ac:dyDescent="0.3">
      <c r="I19">
        <v>6.980264</v>
      </c>
      <c r="J19">
        <f>I19/K3</f>
        <v>0.46535093333333333</v>
      </c>
      <c r="N19" s="8" t="s">
        <v>8</v>
      </c>
      <c r="O19" s="9">
        <v>0.13</v>
      </c>
      <c r="P19" s="5" t="s">
        <v>10</v>
      </c>
      <c r="S19" s="30"/>
      <c r="T19" s="30"/>
      <c r="U19" s="96">
        <f>SUM(U3:U18)</f>
        <v>3.5136986301369881</v>
      </c>
      <c r="V19" s="95">
        <f>SUM($S$3:$S$5)*O11</f>
        <v>0.33731506849315085</v>
      </c>
      <c r="W19" s="45"/>
      <c r="X19" s="45"/>
      <c r="Y19" s="45"/>
      <c r="Z19" s="45"/>
      <c r="AA19" s="45"/>
      <c r="AB19" s="48">
        <f t="shared" si="8"/>
        <v>7.0273972602739765E-2</v>
      </c>
      <c r="AC19" s="49">
        <f t="shared" si="9"/>
        <v>7.0273972602739765E-2</v>
      </c>
      <c r="AD19" s="50">
        <f t="shared" si="10"/>
        <v>0.10541095890410963</v>
      </c>
      <c r="AE19" s="51">
        <f t="shared" si="11"/>
        <v>0.4567808219178085</v>
      </c>
      <c r="AF19" s="24">
        <f>SUM(AF3:AF18)</f>
        <v>3.513698630136989</v>
      </c>
    </row>
    <row r="20" spans="1:32" x14ac:dyDescent="0.25">
      <c r="B20" s="79" t="s">
        <v>38</v>
      </c>
      <c r="C20" s="80">
        <f>SUM(C3:C10)</f>
        <v>283.43639999999999</v>
      </c>
      <c r="V20" s="14">
        <f>SUM($S$3:$S$5)*O12</f>
        <v>0.11243835616438363</v>
      </c>
    </row>
    <row r="21" spans="1:32" x14ac:dyDescent="0.25">
      <c r="B21" s="79" t="s">
        <v>39</v>
      </c>
      <c r="C21" s="80">
        <f>SUM(C11:C18)</f>
        <v>0</v>
      </c>
      <c r="V21" s="15">
        <f>SUM($S$3:$S$5)*O13</f>
        <v>2.2487671232876726E-2</v>
      </c>
    </row>
    <row r="22" spans="1:32" x14ac:dyDescent="0.25">
      <c r="V22" s="16">
        <f>SUM($S$3:$S$5)*O14</f>
        <v>2.2487671232876726E-2</v>
      </c>
    </row>
    <row r="23" spans="1:32" x14ac:dyDescent="0.25">
      <c r="V23" s="17">
        <f>SUM($T$3:$T$10)*O15</f>
        <v>0.56219178082191812</v>
      </c>
    </row>
    <row r="24" spans="1:32" x14ac:dyDescent="0.25">
      <c r="V24" s="18">
        <f>SUM($U$3:$U$10)*O16</f>
        <v>7.0273972602739765E-2</v>
      </c>
    </row>
    <row r="25" spans="1:32" x14ac:dyDescent="0.25">
      <c r="V25" s="19">
        <f>SUM($U$3:$U$10)*O17</f>
        <v>7.0273972602739765E-2</v>
      </c>
    </row>
    <row r="26" spans="1:32" x14ac:dyDescent="0.25">
      <c r="V26" s="20">
        <f>SUM($U$3:$U$10)*O18</f>
        <v>0.10541095890410963</v>
      </c>
    </row>
    <row r="27" spans="1:32" x14ac:dyDescent="0.25">
      <c r="V27" s="21">
        <f>SUM($U$3:$U$10)*O19</f>
        <v>0.4567808219178085</v>
      </c>
    </row>
  </sheetData>
  <mergeCells count="7">
    <mergeCell ref="A11:A18"/>
    <mergeCell ref="V11:V18"/>
    <mergeCell ref="C1:G1"/>
    <mergeCell ref="H1:L1"/>
    <mergeCell ref="N2:P2"/>
    <mergeCell ref="A3:A10"/>
    <mergeCell ref="V3:V10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2097D-EDAA-4B94-BAFD-41EBEB217BA2}">
  <dimension ref="A1:Z19"/>
  <sheetViews>
    <sheetView workbookViewId="0">
      <selection activeCell="F5" sqref="F5"/>
    </sheetView>
  </sheetViews>
  <sheetFormatPr defaultColWidth="11.42578125" defaultRowHeight="15" x14ac:dyDescent="0.25"/>
  <cols>
    <col min="1" max="1" width="29.7109375" bestFit="1" customWidth="1"/>
    <col min="2" max="2" width="14.28515625" customWidth="1"/>
    <col min="3" max="4" width="10.28515625" bestFit="1" customWidth="1"/>
    <col min="5" max="6" width="14.42578125" customWidth="1"/>
    <col min="7" max="7" width="21.85546875" customWidth="1"/>
    <col min="9" max="9" width="26.42578125" bestFit="1" customWidth="1"/>
    <col min="10" max="11" width="22.28515625" customWidth="1"/>
    <col min="12" max="12" width="12" bestFit="1" customWidth="1"/>
    <col min="13" max="13" width="9.7109375" bestFit="1" customWidth="1"/>
    <col min="14" max="14" width="13.7109375" style="22" bestFit="1" customWidth="1"/>
    <col min="15" max="15" width="14.28515625" customWidth="1"/>
    <col min="25" max="25" width="20.140625" style="22" customWidth="1"/>
  </cols>
  <sheetData>
    <row r="1" spans="1:26" ht="15.75" thickBot="1" x14ac:dyDescent="0.3">
      <c r="O1" t="s">
        <v>15</v>
      </c>
    </row>
    <row r="2" spans="1:26" ht="75.400000000000006" customHeight="1" thickTop="1" thickBot="1" x14ac:dyDescent="0.3">
      <c r="A2" s="164" t="s">
        <v>17</v>
      </c>
      <c r="B2" s="165"/>
      <c r="C2" s="165"/>
      <c r="D2" s="165"/>
      <c r="E2" s="165"/>
      <c r="F2" s="169"/>
      <c r="G2" s="166" t="s">
        <v>16</v>
      </c>
      <c r="H2" s="166"/>
      <c r="I2" s="167"/>
      <c r="J2" s="10" t="s">
        <v>30</v>
      </c>
      <c r="K2" s="10" t="s">
        <v>30</v>
      </c>
      <c r="L2" t="s">
        <v>12</v>
      </c>
      <c r="M2" t="s">
        <v>13</v>
      </c>
      <c r="N2" s="22" t="s">
        <v>14</v>
      </c>
      <c r="P2" s="7" t="s">
        <v>0</v>
      </c>
      <c r="Q2" s="7" t="s">
        <v>1</v>
      </c>
      <c r="R2" s="7" t="s">
        <v>2</v>
      </c>
      <c r="S2" s="7" t="s">
        <v>3</v>
      </c>
      <c r="T2" s="7" t="s">
        <v>4</v>
      </c>
      <c r="U2" s="7" t="s">
        <v>5</v>
      </c>
      <c r="V2" s="7" t="s">
        <v>6</v>
      </c>
      <c r="W2" s="7" t="s">
        <v>7</v>
      </c>
      <c r="X2" s="8" t="s">
        <v>8</v>
      </c>
      <c r="Y2" s="23" t="s">
        <v>18</v>
      </c>
    </row>
    <row r="3" spans="1:26" ht="15.75" thickTop="1" x14ac:dyDescent="0.25">
      <c r="A3" s="2" t="s">
        <v>20</v>
      </c>
      <c r="B3" s="3">
        <v>495.42167999999998</v>
      </c>
      <c r="C3" s="26"/>
      <c r="D3" s="26"/>
      <c r="E3">
        <f>_xlfn.DAYS(D3,C3)</f>
        <v>0</v>
      </c>
      <c r="F3" s="3">
        <f>(B3/365)*E3</f>
        <v>0</v>
      </c>
      <c r="G3" t="s">
        <v>27</v>
      </c>
      <c r="H3" s="6"/>
      <c r="I3" s="3" t="s">
        <v>31</v>
      </c>
      <c r="J3">
        <f>F3*H3</f>
        <v>0</v>
      </c>
      <c r="K3">
        <f>F3*H4</f>
        <v>0</v>
      </c>
      <c r="L3" s="12">
        <f>((F3+J3+K3)/(1-SUM($H$11:$H$14)))</f>
        <v>0</v>
      </c>
      <c r="M3" s="13">
        <f>L3/(1-$H$15)</f>
        <v>0</v>
      </c>
      <c r="N3" s="12">
        <f>M3/(1-SUM($H$16:$H$19))</f>
        <v>0</v>
      </c>
      <c r="P3" s="11">
        <f>L3*$H$11</f>
        <v>0</v>
      </c>
      <c r="Q3" s="14">
        <f>$L3*$H$12</f>
        <v>0</v>
      </c>
      <c r="R3" s="15">
        <f>$L3*$H$13</f>
        <v>0</v>
      </c>
      <c r="S3" s="16">
        <f>$L3*$H$14</f>
        <v>0</v>
      </c>
      <c r="T3" s="17">
        <f>$M3*$H$15</f>
        <v>0</v>
      </c>
      <c r="U3" s="18"/>
      <c r="V3" s="19"/>
      <c r="W3" s="20"/>
      <c r="X3" s="21"/>
      <c r="Y3" s="22">
        <f>SUM(F3+J3+K3+P3+Q3+R3+S3+T3+U3+V3+W3+X3)</f>
        <v>0</v>
      </c>
    </row>
    <row r="4" spans="1:26" ht="13.15" customHeight="1" x14ac:dyDescent="0.25">
      <c r="A4" s="2"/>
      <c r="B4" s="3"/>
      <c r="F4" s="3">
        <f t="shared" ref="F4:F10" si="0">(B4/365)*E4</f>
        <v>0</v>
      </c>
      <c r="G4" t="s">
        <v>32</v>
      </c>
      <c r="H4" s="6"/>
      <c r="I4" s="3" t="s">
        <v>31</v>
      </c>
      <c r="L4" s="12"/>
      <c r="M4" s="13"/>
      <c r="N4" s="12"/>
      <c r="P4" s="11"/>
      <c r="Q4" s="14"/>
      <c r="R4" s="15"/>
      <c r="S4" s="16"/>
      <c r="T4" s="17"/>
      <c r="U4" s="18"/>
      <c r="V4" s="19"/>
      <c r="W4" s="20"/>
      <c r="X4" s="21"/>
    </row>
    <row r="5" spans="1:26" s="30" customFormat="1" x14ac:dyDescent="0.25">
      <c r="A5" s="30" t="s">
        <v>21</v>
      </c>
      <c r="B5" s="30">
        <v>10</v>
      </c>
      <c r="C5" s="31">
        <v>45703</v>
      </c>
      <c r="D5" s="31">
        <v>45716</v>
      </c>
      <c r="E5" s="30">
        <f t="shared" ref="E5:E10" si="1">_xlfn.DAYS(D5,C5)</f>
        <v>13</v>
      </c>
      <c r="F5" s="30">
        <f t="shared" si="0"/>
        <v>0.35616438356164382</v>
      </c>
      <c r="H5" s="32"/>
      <c r="L5" s="33">
        <f>((F5+J5)/(1-SUM($H$11:$H$14)))</f>
        <v>0.45662100456621002</v>
      </c>
      <c r="M5" s="34">
        <f t="shared" ref="M5:M10" si="2">L5/(1-$H$15)</f>
        <v>0.57077625570776247</v>
      </c>
      <c r="N5" s="33">
        <f t="shared" ref="N5:N10" si="3">M5/(1-SUM($H$16:$H$19))</f>
        <v>0.71347031963470309</v>
      </c>
      <c r="P5" s="35">
        <f>L5*$H$11</f>
        <v>6.8493150684931503E-2</v>
      </c>
      <c r="Q5" s="36">
        <f>$L5*$H$12</f>
        <v>2.2831050228310501E-2</v>
      </c>
      <c r="R5" s="37">
        <f>$L5*$H$13</f>
        <v>4.5662100456621002E-3</v>
      </c>
      <c r="S5" s="38">
        <f>$L5*$H$14</f>
        <v>4.5662100456621002E-3</v>
      </c>
      <c r="T5" s="39">
        <f t="shared" ref="T5:T10" si="4">$M5*$H$15</f>
        <v>0.11415525114155251</v>
      </c>
      <c r="U5" s="40">
        <f t="shared" ref="U5:U11" si="5">$N5*$H$16</f>
        <v>1.4269406392694061E-2</v>
      </c>
      <c r="V5" s="41">
        <f t="shared" ref="V5:V11" si="6">$N5*$H$17</f>
        <v>1.4269406392694061E-2</v>
      </c>
      <c r="W5" s="42">
        <f t="shared" ref="W5:W11" si="7">$N5*$H$18</f>
        <v>2.1404109589041091E-2</v>
      </c>
      <c r="X5" s="43">
        <f t="shared" ref="X5:X11" si="8">$N5*$H$19</f>
        <v>9.2751141552511407E-2</v>
      </c>
      <c r="Y5" s="44">
        <f>SUM(F5+J5+P5+Q5+R5+S5+T5+U5+V5+W5+X5)</f>
        <v>0.71347031963470298</v>
      </c>
      <c r="Z5" s="30" t="s">
        <v>19</v>
      </c>
    </row>
    <row r="6" spans="1:26" x14ac:dyDescent="0.25">
      <c r="A6" s="2" t="s">
        <v>22</v>
      </c>
      <c r="B6" s="3">
        <v>3.12</v>
      </c>
      <c r="C6" s="26"/>
      <c r="D6" s="26"/>
      <c r="E6">
        <f t="shared" si="1"/>
        <v>0</v>
      </c>
      <c r="F6" s="3">
        <f t="shared" si="0"/>
        <v>0</v>
      </c>
      <c r="I6" s="3"/>
      <c r="L6" s="13">
        <f>F6</f>
        <v>0</v>
      </c>
      <c r="M6" s="13">
        <f t="shared" si="2"/>
        <v>0</v>
      </c>
      <c r="N6" s="12">
        <f t="shared" si="3"/>
        <v>0</v>
      </c>
      <c r="P6" s="11"/>
      <c r="Q6" s="14"/>
      <c r="R6" s="15"/>
      <c r="S6" s="16"/>
      <c r="T6" s="17">
        <f t="shared" si="4"/>
        <v>0</v>
      </c>
      <c r="U6" s="18"/>
      <c r="V6" s="19"/>
      <c r="W6" s="20"/>
      <c r="X6" s="21"/>
      <c r="Y6" s="22">
        <f>SUM(F6+J6+T6+U6+V6+W6+X6)</f>
        <v>0</v>
      </c>
    </row>
    <row r="7" spans="1:26" x14ac:dyDescent="0.25">
      <c r="A7" s="2" t="s">
        <v>23</v>
      </c>
      <c r="B7" s="3">
        <v>3.6</v>
      </c>
      <c r="C7" s="26"/>
      <c r="D7" s="26"/>
      <c r="E7">
        <f t="shared" si="1"/>
        <v>0</v>
      </c>
      <c r="F7" s="3">
        <f t="shared" si="0"/>
        <v>0</v>
      </c>
      <c r="I7" s="3"/>
      <c r="L7" s="13">
        <f>F7</f>
        <v>0</v>
      </c>
      <c r="M7" s="13">
        <f t="shared" si="2"/>
        <v>0</v>
      </c>
      <c r="N7" s="12">
        <f t="shared" si="3"/>
        <v>0</v>
      </c>
      <c r="P7" s="11"/>
      <c r="Q7" s="14"/>
      <c r="R7" s="15"/>
      <c r="S7" s="16"/>
      <c r="T7" s="17">
        <f t="shared" si="4"/>
        <v>0</v>
      </c>
      <c r="U7" s="18"/>
      <c r="V7" s="19"/>
      <c r="W7" s="20"/>
      <c r="X7" s="21"/>
      <c r="Y7" s="22">
        <f>SUM(F7+J7+T7+U7+V7+W7+X7)</f>
        <v>0</v>
      </c>
    </row>
    <row r="8" spans="1:26" x14ac:dyDescent="0.25">
      <c r="A8" s="2" t="s">
        <v>24</v>
      </c>
      <c r="B8" s="3">
        <v>7.8</v>
      </c>
      <c r="C8" s="26"/>
      <c r="D8" s="26"/>
      <c r="E8">
        <f t="shared" si="1"/>
        <v>0</v>
      </c>
      <c r="F8" s="3">
        <f t="shared" si="0"/>
        <v>0</v>
      </c>
      <c r="I8" s="3"/>
      <c r="L8" s="13">
        <f>F8</f>
        <v>0</v>
      </c>
      <c r="M8" s="13">
        <f t="shared" si="2"/>
        <v>0</v>
      </c>
      <c r="N8" s="12">
        <f t="shared" si="3"/>
        <v>0</v>
      </c>
      <c r="P8" s="11"/>
      <c r="Q8" s="14"/>
      <c r="R8" s="15"/>
      <c r="S8" s="16"/>
      <c r="T8" s="17">
        <f t="shared" si="4"/>
        <v>0</v>
      </c>
      <c r="U8" s="18"/>
      <c r="V8" s="19"/>
      <c r="W8" s="20"/>
      <c r="X8" s="21"/>
      <c r="Y8" s="22">
        <f>SUM(F8+J8+T8+U8+V8+W8+X8)</f>
        <v>0</v>
      </c>
    </row>
    <row r="9" spans="1:26" x14ac:dyDescent="0.25">
      <c r="A9" s="2" t="s">
        <v>25</v>
      </c>
      <c r="B9" s="3">
        <v>7.92</v>
      </c>
      <c r="C9" s="26"/>
      <c r="D9" s="26"/>
      <c r="E9">
        <f t="shared" si="1"/>
        <v>0</v>
      </c>
      <c r="F9" s="3">
        <f t="shared" si="0"/>
        <v>0</v>
      </c>
      <c r="I9" s="3"/>
      <c r="L9" s="13">
        <f>F9</f>
        <v>0</v>
      </c>
      <c r="M9" s="13">
        <f t="shared" si="2"/>
        <v>0</v>
      </c>
      <c r="N9" s="12">
        <f t="shared" si="3"/>
        <v>0</v>
      </c>
      <c r="P9" s="11"/>
      <c r="Q9" s="14"/>
      <c r="R9" s="15"/>
      <c r="S9" s="16"/>
      <c r="T9" s="17">
        <f t="shared" si="4"/>
        <v>0</v>
      </c>
      <c r="U9" s="18"/>
      <c r="V9" s="19"/>
      <c r="W9" s="20"/>
      <c r="X9" s="21"/>
      <c r="Y9" s="22">
        <f>SUM(F9+J9+T9+U9+V9+W9+X9)</f>
        <v>0</v>
      </c>
    </row>
    <row r="10" spans="1:26" ht="15.75" thickBot="1" x14ac:dyDescent="0.3">
      <c r="A10" s="4" t="s">
        <v>26</v>
      </c>
      <c r="B10" s="5">
        <v>6.34</v>
      </c>
      <c r="C10" s="26"/>
      <c r="D10" s="26"/>
      <c r="E10">
        <f t="shared" si="1"/>
        <v>0</v>
      </c>
      <c r="F10" s="3">
        <f t="shared" si="0"/>
        <v>0</v>
      </c>
      <c r="I10" s="3"/>
      <c r="L10" s="13">
        <f>F10</f>
        <v>0</v>
      </c>
      <c r="M10" s="13">
        <f t="shared" si="2"/>
        <v>0</v>
      </c>
      <c r="N10" s="12">
        <f t="shared" si="3"/>
        <v>0</v>
      </c>
      <c r="P10" s="11"/>
      <c r="Q10" s="14"/>
      <c r="R10" s="15"/>
      <c r="S10" s="16"/>
      <c r="T10" s="17">
        <f t="shared" si="4"/>
        <v>0</v>
      </c>
      <c r="U10" s="18"/>
      <c r="V10" s="19"/>
      <c r="W10" s="20"/>
      <c r="X10" s="21"/>
      <c r="Y10" s="22">
        <f>SUM(F10+J10+T10+U10+V10+W10+X10)</f>
        <v>0</v>
      </c>
    </row>
    <row r="11" spans="1:26" ht="16.5" thickTop="1" thickBot="1" x14ac:dyDescent="0.3">
      <c r="G11" s="7" t="s">
        <v>0</v>
      </c>
      <c r="H11" s="1">
        <v>0.15</v>
      </c>
      <c r="I11" s="3" t="s">
        <v>33</v>
      </c>
      <c r="N11" s="25">
        <f>SUM(N3:N10)</f>
        <v>0.71347031963470309</v>
      </c>
      <c r="O11" s="11">
        <f>SUM($L$3:$L$5)*H11</f>
        <v>6.8493150684931503E-2</v>
      </c>
      <c r="U11" s="18">
        <f t="shared" si="5"/>
        <v>1.4269406392694061E-2</v>
      </c>
      <c r="V11" s="19">
        <f t="shared" si="6"/>
        <v>1.4269406392694061E-2</v>
      </c>
      <c r="W11" s="20">
        <f t="shared" si="7"/>
        <v>2.1404109589041091E-2</v>
      </c>
      <c r="X11" s="21">
        <f t="shared" si="8"/>
        <v>9.2751141552511407E-2</v>
      </c>
      <c r="Y11" s="24">
        <f>SUM(Y3:Y10)</f>
        <v>0.71347031963470298</v>
      </c>
      <c r="Z11" t="s">
        <v>28</v>
      </c>
    </row>
    <row r="12" spans="1:26" ht="16.5" thickTop="1" thickBot="1" x14ac:dyDescent="0.3">
      <c r="G12" s="7" t="s">
        <v>1</v>
      </c>
      <c r="H12" s="1">
        <v>0.05</v>
      </c>
      <c r="I12" s="3" t="s">
        <v>33</v>
      </c>
      <c r="O12" s="14">
        <f>SUM($L$3:$L$5)*H12</f>
        <v>2.2831050228310501E-2</v>
      </c>
    </row>
    <row r="13" spans="1:26" ht="16.5" thickTop="1" thickBot="1" x14ac:dyDescent="0.3">
      <c r="G13" s="7" t="s">
        <v>2</v>
      </c>
      <c r="H13" s="1">
        <v>0.01</v>
      </c>
      <c r="I13" s="3" t="s">
        <v>33</v>
      </c>
      <c r="O13" s="15">
        <f>SUM($L$3:$L$5)*H13</f>
        <v>4.5662100456621002E-3</v>
      </c>
    </row>
    <row r="14" spans="1:26" ht="16.5" thickTop="1" thickBot="1" x14ac:dyDescent="0.3">
      <c r="G14" s="7" t="s">
        <v>3</v>
      </c>
      <c r="H14" s="1">
        <v>0.01</v>
      </c>
      <c r="I14" s="3" t="s">
        <v>33</v>
      </c>
      <c r="O14" s="16">
        <f>SUM($L$3:$L$5)*H14</f>
        <v>4.5662100456621002E-3</v>
      </c>
    </row>
    <row r="15" spans="1:26" ht="16.5" thickTop="1" thickBot="1" x14ac:dyDescent="0.3">
      <c r="G15" s="7" t="s">
        <v>4</v>
      </c>
      <c r="H15" s="1">
        <v>0.2</v>
      </c>
      <c r="I15" s="3" t="s">
        <v>34</v>
      </c>
      <c r="O15" s="17">
        <f>SUM($M$3:$M$10)*H15</f>
        <v>0.11415525114155251</v>
      </c>
    </row>
    <row r="16" spans="1:26" ht="16.5" thickTop="1" thickBot="1" x14ac:dyDescent="0.3">
      <c r="G16" s="7" t="s">
        <v>5</v>
      </c>
      <c r="H16" s="1">
        <v>0.02</v>
      </c>
      <c r="I16" s="3" t="s">
        <v>9</v>
      </c>
      <c r="O16" s="18">
        <f>SUM($N$3:$N$10)*H16</f>
        <v>1.4269406392694061E-2</v>
      </c>
    </row>
    <row r="17" spans="7:15" ht="16.5" thickTop="1" thickBot="1" x14ac:dyDescent="0.3">
      <c r="G17" s="7" t="s">
        <v>6</v>
      </c>
      <c r="H17" s="1">
        <v>0.02</v>
      </c>
      <c r="I17" s="3" t="s">
        <v>29</v>
      </c>
      <c r="O17" s="19">
        <f>SUM($N$3:$N$10)*H17</f>
        <v>1.4269406392694061E-2</v>
      </c>
    </row>
    <row r="18" spans="7:15" ht="16.5" thickTop="1" thickBot="1" x14ac:dyDescent="0.3">
      <c r="G18" s="7" t="s">
        <v>7</v>
      </c>
      <c r="H18" s="1">
        <v>0.03</v>
      </c>
      <c r="I18" s="3" t="s">
        <v>11</v>
      </c>
      <c r="O18" s="20">
        <f>SUM($N$3:$N$10)*H18</f>
        <v>2.1404109589041091E-2</v>
      </c>
    </row>
    <row r="19" spans="7:15" ht="16.5" thickTop="1" thickBot="1" x14ac:dyDescent="0.3">
      <c r="G19" s="8" t="s">
        <v>8</v>
      </c>
      <c r="H19" s="9">
        <v>0.13</v>
      </c>
      <c r="I19" s="5" t="s">
        <v>10</v>
      </c>
      <c r="O19" s="21">
        <f>SUM($N$3:$N$10)*H19</f>
        <v>9.2751141552511407E-2</v>
      </c>
    </row>
  </sheetData>
  <mergeCells count="2">
    <mergeCell ref="A2:F2"/>
    <mergeCell ref="G2:I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4851-4B05-4B89-9F08-3DC1F7007F83}">
  <dimension ref="A1:V19"/>
  <sheetViews>
    <sheetView workbookViewId="0">
      <selection activeCell="B3" sqref="B3"/>
    </sheetView>
  </sheetViews>
  <sheetFormatPr defaultColWidth="11.42578125" defaultRowHeight="15" x14ac:dyDescent="0.25"/>
  <cols>
    <col min="1" max="1" width="29.7109375" bestFit="1" customWidth="1"/>
    <col min="2" max="2" width="14.42578125" customWidth="1"/>
    <col min="3" max="3" width="21.85546875" customWidth="1"/>
    <col min="5" max="5" width="26.42578125" bestFit="1" customWidth="1"/>
    <col min="6" max="7" width="22.28515625" customWidth="1"/>
    <col min="8" max="8" width="12" bestFit="1" customWidth="1"/>
    <col min="9" max="9" width="9.7109375" bestFit="1" customWidth="1"/>
    <col min="10" max="10" width="13.7109375" style="22" bestFit="1" customWidth="1"/>
    <col min="11" max="11" width="14.28515625" customWidth="1"/>
    <col min="21" max="21" width="20.140625" style="22" customWidth="1"/>
  </cols>
  <sheetData>
    <row r="1" spans="1:22" ht="15.75" thickBot="1" x14ac:dyDescent="0.3">
      <c r="K1" t="s">
        <v>15</v>
      </c>
    </row>
    <row r="2" spans="1:22" ht="75.400000000000006" customHeight="1" thickTop="1" thickBot="1" x14ac:dyDescent="0.3">
      <c r="A2" s="164" t="s">
        <v>17</v>
      </c>
      <c r="B2" s="169"/>
      <c r="C2" s="166" t="s">
        <v>16</v>
      </c>
      <c r="D2" s="166"/>
      <c r="E2" s="167"/>
      <c r="F2" s="10" t="s">
        <v>30</v>
      </c>
      <c r="G2" s="10" t="s">
        <v>30</v>
      </c>
      <c r="H2" t="s">
        <v>12</v>
      </c>
      <c r="I2" t="s">
        <v>13</v>
      </c>
      <c r="J2" s="22" t="s">
        <v>14</v>
      </c>
      <c r="L2" s="7" t="s">
        <v>0</v>
      </c>
      <c r="M2" s="7" t="s">
        <v>1</v>
      </c>
      <c r="N2" s="7" t="s">
        <v>2</v>
      </c>
      <c r="O2" s="7" t="s">
        <v>3</v>
      </c>
      <c r="P2" s="7" t="s">
        <v>4</v>
      </c>
      <c r="Q2" s="7" t="s">
        <v>5</v>
      </c>
      <c r="R2" s="7" t="s">
        <v>6</v>
      </c>
      <c r="S2" s="7" t="s">
        <v>7</v>
      </c>
      <c r="T2" s="8" t="s">
        <v>8</v>
      </c>
      <c r="U2" s="23" t="s">
        <v>18</v>
      </c>
    </row>
    <row r="3" spans="1:22" ht="15.75" thickTop="1" x14ac:dyDescent="0.25">
      <c r="A3" s="2" t="s">
        <v>20</v>
      </c>
      <c r="B3" s="27">
        <v>262.10599999999999</v>
      </c>
      <c r="C3" t="s">
        <v>27</v>
      </c>
      <c r="D3" s="6"/>
      <c r="E3" s="3" t="s">
        <v>31</v>
      </c>
      <c r="F3">
        <f>B3*D3</f>
        <v>0</v>
      </c>
      <c r="G3">
        <f>B3*D4</f>
        <v>0</v>
      </c>
      <c r="H3" s="12">
        <f>((B3+F3+G3)/(1-SUM($D$11:$D$14)))</f>
        <v>336.0333333333333</v>
      </c>
      <c r="I3" s="13">
        <f>H3/(1-$D$15)</f>
        <v>420.04166666666663</v>
      </c>
      <c r="J3" s="12">
        <f>I3/(1-SUM($D$16:$D$19))</f>
        <v>525.05208333333326</v>
      </c>
      <c r="L3" s="11">
        <f>H3*$D$11</f>
        <v>50.404999999999994</v>
      </c>
      <c r="M3" s="14">
        <f>$H3*$D$12</f>
        <v>16.801666666666666</v>
      </c>
      <c r="N3" s="15">
        <f>$H3*$D$13</f>
        <v>3.3603333333333332</v>
      </c>
      <c r="O3" s="16">
        <f>$H3*$D$14</f>
        <v>3.3603333333333332</v>
      </c>
      <c r="P3" s="17">
        <f>$I3*$D$15</f>
        <v>84.008333333333326</v>
      </c>
      <c r="Q3" s="18">
        <f>$J3*$D$16</f>
        <v>10.501041666666666</v>
      </c>
      <c r="R3" s="19">
        <f>$J3*$D$17</f>
        <v>10.501041666666666</v>
      </c>
      <c r="S3" s="20">
        <f>$J3*$D$18</f>
        <v>15.751562499999997</v>
      </c>
      <c r="T3" s="21">
        <f>$J3*$D$19</f>
        <v>68.25677083333332</v>
      </c>
      <c r="U3" s="22">
        <f>SUM(B3+F3+G3+L3+M3+N3+O3+P3+Q3+R3+S3+T3)</f>
        <v>525.05208333333326</v>
      </c>
    </row>
    <row r="4" spans="1:22" x14ac:dyDescent="0.25">
      <c r="A4" s="2"/>
      <c r="B4" s="3"/>
      <c r="C4" t="s">
        <v>32</v>
      </c>
      <c r="D4" s="6"/>
      <c r="E4" s="3" t="s">
        <v>31</v>
      </c>
      <c r="H4" s="12"/>
      <c r="I4" s="13"/>
      <c r="J4" s="12"/>
      <c r="L4" s="11"/>
      <c r="M4" s="14"/>
      <c r="N4" s="15"/>
      <c r="O4" s="16"/>
      <c r="P4" s="17"/>
      <c r="Q4" s="18"/>
      <c r="R4" s="19"/>
      <c r="S4" s="20"/>
      <c r="T4" s="21"/>
    </row>
    <row r="5" spans="1:22" x14ac:dyDescent="0.25">
      <c r="A5" s="2" t="s">
        <v>21</v>
      </c>
      <c r="B5" s="27">
        <v>147.96288000000001</v>
      </c>
      <c r="D5" s="6"/>
      <c r="E5" s="3"/>
      <c r="H5" s="12">
        <f>((B5+F5)/(1-SUM($D$11:$D$14)))</f>
        <v>189.696</v>
      </c>
      <c r="I5" s="13">
        <f t="shared" ref="I5:I10" si="0">H5/(1-$D$15)</f>
        <v>237.11999999999998</v>
      </c>
      <c r="J5" s="12">
        <f t="shared" ref="J5:J10" si="1">I5/(1-SUM($D$16:$D$19))</f>
        <v>296.39999999999998</v>
      </c>
      <c r="L5" s="11">
        <f>H5*$D$11</f>
        <v>28.4544</v>
      </c>
      <c r="M5" s="14">
        <f>$H5*$D$12</f>
        <v>9.4847999999999999</v>
      </c>
      <c r="N5" s="15">
        <f>$H5*$D$13</f>
        <v>1.89696</v>
      </c>
      <c r="O5" s="16">
        <f>$H5*$D$14</f>
        <v>1.89696</v>
      </c>
      <c r="P5" s="17">
        <f t="shared" ref="P5:P10" si="2">$I5*$D$15</f>
        <v>47.423999999999999</v>
      </c>
      <c r="Q5" s="18">
        <f t="shared" ref="Q5:Q11" si="3">$J5*$D$16</f>
        <v>5.9279999999999999</v>
      </c>
      <c r="R5" s="19">
        <f t="shared" ref="R5:R11" si="4">$J5*$D$17</f>
        <v>5.9279999999999999</v>
      </c>
      <c r="S5" s="20">
        <f t="shared" ref="S5:S11" si="5">$J5*$D$18</f>
        <v>8.8919999999999995</v>
      </c>
      <c r="T5" s="21">
        <f t="shared" ref="T5:T11" si="6">$J5*$D$19</f>
        <v>38.531999999999996</v>
      </c>
      <c r="U5" s="22">
        <f>SUM(B5+F5+L5+M5+N5+O5+P5+Q5+R5+S5+T5)</f>
        <v>296.40000000000003</v>
      </c>
      <c r="V5" t="s">
        <v>19</v>
      </c>
    </row>
    <row r="6" spans="1:22" x14ac:dyDescent="0.25">
      <c r="A6" s="2" t="s">
        <v>22</v>
      </c>
      <c r="B6" s="3">
        <v>3.12</v>
      </c>
      <c r="E6" s="3"/>
      <c r="H6" s="13">
        <f>B6</f>
        <v>3.12</v>
      </c>
      <c r="I6" s="13">
        <f t="shared" si="0"/>
        <v>3.9</v>
      </c>
      <c r="J6" s="12">
        <f t="shared" si="1"/>
        <v>4.875</v>
      </c>
      <c r="L6" s="11"/>
      <c r="M6" s="14"/>
      <c r="N6" s="15"/>
      <c r="O6" s="16"/>
      <c r="P6" s="17">
        <f t="shared" si="2"/>
        <v>0.78</v>
      </c>
      <c r="Q6" s="18">
        <f t="shared" si="3"/>
        <v>9.7500000000000003E-2</v>
      </c>
      <c r="R6" s="19">
        <f t="shared" si="4"/>
        <v>9.7500000000000003E-2</v>
      </c>
      <c r="S6" s="20">
        <f t="shared" si="5"/>
        <v>0.14624999999999999</v>
      </c>
      <c r="T6" s="21">
        <f t="shared" si="6"/>
        <v>0.63375000000000004</v>
      </c>
      <c r="U6" s="22">
        <f>SUM(B6+F6+P6+Q6+R6+S6+T6)</f>
        <v>4.8750000000000009</v>
      </c>
    </row>
    <row r="7" spans="1:22" x14ac:dyDescent="0.25">
      <c r="A7" s="2" t="s">
        <v>23</v>
      </c>
      <c r="B7" s="3">
        <v>3.6</v>
      </c>
      <c r="E7" s="3"/>
      <c r="H7" s="13">
        <f>B7</f>
        <v>3.6</v>
      </c>
      <c r="I7" s="13">
        <f t="shared" si="0"/>
        <v>4.5</v>
      </c>
      <c r="J7" s="12">
        <f t="shared" si="1"/>
        <v>5.625</v>
      </c>
      <c r="L7" s="11"/>
      <c r="M7" s="14"/>
      <c r="N7" s="15"/>
      <c r="O7" s="16"/>
      <c r="P7" s="17">
        <f t="shared" si="2"/>
        <v>0.9</v>
      </c>
      <c r="Q7" s="18">
        <f t="shared" si="3"/>
        <v>0.1125</v>
      </c>
      <c r="R7" s="19">
        <f t="shared" si="4"/>
        <v>0.1125</v>
      </c>
      <c r="S7" s="20">
        <f t="shared" si="5"/>
        <v>0.16874999999999998</v>
      </c>
      <c r="T7" s="21">
        <f t="shared" si="6"/>
        <v>0.73125000000000007</v>
      </c>
      <c r="U7" s="22">
        <f>SUM(B7+F7+P7+Q7+R7+S7+T7)</f>
        <v>5.625</v>
      </c>
    </row>
    <row r="8" spans="1:22" x14ac:dyDescent="0.25">
      <c r="A8" s="2" t="s">
        <v>24</v>
      </c>
      <c r="B8" s="3">
        <v>7.8</v>
      </c>
      <c r="E8" s="3"/>
      <c r="H8" s="13">
        <f>B8</f>
        <v>7.8</v>
      </c>
      <c r="I8" s="13">
        <f t="shared" si="0"/>
        <v>9.75</v>
      </c>
      <c r="J8" s="12">
        <f t="shared" si="1"/>
        <v>12.1875</v>
      </c>
      <c r="L8" s="11"/>
      <c r="M8" s="14"/>
      <c r="N8" s="15"/>
      <c r="O8" s="16"/>
      <c r="P8" s="17">
        <f t="shared" si="2"/>
        <v>1.9500000000000002</v>
      </c>
      <c r="Q8" s="18">
        <f t="shared" si="3"/>
        <v>0.24374999999999999</v>
      </c>
      <c r="R8" s="19">
        <f t="shared" si="4"/>
        <v>0.24374999999999999</v>
      </c>
      <c r="S8" s="20">
        <f t="shared" si="5"/>
        <v>0.36562499999999998</v>
      </c>
      <c r="T8" s="21">
        <f t="shared" si="6"/>
        <v>1.5843750000000001</v>
      </c>
      <c r="U8" s="22">
        <f>SUM(B8+F8+P8+Q8+R8+S8+T8)</f>
        <v>12.1875</v>
      </c>
    </row>
    <row r="9" spans="1:22" x14ac:dyDescent="0.25">
      <c r="A9" s="2" t="s">
        <v>25</v>
      </c>
      <c r="B9" s="3">
        <v>7.92</v>
      </c>
      <c r="E9" s="3"/>
      <c r="H9" s="13">
        <f>B9</f>
        <v>7.92</v>
      </c>
      <c r="I9" s="13">
        <f t="shared" si="0"/>
        <v>9.8999999999999986</v>
      </c>
      <c r="J9" s="12">
        <f t="shared" si="1"/>
        <v>12.374999999999998</v>
      </c>
      <c r="L9" s="11"/>
      <c r="M9" s="14"/>
      <c r="N9" s="15"/>
      <c r="O9" s="16"/>
      <c r="P9" s="17">
        <f t="shared" si="2"/>
        <v>1.9799999999999998</v>
      </c>
      <c r="Q9" s="18">
        <f t="shared" si="3"/>
        <v>0.24749999999999997</v>
      </c>
      <c r="R9" s="19">
        <f t="shared" si="4"/>
        <v>0.24749999999999997</v>
      </c>
      <c r="S9" s="20">
        <f t="shared" si="5"/>
        <v>0.37124999999999991</v>
      </c>
      <c r="T9" s="21">
        <f t="shared" si="6"/>
        <v>1.6087499999999999</v>
      </c>
      <c r="U9" s="22">
        <f>SUM(B9+F9+P9+Q9+R9+S9+T9)</f>
        <v>12.375000000000002</v>
      </c>
    </row>
    <row r="10" spans="1:22" ht="15.75" thickBot="1" x14ac:dyDescent="0.3">
      <c r="A10" s="4" t="s">
        <v>26</v>
      </c>
      <c r="B10" s="5">
        <v>6.34</v>
      </c>
      <c r="E10" s="3"/>
      <c r="H10" s="13">
        <f>B10</f>
        <v>6.34</v>
      </c>
      <c r="I10" s="13">
        <f t="shared" si="0"/>
        <v>7.9249999999999998</v>
      </c>
      <c r="J10" s="12">
        <f t="shared" si="1"/>
        <v>9.90625</v>
      </c>
      <c r="L10" s="11"/>
      <c r="M10" s="14"/>
      <c r="N10" s="15"/>
      <c r="O10" s="16"/>
      <c r="P10" s="17">
        <f t="shared" si="2"/>
        <v>1.585</v>
      </c>
      <c r="Q10" s="18">
        <f t="shared" si="3"/>
        <v>0.198125</v>
      </c>
      <c r="R10" s="19">
        <f t="shared" si="4"/>
        <v>0.198125</v>
      </c>
      <c r="S10" s="20">
        <f t="shared" si="5"/>
        <v>0.29718749999999999</v>
      </c>
      <c r="T10" s="21">
        <f t="shared" si="6"/>
        <v>1.2878125</v>
      </c>
      <c r="U10" s="22">
        <f>SUM(B10+F10+P10+Q10+R10+S10+T10)</f>
        <v>9.9062499999999982</v>
      </c>
    </row>
    <row r="11" spans="1:22" ht="16.5" thickTop="1" thickBot="1" x14ac:dyDescent="0.3">
      <c r="C11" s="7" t="s">
        <v>0</v>
      </c>
      <c r="D11" s="1">
        <v>0.15</v>
      </c>
      <c r="E11" s="3" t="s">
        <v>33</v>
      </c>
      <c r="J11" s="25">
        <f>SUM(J3:J10)</f>
        <v>866.42083333333323</v>
      </c>
      <c r="K11" s="11">
        <f>SUM($H$3:$H$5)*D11</f>
        <v>78.859399999999994</v>
      </c>
      <c r="Q11" s="18">
        <f t="shared" si="3"/>
        <v>17.328416666666666</v>
      </c>
      <c r="R11" s="19">
        <f t="shared" si="4"/>
        <v>17.328416666666666</v>
      </c>
      <c r="S11" s="20">
        <f t="shared" si="5"/>
        <v>25.992624999999997</v>
      </c>
      <c r="T11" s="21">
        <f t="shared" si="6"/>
        <v>112.63470833333332</v>
      </c>
      <c r="U11" s="24">
        <f>SUM(U3:U10)</f>
        <v>866.42083333333335</v>
      </c>
      <c r="V11" t="s">
        <v>28</v>
      </c>
    </row>
    <row r="12" spans="1:22" ht="16.5" thickTop="1" thickBot="1" x14ac:dyDescent="0.3">
      <c r="C12" s="7" t="s">
        <v>1</v>
      </c>
      <c r="D12" s="1">
        <v>0.05</v>
      </c>
      <c r="E12" s="3" t="s">
        <v>33</v>
      </c>
      <c r="K12" s="14">
        <f>SUM($H$3:$H$5)*D12</f>
        <v>26.286466666666669</v>
      </c>
      <c r="U12" s="22">
        <f>U11*(1+0.0526316)/12</f>
        <v>76.001829005416667</v>
      </c>
    </row>
    <row r="13" spans="1:22" ht="16.5" thickTop="1" thickBot="1" x14ac:dyDescent="0.3">
      <c r="C13" s="7" t="s">
        <v>2</v>
      </c>
      <c r="D13" s="1">
        <v>0.01</v>
      </c>
      <c r="E13" s="3" t="s">
        <v>33</v>
      </c>
      <c r="K13" s="15">
        <f>SUM($H$3:$H$5)*D13</f>
        <v>5.2572933333333332</v>
      </c>
    </row>
    <row r="14" spans="1:22" ht="16.5" thickTop="1" thickBot="1" x14ac:dyDescent="0.3">
      <c r="C14" s="7" t="s">
        <v>3</v>
      </c>
      <c r="D14" s="1">
        <v>0.01</v>
      </c>
      <c r="E14" s="3" t="s">
        <v>33</v>
      </c>
      <c r="K14" s="16">
        <f>SUM($H$3:$H$5)*D14</f>
        <v>5.2572933333333332</v>
      </c>
    </row>
    <row r="15" spans="1:22" ht="16.5" thickTop="1" thickBot="1" x14ac:dyDescent="0.3">
      <c r="C15" s="7" t="s">
        <v>4</v>
      </c>
      <c r="D15" s="1">
        <v>0.2</v>
      </c>
      <c r="E15" s="3" t="s">
        <v>34</v>
      </c>
      <c r="K15" s="17">
        <f>SUM($I$3:$I$10)*D15</f>
        <v>138.62733333333333</v>
      </c>
    </row>
    <row r="16" spans="1:22" ht="16.5" thickTop="1" thickBot="1" x14ac:dyDescent="0.3">
      <c r="C16" s="7" t="s">
        <v>5</v>
      </c>
      <c r="D16" s="1">
        <v>0.02</v>
      </c>
      <c r="E16" s="3" t="s">
        <v>9</v>
      </c>
      <c r="K16" s="18">
        <f>SUM($J$3:$J$10)*D16</f>
        <v>17.328416666666666</v>
      </c>
    </row>
    <row r="17" spans="3:11" ht="16.5" thickTop="1" thickBot="1" x14ac:dyDescent="0.3">
      <c r="C17" s="7" t="s">
        <v>6</v>
      </c>
      <c r="D17" s="1">
        <v>0.02</v>
      </c>
      <c r="E17" s="3" t="s">
        <v>29</v>
      </c>
      <c r="K17" s="19">
        <f>SUM($J$3:$J$10)*D17</f>
        <v>17.328416666666666</v>
      </c>
    </row>
    <row r="18" spans="3:11" ht="16.5" thickTop="1" thickBot="1" x14ac:dyDescent="0.3">
      <c r="C18" s="7" t="s">
        <v>7</v>
      </c>
      <c r="D18" s="1">
        <v>0.03</v>
      </c>
      <c r="E18" s="3" t="s">
        <v>11</v>
      </c>
      <c r="K18" s="20">
        <f>SUM($J$3:$J$10)*D18</f>
        <v>25.992624999999997</v>
      </c>
    </row>
    <row r="19" spans="3:11" ht="16.5" thickTop="1" thickBot="1" x14ac:dyDescent="0.3">
      <c r="C19" s="8" t="s">
        <v>8</v>
      </c>
      <c r="D19" s="9">
        <v>0.13</v>
      </c>
      <c r="E19" s="5" t="s">
        <v>10</v>
      </c>
      <c r="K19" s="21">
        <f>SUM($J$3:$J$10)*D19</f>
        <v>112.63470833333332</v>
      </c>
    </row>
  </sheetData>
  <mergeCells count="2">
    <mergeCell ref="A2:B2"/>
    <mergeCell ref="C2:E2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1BE4226B2229479280250CD859B965" ma:contentTypeVersion="14" ma:contentTypeDescription="Crear nuevo documento." ma:contentTypeScope="" ma:versionID="c477b6c1311572c0e3350e017a65ecc4">
  <xsd:schema xmlns:xsd="http://www.w3.org/2001/XMLSchema" xmlns:xs="http://www.w3.org/2001/XMLSchema" xmlns:p="http://schemas.microsoft.com/office/2006/metadata/properties" xmlns:ns2="70a39ff3-fb8f-4b72-9d79-94988d62cecd" xmlns:ns3="fd06bf33-11be-4297-ab67-5082d7b79a5b" targetNamespace="http://schemas.microsoft.com/office/2006/metadata/properties" ma:root="true" ma:fieldsID="374989ec0d5877d323b65d62702fab28" ns2:_="" ns3:_="">
    <xsd:import namespace="70a39ff3-fb8f-4b72-9d79-94988d62cecd"/>
    <xsd:import namespace="fd06bf33-11be-4297-ab67-5082d7b79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a39ff3-fb8f-4b72-9d79-94988d62ce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64ba0e7-5dbc-4c90-9f34-ff61491337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1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6bf33-11be-4297-ab67-5082d7b79a5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1b55b1-0ae7-42ec-b2f6-82af18655ac1}" ma:internalName="TaxCatchAll" ma:showField="CatchAllData" ma:web="fd06bf33-11be-4297-ab67-5082d7b79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06bf33-11be-4297-ab67-5082d7b79a5b" xsi:nil="true"/>
    <_Flow_SignoffStatus xmlns="70a39ff3-fb8f-4b72-9d79-94988d62cecd" xsi:nil="true"/>
    <lcf76f155ced4ddcb4097134ff3c332f xmlns="70a39ff3-fb8f-4b72-9d79-94988d62cec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FAE283-E55F-49B9-BCE3-C106C4FEF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a39ff3-fb8f-4b72-9d79-94988d62cecd"/>
    <ds:schemaRef ds:uri="fd06bf33-11be-4297-ab67-5082d7b79a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9BE500-562E-40B9-97EF-E79774C29AB2}">
  <ds:schemaRefs>
    <ds:schemaRef ds:uri="http://schemas.microsoft.com/office/2006/metadata/properties"/>
    <ds:schemaRef ds:uri="http://schemas.microsoft.com/office/infopath/2007/PartnerControls"/>
    <ds:schemaRef ds:uri="fd06bf33-11be-4297-ab67-5082d7b79a5b"/>
    <ds:schemaRef ds:uri="70a39ff3-fb8f-4b72-9d79-94988d62cecd"/>
  </ds:schemaRefs>
</ds:datastoreItem>
</file>

<file path=customXml/itemProps3.xml><?xml version="1.0" encoding="utf-8"?>
<ds:datastoreItem xmlns:ds="http://schemas.openxmlformats.org/officeDocument/2006/customXml" ds:itemID="{BEE5D69E-E31A-4042-BEC1-029709D23C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Emision</vt:lpstr>
      <vt:lpstr>Exclusion asegurado</vt:lpstr>
      <vt:lpstr>Inclusion cob</vt:lpstr>
      <vt:lpstr>Ingreso carga</vt:lpstr>
      <vt:lpstr>Aum_Dism Cap</vt:lpstr>
      <vt:lpstr>Ejemplo2 dev neta </vt:lpstr>
      <vt:lpstr>Ejemplo2 exc cob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Rojas</dc:creator>
  <cp:lastModifiedBy>Diego Zalles Martinez</cp:lastModifiedBy>
  <dcterms:created xsi:type="dcterms:W3CDTF">2023-10-04T14:26:44Z</dcterms:created>
  <dcterms:modified xsi:type="dcterms:W3CDTF">2026-05-04T16:21:31Z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0x010100691BE4226B2229479280250CD859B965</vt:lpwstr>
  </property>
  <property fmtid="{D5CDD505-2E9C-101B-9397-08002B2CF9AE}" pid="3" name="MediaServiceImageTags">
    <vt:lpwstr/>
  </property>
</Properties>
</file>